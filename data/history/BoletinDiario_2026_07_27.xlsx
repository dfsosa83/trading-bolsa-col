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0.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7/"/>
    </mc:Choice>
  </mc:AlternateContent>
  <xr:revisionPtr revIDLastSave="0" documentId="8_{F96D1A54-5637-4DBB-AAF5-B910852BCF56}"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externalReferences>
    <externalReference r:id="rId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4" l="1"/>
  <c r="K10" i="24"/>
  <c r="K11" i="24"/>
  <c r="K12" i="24"/>
  <c r="K13" i="24"/>
  <c r="K14" i="24"/>
  <c r="K8" i="24"/>
</calcChain>
</file>

<file path=xl/sharedStrings.xml><?xml version="1.0" encoding="utf-8"?>
<sst xmlns="http://schemas.openxmlformats.org/spreadsheetml/2006/main" count="3098" uniqueCount="1146">
  <si>
    <t>Centro de Información Bursátil / Market Information Center</t>
  </si>
  <si>
    <t>Boletín diario / Daily Report</t>
  </si>
  <si>
    <r>
      <rPr>
        <b/>
        <sz val="14"/>
        <color rgb="FF4B0082"/>
        <rFont val="Arial"/>
      </rPr>
      <t xml:space="preserve">Rueda N / Board N: </t>
    </r>
    <r>
      <rPr>
        <b/>
        <sz val="14"/>
        <color rgb="FF4B0082"/>
        <rFont val="Arial"/>
      </rPr>
      <t>136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</si>
  <si>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</si>
  <si>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</si>
  <si>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</si>
  <si>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</si>
  <si>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</si>
  <si>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</si>
  <si>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</si>
  <si>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</si>
  <si>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</si>
  <si>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</si>
  <si>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</si>
  <si>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</si>
  <si>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</si>
  <si>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</si>
  <si>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</si>
  <si>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</si>
  <si>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</si>
  <si>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</si>
  <si>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</si>
  <si>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</si>
  <si>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</si>
  <si>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</si>
  <si>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</si>
  <si>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</si>
  <si>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</si>
  <si>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</si>
  <si>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</si>
  <si>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</si>
  <si>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</si>
  <si>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</si>
  <si>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</si>
  <si>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</si>
  <si>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</si>
  <si>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</si>
  <si>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</si>
  <si>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</si>
  <si>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</si>
  <si>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</si>
  <si>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</si>
  <si>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</si>
  <si>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</si>
  <si>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</si>
  <si>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</si>
  <si>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</si>
  <si>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</si>
  <si>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</si>
  <si>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</si>
  <si>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</si>
  <si>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</si>
  <si>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</si>
  <si>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</si>
  <si>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</si>
  <si>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</si>
  <si>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</si>
  <si>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</si>
  <si>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</si>
  <si>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</si>
  <si>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</si>
  <si>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</si>
  <si>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</si>
  <si>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</si>
  <si>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</si>
  <si>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</si>
  <si>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</si>
  <si>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</si>
  <si>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</si>
  <si>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</si>
  <si>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</si>
  <si>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</si>
  <si>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</si>
  <si>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</si>
  <si>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</si>
  <si>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</si>
  <si>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</si>
  <si>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</si>
  <si>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</si>
  <si>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</si>
  <si>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</si>
  <si>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</si>
  <si>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</si>
  <si>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</si>
  <si>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</si>
  <si>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</si>
  <si>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</si>
  <si>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</si>
  <si>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</si>
  <si>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</si>
  <si>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</si>
  <si>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</si>
  <si>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</si>
  <si>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</si>
  <si>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</si>
  <si>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</si>
  <si>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</si>
  <si>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</si>
  <si>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</si>
  <si>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</si>
  <si>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</si>
  <si>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</si>
  <si>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</si>
  <si>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</si>
  <si>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</si>
  <si>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</si>
  <si>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</si>
  <si>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</si>
  <si>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</si>
  <si>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</si>
  <si>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</si>
  <si>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</si>
  <si>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</si>
  <si>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</si>
  <si>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</si>
  <si>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</si>
  <si>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</si>
  <si>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</si>
  <si>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</si>
  <si>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</si>
  <si>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</si>
  <si>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</si>
  <si>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</si>
  <si>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</si>
  <si>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</si>
  <si>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</si>
  <si>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</si>
  <si>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</si>
  <si>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</si>
  <si>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</si>
  <si>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</si>
  <si>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</si>
  <si>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</si>
  <si>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</si>
  <si>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</si>
  <si>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</si>
  <si>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</si>
  <si>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</si>
  <si>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</si>
  <si>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</si>
  <si>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</si>
  <si>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</si>
  <si>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</si>
  <si>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</si>
  <si>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</si>
  <si>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</si>
  <si>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</si>
  <si>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</si>
  <si>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</si>
  <si>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</si>
  <si>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</si>
  <si>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</si>
  <si>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</si>
  <si>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</si>
  <si>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</si>
  <si>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</si>
  <si>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</si>
  <si>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</si>
  <si>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</si>
  <si>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</si>
  <si>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</si>
  <si>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</si>
  <si>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</si>
  <si>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</si>
  <si>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</si>
  <si>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</si>
  <si>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</si>
  <si>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</si>
  <si>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</si>
  <si>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</si>
  <si>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</si>
  <si>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</si>
  <si>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</si>
  <si>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</si>
  <si>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</si>
  <si>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</si>
  <si>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</si>
  <si>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</si>
  <si>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</si>
  <si>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</si>
  <si>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</si>
  <si>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</si>
  <si>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</si>
  <si>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</si>
  <si>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</si>
  <si>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</si>
  <si>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</si>
  <si>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</si>
  <si>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</si>
  <si>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</si>
  <si>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</si>
  <si>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</si>
  <si>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</si>
  <si>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</si>
  <si>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</si>
  <si>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</si>
  <si>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</si>
  <si>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</si>
  <si>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</si>
  <si>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</si>
  <si>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</si>
  <si>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</si>
  <si>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</si>
  <si>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</si>
  <si>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</si>
  <si>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</si>
  <si>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</si>
  <si>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</si>
  <si>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</si>
  <si>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</si>
  <si>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</si>
  <si>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</si>
  <si>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</si>
  <si>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</si>
  <si>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</si>
  <si>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</si>
  <si>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</si>
  <si>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</si>
  <si>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</si>
  <si>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</si>
  <si>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</si>
  <si>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</si>
  <si>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</si>
  <si>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</si>
  <si>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</si>
  <si>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</si>
  <si>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</si>
  <si>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</si>
  <si>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</si>
  <si>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</si>
  <si>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</si>
  <si>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</si>
  <si>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</si>
  <si>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</si>
  <si>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</si>
  <si>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</si>
  <si>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</si>
  <si>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</si>
  <si>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</si>
  <si>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</si>
  <si>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</si>
  <si>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</si>
  <si>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</si>
  <si>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</si>
  <si>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</si>
  <si>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</si>
  <si>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</si>
  <si>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</si>
  <si>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</si>
  <si>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</si>
  <si>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</si>
  <si>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</si>
  <si>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</si>
  <si>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</si>
  <si>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</si>
  <si>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</si>
  <si>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</si>
  <si>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</si>
  <si>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</si>
  <si>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</si>
  <si>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</si>
  <si>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</si>
  <si>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</si>
  <si>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</si>
  <si>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</si>
  <si>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</si>
  <si>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</si>
  <si>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</si>
  <si>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</si>
  <si>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</si>
  <si>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</si>
  <si>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</si>
  <si>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</si>
  <si>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</si>
  <si>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</si>
  <si>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</si>
  <si>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</si>
  <si>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</si>
  <si>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</si>
  <si>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</si>
  <si>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</si>
  <si>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</si>
  <si>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</si>
  <si>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</si>
  <si>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</si>
  <si>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</si>
  <si>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</si>
  <si>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</si>
  <si>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</si>
  <si>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</si>
  <si>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</si>
  <si>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</si>
  <si>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</si>
  <si>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</si>
  <si>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</si>
  <si>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</si>
  <si>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</si>
  <si>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</si>
  <si>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</si>
  <si>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</si>
  <si>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</si>
  <si>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</si>
  <si>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</si>
  <si>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</si>
  <si>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</si>
  <si>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</si>
  <si>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</si>
  <si>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</si>
  <si>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</si>
  <si>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</si>
  <si>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</si>
  <si>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</si>
  <si>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</si>
  <si>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</si>
  <si>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</si>
  <si>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</si>
  <si>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</si>
  <si>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</si>
  <si>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</si>
  <si>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</si>
  <si>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</si>
  <si>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</si>
  <si>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</si>
  <si>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</si>
  <si>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</si>
  <si>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</si>
  <si>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</si>
  <si>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</si>
  <si>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</si>
  <si>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</si>
  <si>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</si>
  <si>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</si>
  <si>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</si>
  <si>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</si>
  <si>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</si>
  <si>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</si>
  <si>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106.416</t>
  </si>
  <si>
    <t>TFIT05270230</t>
  </si>
  <si>
    <t>COLTES 27/02/30</t>
  </si>
  <si>
    <t>0.2637404078</t>
  </si>
  <si>
    <t>104.68</t>
  </si>
  <si>
    <t>TFIT08031127</t>
  </si>
  <si>
    <t>COLTES 03/11/27</t>
  </si>
  <si>
    <t>0.1925715128</t>
  </si>
  <si>
    <t>96.823</t>
  </si>
  <si>
    <t>TFIT10260331</t>
  </si>
  <si>
    <t>COLTES 26/03/31</t>
  </si>
  <si>
    <t>0.2684713068</t>
  </si>
  <si>
    <t>83.969</t>
  </si>
  <si>
    <t>TFIT11090233</t>
  </si>
  <si>
    <t>COLTES 09/02/33</t>
  </si>
  <si>
    <t>0.4344958406</t>
  </si>
  <si>
    <t>110.136</t>
  </si>
  <si>
    <t>TFIT11240135</t>
  </si>
  <si>
    <t>COLTES 24/01/35</t>
  </si>
  <si>
    <t>0.3838460955</t>
  </si>
  <si>
    <t>103.005</t>
  </si>
  <si>
    <t>TFIT16090736</t>
  </si>
  <si>
    <t>COLTES 09/07/36</t>
  </si>
  <si>
    <t>0.1336322697</t>
  </si>
  <si>
    <t>67.336</t>
  </si>
  <si>
    <t>TFIT16180930</t>
  </si>
  <si>
    <t>COLTES 18/09/30</t>
  </si>
  <si>
    <t>0.219881027</t>
  </si>
  <si>
    <t>91.673</t>
  </si>
  <si>
    <t>TFIT16181034</t>
  </si>
  <si>
    <t>COLTES 18/10/34</t>
  </si>
  <si>
    <t>0.1364563166</t>
  </si>
  <si>
    <t>80.475</t>
  </si>
  <si>
    <t>TFIT16280428</t>
  </si>
  <si>
    <t>COLTES 28/04/28</t>
  </si>
  <si>
    <t>0.3341497934</t>
  </si>
  <si>
    <t>91.43</t>
  </si>
  <si>
    <t>TFIT16281140</t>
  </si>
  <si>
    <t>COLTES 28/11/40</t>
  </si>
  <si>
    <t>0.2187831991</t>
  </si>
  <si>
    <t>111.662</t>
  </si>
  <si>
    <t>TFIT16300632</t>
  </si>
  <si>
    <t>COLTES 30/06/32</t>
  </si>
  <si>
    <t>0.2397427675</t>
  </si>
  <si>
    <t>79.147</t>
  </si>
  <si>
    <t>TFIT21280542</t>
  </si>
  <si>
    <t>COLTES 28/05/42</t>
  </si>
  <si>
    <t>0.407921073</t>
  </si>
  <si>
    <t>81.323</t>
  </si>
  <si>
    <t>TFIT23250746</t>
  </si>
  <si>
    <t>COLTES 25/07/46</t>
  </si>
  <si>
    <t>0.3317885635</t>
  </si>
  <si>
    <t>95.488</t>
  </si>
  <si>
    <t>TFIT31261050</t>
  </si>
  <si>
    <t>COLTES 26/10/50</t>
  </si>
  <si>
    <t>0.1728375784</t>
  </si>
  <si>
    <t>67.958</t>
  </si>
  <si>
    <t>TFIT34130358</t>
  </si>
  <si>
    <t>COLTES 13/03/58</t>
  </si>
  <si>
    <t>0.1277998766</t>
  </si>
  <si>
    <t>101.934</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</si>
  <si>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</si>
  <si>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</si>
  <si>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</si>
  <si>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</si>
  <si>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</si>
  <si>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</si>
  <si>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</si>
  <si>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</si>
  <si>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</si>
  <si>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</si>
  <si>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</si>
  <si>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</si>
  <si>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</si>
  <si>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</si>
  <si>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</si>
  <si>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</si>
  <si>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</si>
  <si>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</si>
  <si>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</si>
  <si>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</si>
  <si>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</si>
  <si>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</si>
  <si>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</si>
  <si>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</si>
  <si>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</si>
  <si>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</si>
  <si>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</si>
  <si>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</si>
  <si>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</si>
  <si>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</si>
  <si>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</si>
  <si>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</si>
  <si>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</si>
  <si>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</si>
  <si>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</si>
  <si>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102.923</t>
  </si>
  <si>
    <t>TUVT10180429</t>
  </si>
  <si>
    <t>COLTES UVR 18/04/29</t>
  </si>
  <si>
    <t>0.162637071</t>
  </si>
  <si>
    <t>91.852</t>
  </si>
  <si>
    <t>TUVT17200341</t>
  </si>
  <si>
    <t>COLTES UVR 20/03/41</t>
  </si>
  <si>
    <t>0.0915981385</t>
  </si>
  <si>
    <t>90.534</t>
  </si>
  <si>
    <t>TUVT18250237</t>
  </si>
  <si>
    <t>COLTES UVR 25/02/37</t>
  </si>
  <si>
    <t>0.4842187768</t>
  </si>
  <si>
    <t>83.481</t>
  </si>
  <si>
    <t>TUVT20040435</t>
  </si>
  <si>
    <t>COLTES UVR 04/04/35</t>
  </si>
  <si>
    <t>0.3337307837</t>
  </si>
  <si>
    <t>91.257</t>
  </si>
  <si>
    <t>TUVT20250333</t>
  </si>
  <si>
    <t>COLTES UVR 25/03/33</t>
  </si>
  <si>
    <t>0.1586782089</t>
  </si>
  <si>
    <t>83.908</t>
  </si>
  <si>
    <t>TUVT31190555</t>
  </si>
  <si>
    <t>COLTES UVR 19/05/55</t>
  </si>
  <si>
    <t>0.1232718344</t>
  </si>
  <si>
    <t>89.835</t>
  </si>
  <si>
    <t>TUVT32160649</t>
  </si>
  <si>
    <t>COLTES UVR 16/06/49</t>
  </si>
  <si>
    <t>0.351834676</t>
  </si>
  <si>
    <t>72.921</t>
  </si>
  <si>
    <t>TUVT38010262</t>
  </si>
  <si>
    <t>COLTES UVR 01/02/62</t>
  </si>
  <si>
    <t>0.2852054677</t>
  </si>
  <si>
    <t>108.654</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</si>
  <si>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</si>
  <si>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</si>
  <si>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</si>
  <si>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</si>
  <si>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</si>
  <si>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</si>
  <si>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</si>
  <si>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</si>
  <si>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</si>
  <si>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</si>
  <si>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</si>
  <si>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</si>
  <si>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</si>
  <si>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</si>
  <si>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</si>
  <si>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</si>
  <si>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</si>
  <si>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</si>
  <si>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</si>
  <si>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</si>
  <si>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</si>
  <si>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</si>
  <si>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</si>
  <si>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</si>
  <si>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</si>
  <si>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</si>
  <si>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</si>
  <si>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</si>
  <si>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</si>
  <si>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</si>
  <si>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</si>
  <si>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</si>
  <si>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</si>
  <si>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</si>
  <si>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</si>
  <si>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</si>
  <si>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</si>
  <si>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</si>
  <si>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</si>
  <si>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</si>
  <si>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</si>
  <si>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</si>
  <si>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</si>
  <si>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</si>
  <si>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</si>
  <si>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</si>
  <si>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</si>
  <si>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</si>
  <si>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</si>
  <si>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</si>
  <si>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</si>
  <si>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</si>
  <si>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</si>
  <si>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</si>
  <si>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</si>
  <si>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</si>
  <si>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</si>
  <si>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</si>
  <si>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</si>
  <si>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</si>
  <si>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</si>
  <si>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</si>
  <si>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</si>
  <si>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</si>
  <si>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</si>
  <si>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</si>
  <si>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</si>
  <si>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</si>
  <si>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</si>
  <si>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</si>
  <si>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</si>
  <si>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</si>
  <si>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</si>
  <si>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</si>
  <si>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</si>
  <si>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</si>
  <si>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</si>
  <si>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</si>
  <si>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</si>
  <si>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</si>
  <si>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</si>
  <si>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</si>
  <si>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</si>
  <si>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</si>
  <si>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</si>
  <si>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</si>
  <si>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</si>
  <si>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</si>
  <si>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</si>
  <si>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</si>
  <si>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</si>
  <si>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</si>
  <si>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</si>
  <si>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</si>
  <si>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</si>
  <si>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</si>
  <si>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</si>
  <si>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</si>
  <si>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</si>
  <si>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</si>
  <si>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</si>
  <si>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</si>
  <si>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</si>
  <si>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</si>
  <si>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</si>
  <si>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</si>
  <si>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</si>
  <si>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</si>
  <si>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</si>
  <si>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</si>
  <si>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</si>
  <si>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</si>
  <si>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</si>
  <si>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</si>
  <si>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</si>
  <si>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</si>
  <si>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</si>
  <si>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</si>
  <si>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</si>
  <si>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</si>
  <si>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</si>
  <si>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</si>
  <si>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</si>
  <si>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</si>
  <si>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</si>
  <si>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</si>
  <si>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</si>
  <si>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</si>
  <si>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</si>
  <si>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</si>
  <si>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</si>
  <si>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</si>
  <si>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</si>
  <si>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</si>
  <si>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</si>
  <si>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</si>
  <si>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</si>
  <si>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</si>
  <si>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</si>
  <si>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</si>
  <si>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</si>
  <si>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</si>
  <si>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</si>
  <si>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</si>
  <si>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</si>
  <si>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</si>
  <si>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</si>
  <si>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</si>
  <si>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</si>
  <si>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</si>
  <si>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</si>
  <si>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</si>
  <si>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</si>
  <si>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</si>
  <si>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</si>
  <si>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</si>
  <si>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</si>
  <si>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</si>
  <si>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</si>
  <si>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</si>
  <si>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</si>
  <si>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</si>
  <si>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</si>
  <si>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</si>
  <si>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</si>
  <si>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</si>
  <si>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</si>
  <si>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</si>
  <si>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</si>
  <si>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</si>
  <si>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</si>
  <si>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</si>
  <si>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</si>
  <si>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</si>
  <si>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</si>
  <si>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</si>
  <si>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</si>
  <si>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</si>
  <si>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</si>
  <si>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</si>
  <si>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</si>
  <si>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</si>
  <si>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</si>
  <si>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</si>
  <si>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</si>
  <si>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</si>
  <si>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</si>
  <si>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</si>
  <si>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</si>
  <si>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</si>
  <si>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</si>
  <si>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</si>
  <si>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</si>
  <si>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</si>
  <si>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</si>
  <si>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</si>
  <si>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</si>
  <si>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</si>
  <si>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ABLO</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</si>
  <si>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</si>
  <si>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</si>
  <si>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</si>
  <si>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</si>
  <si>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</si>
  <si>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</si>
  <si>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</si>
  <si>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</si>
  <si>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</si>
  <si>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</si>
  <si>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</si>
  <si>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</si>
  <si>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</si>
  <si>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</si>
  <si>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</si>
  <si>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</si>
  <si>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</si>
  <si>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</si>
  <si>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</si>
  <si>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2027-07-27</t>
  </si>
  <si>
    <t>FS</t>
  </si>
  <si>
    <t>NOMINAL</t>
  </si>
  <si>
    <t>TV</t>
  </si>
  <si>
    <t>PV</t>
  </si>
  <si>
    <t>2028-01-27</t>
  </si>
  <si>
    <t>2028-07-27</t>
  </si>
  <si>
    <t>CDTBCTS0V</t>
  </si>
  <si>
    <t>BANCO CONTACTAR S.A.</t>
  </si>
  <si>
    <t>2027-01-27</t>
  </si>
  <si>
    <t>CDTBOC80P</t>
  </si>
  <si>
    <t>2027-04-27</t>
  </si>
  <si>
    <t>IB1</t>
  </si>
  <si>
    <t>MV</t>
  </si>
  <si>
    <t>CDTBOCS0V</t>
  </si>
  <si>
    <t>CDTBOOS0VD</t>
  </si>
  <si>
    <t>BANCO COOMEVA S.A.</t>
  </si>
  <si>
    <t>AV</t>
  </si>
  <si>
    <t>CDTBTG80P</t>
  </si>
  <si>
    <t>BANCO BTG PACTUAL COLOMBIA</t>
  </si>
  <si>
    <t>2027-03-27</t>
  </si>
  <si>
    <t>2027-09-27</t>
  </si>
  <si>
    <t>2027-10-27</t>
  </si>
  <si>
    <t>CDTBTG80PA</t>
  </si>
  <si>
    <t>CDTCLPS0V</t>
  </si>
  <si>
    <t>DAVIBANK S.A.</t>
  </si>
  <si>
    <t>CDTCTFS0V</t>
  </si>
  <si>
    <t>COLTEFINANCIERA S.A. COMPA#.A DE FINANCIAMIENTO</t>
  </si>
  <si>
    <t>CDTCZFS0V</t>
  </si>
  <si>
    <t>CREZCAMOS S.A. COMPANIA DE FINANCIAMIENTO</t>
  </si>
  <si>
    <t>CDTDVI80</t>
  </si>
  <si>
    <t>CDTDVI95</t>
  </si>
  <si>
    <t>IPC</t>
  </si>
  <si>
    <t>CDTDVIS0V</t>
  </si>
  <si>
    <t>2026-10-27</t>
  </si>
  <si>
    <t>2026-11-27</t>
  </si>
  <si>
    <t>2027-02-27</t>
  </si>
  <si>
    <t>CDTFALS0V</t>
  </si>
  <si>
    <t>BANCO FALABELLA S.A.</t>
  </si>
  <si>
    <t>CDTHIPS0V</t>
  </si>
  <si>
    <t>LA HIPOTECARIA COMPANIA DE FINANCIAMIENTO S.A.</t>
  </si>
  <si>
    <t>CDTITUS0V</t>
  </si>
  <si>
    <t>ITAU CORPBANCA COLOMBIA S.A.</t>
  </si>
  <si>
    <t>2026-12-27</t>
  </si>
  <si>
    <t>CDTMIBS0V</t>
  </si>
  <si>
    <t>MIBANCO BANCO DE LA MICROEMPRESA DE COLOMBIA S.A.</t>
  </si>
  <si>
    <t>CDTTYAS0V</t>
  </si>
  <si>
    <t>COMPANIA DE FINANCIAMIENTO TUYA S.A.</t>
  </si>
  <si>
    <t>2026-12-28</t>
  </si>
  <si>
    <t>2027-03-01</t>
  </si>
  <si>
    <t>2027-03-29</t>
  </si>
  <si>
    <t>TDAIBRAR</t>
  </si>
  <si>
    <t>FONDO PARA EL FINANCIAMIENTO DEL SECTOR AGROPECUARIO FINAGRO</t>
  </si>
  <si>
    <t>IB3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</si>
  <si>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</si>
  <si>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</si>
  <si>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</si>
  <si>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</si>
  <si>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</si>
  <si>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</si>
  <si>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</si>
  <si>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</si>
  <si>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</si>
  <si>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</si>
  <si>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</si>
  <si>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</si>
  <si>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BDVI2169C120</t>
  </si>
  <si>
    <t xml:space="preserve">Bonos subordinados            </t>
  </si>
  <si>
    <t>2016-09-28</t>
  </si>
  <si>
    <t>2026-09-28</t>
  </si>
  <si>
    <t>BECO1139C15</t>
  </si>
  <si>
    <t xml:space="preserve">Bonos deuda publica interna   </t>
  </si>
  <si>
    <t>2013-08-27</t>
  </si>
  <si>
    <t>2028-08-27</t>
  </si>
  <si>
    <t>BPMG11695A10</t>
  </si>
  <si>
    <t xml:space="preserve">Bonos ordinarios              </t>
  </si>
  <si>
    <t>2016-09-08</t>
  </si>
  <si>
    <t>2026-09-08</t>
  </si>
  <si>
    <t>Cert deposito termino bancario</t>
  </si>
  <si>
    <t>2023-07-28</t>
  </si>
  <si>
    <t>2028-07-28</t>
  </si>
  <si>
    <t>2025-07-10</t>
  </si>
  <si>
    <t>2027-07-10</t>
  </si>
  <si>
    <t>2025-07-16</t>
  </si>
  <si>
    <t>2027-01-16</t>
  </si>
  <si>
    <t>2025-08-27</t>
  </si>
  <si>
    <t>2027-05-27</t>
  </si>
  <si>
    <t>2027-08-27</t>
  </si>
  <si>
    <t>2025-10-16</t>
  </si>
  <si>
    <t>2026-10-16</t>
  </si>
  <si>
    <t>2028-06-26</t>
  </si>
  <si>
    <t>2028-01-02</t>
  </si>
  <si>
    <t>2028-07-02</t>
  </si>
  <si>
    <t>2028-01-17</t>
  </si>
  <si>
    <t>CDTBCB90</t>
  </si>
  <si>
    <t>2022-12-16</t>
  </si>
  <si>
    <t>2034-12-16</t>
  </si>
  <si>
    <t>2023-02-21</t>
  </si>
  <si>
    <t>2033-02-21</t>
  </si>
  <si>
    <t>CDTBCBS0V</t>
  </si>
  <si>
    <t>2023-07-24</t>
  </si>
  <si>
    <t>2030-07-24</t>
  </si>
  <si>
    <t>2025-05-26</t>
  </si>
  <si>
    <t>2027-05-26</t>
  </si>
  <si>
    <t>2026-02-12</t>
  </si>
  <si>
    <t>2027-02-12</t>
  </si>
  <si>
    <t>2026-06-09</t>
  </si>
  <si>
    <t>2026-10-09</t>
  </si>
  <si>
    <t>CDTBGAS0V</t>
  </si>
  <si>
    <t>2022-05-26</t>
  </si>
  <si>
    <t>2022-05-31</t>
  </si>
  <si>
    <t>2027-05-31</t>
  </si>
  <si>
    <t>2024-11-18</t>
  </si>
  <si>
    <t>2028-11-18</t>
  </si>
  <si>
    <t>2025-04-25</t>
  </si>
  <si>
    <t>2027-04-25</t>
  </si>
  <si>
    <t>2025-05-07</t>
  </si>
  <si>
    <t>2027-05-07</t>
  </si>
  <si>
    <t>2025-08-13</t>
  </si>
  <si>
    <t>2027-11-13</t>
  </si>
  <si>
    <t>2025-09-04</t>
  </si>
  <si>
    <t>2027-09-04</t>
  </si>
  <si>
    <t>2025-10-28</t>
  </si>
  <si>
    <t>2027-10-28</t>
  </si>
  <si>
    <t>CDTBPOS0V</t>
  </si>
  <si>
    <t>2023-08-23</t>
  </si>
  <si>
    <t>2027-08-23</t>
  </si>
  <si>
    <t>2025-03-05</t>
  </si>
  <si>
    <t>2027-03-05</t>
  </si>
  <si>
    <t>2025-06-04</t>
  </si>
  <si>
    <t>2028-06-04</t>
  </si>
  <si>
    <t>2026-05-14</t>
  </si>
  <si>
    <t>2029-05-14</t>
  </si>
  <si>
    <t>2025-08-20</t>
  </si>
  <si>
    <t>2027-02-20</t>
  </si>
  <si>
    <t>2026-05-06</t>
  </si>
  <si>
    <t>2027-11-06</t>
  </si>
  <si>
    <t>2025-11-27</t>
  </si>
  <si>
    <t>2027-11-27</t>
  </si>
  <si>
    <t>2027-07-08</t>
  </si>
  <si>
    <t>2024-02-01</t>
  </si>
  <si>
    <t>2030-02-01</t>
  </si>
  <si>
    <t>2025-07-31</t>
  </si>
  <si>
    <t>2028-01-31</t>
  </si>
  <si>
    <t>2025-11-18</t>
  </si>
  <si>
    <t>2029-11-18</t>
  </si>
  <si>
    <t>2028-07-10</t>
  </si>
  <si>
    <t>CDTFDT80</t>
  </si>
  <si>
    <t xml:space="preserve">Cdt inst. oficial especial    </t>
  </si>
  <si>
    <t>2028-07-08</t>
  </si>
  <si>
    <t>CDTFDT90P</t>
  </si>
  <si>
    <t>2024-04-23</t>
  </si>
  <si>
    <t>2029-04-23</t>
  </si>
  <si>
    <t>2025-02-24</t>
  </si>
  <si>
    <t>2026-11-24</t>
  </si>
  <si>
    <t>2025-04-10</t>
  </si>
  <si>
    <t>2026-10-10</t>
  </si>
  <si>
    <t>2025-12-04</t>
  </si>
  <si>
    <t>2027-12-04</t>
  </si>
  <si>
    <t>2026-05-22</t>
  </si>
  <si>
    <t>2028-05-22</t>
  </si>
  <si>
    <t>CDTFDTS0V</t>
  </si>
  <si>
    <t>2026-04-07</t>
  </si>
  <si>
    <t>2028-10-07</t>
  </si>
  <si>
    <t>2026-04-09</t>
  </si>
  <si>
    <t>2028-10-09</t>
  </si>
  <si>
    <t>2027-12-22</t>
  </si>
  <si>
    <t>2027-12-24</t>
  </si>
  <si>
    <t>2028-01-21</t>
  </si>
  <si>
    <t>CDTLVSS0V</t>
  </si>
  <si>
    <t>2026-01-21</t>
  </si>
  <si>
    <t>2027-01-21</t>
  </si>
  <si>
    <t>2027-07-01</t>
  </si>
  <si>
    <t>2029-07-07</t>
  </si>
  <si>
    <t>DAVCOREITC</t>
  </si>
  <si>
    <t xml:space="preserve">Tit.part.fondos               </t>
  </si>
  <si>
    <t>2017-09-28</t>
  </si>
  <si>
    <t>2047-09-28</t>
  </si>
  <si>
    <t>TCO364260127</t>
  </si>
  <si>
    <t xml:space="preserve">Titulos tes                   </t>
  </si>
  <si>
    <t>2026-01-27</t>
  </si>
  <si>
    <t>2027-01-26</t>
  </si>
  <si>
    <t>2024-08-22</t>
  </si>
  <si>
    <t>2029-08-22</t>
  </si>
  <si>
    <t>2025-02-27</t>
  </si>
  <si>
    <t>2030-02-27</t>
  </si>
  <si>
    <t>2019-11-03</t>
  </si>
  <si>
    <t>2027-11-03</t>
  </si>
  <si>
    <t>2021-03-26</t>
  </si>
  <si>
    <t>2031-03-26</t>
  </si>
  <si>
    <t>2022-02-09</t>
  </si>
  <si>
    <t>2033-02-09</t>
  </si>
  <si>
    <t>2024-01-24</t>
  </si>
  <si>
    <t>2035-01-24</t>
  </si>
  <si>
    <t>2014-09-18</t>
  </si>
  <si>
    <t>2030-09-18</t>
  </si>
  <si>
    <t>2012-04-28</t>
  </si>
  <si>
    <t>2028-04-28</t>
  </si>
  <si>
    <t>2024-11-28</t>
  </si>
  <si>
    <t>2040-11-28</t>
  </si>
  <si>
    <t>2016-06-30</t>
  </si>
  <si>
    <t>2032-06-30</t>
  </si>
  <si>
    <t>2021-05-28</t>
  </si>
  <si>
    <t>2042-05-28</t>
  </si>
  <si>
    <t>2023-07-25</t>
  </si>
  <si>
    <t>2046-07-25</t>
  </si>
  <si>
    <t>2019-10-26</t>
  </si>
  <si>
    <t>2050-10-26</t>
  </si>
  <si>
    <t>2024-03-13</t>
  </si>
  <si>
    <t>2058-03-13</t>
  </si>
  <si>
    <t>TIDISDVL</t>
  </si>
  <si>
    <t>Tidis-tit.devolucion impuestos</t>
  </si>
  <si>
    <t>2027-07-21</t>
  </si>
  <si>
    <t xml:space="preserve">Titulos tes en uvr            </t>
  </si>
  <si>
    <t>2019-04-18</t>
  </si>
  <si>
    <t>2029-04-18</t>
  </si>
  <si>
    <t>TUVT11170327</t>
  </si>
  <si>
    <t>2016-03-17</t>
  </si>
  <si>
    <t>2027-03-17</t>
  </si>
  <si>
    <t>Segmento Público - Sistema de Registro / A2A Market - OTC Fixed Income</t>
  </si>
  <si>
    <t>BBBO226SE036</t>
  </si>
  <si>
    <t>2029-06-24</t>
  </si>
  <si>
    <t>BDVI1169C144</t>
  </si>
  <si>
    <t>2016-07-27</t>
  </si>
  <si>
    <t>BDVI126SF030</t>
  </si>
  <si>
    <t>2026-05-20</t>
  </si>
  <si>
    <t>2028-11-20</t>
  </si>
  <si>
    <t>BEPM07159A12</t>
  </si>
  <si>
    <t>2015-03-19</t>
  </si>
  <si>
    <t>2027-03-19</t>
  </si>
  <si>
    <t>BESSU249A012</t>
  </si>
  <si>
    <t>2024-12-04</t>
  </si>
  <si>
    <t>2036-12-04</t>
  </si>
  <si>
    <t>BGLT10250435</t>
  </si>
  <si>
    <t xml:space="preserve">Bonos deuda pub. ext dolares  </t>
  </si>
  <si>
    <t>2035-04-25</t>
  </si>
  <si>
    <t>BGLT12071136</t>
  </si>
  <si>
    <t>2024-11-07</t>
  </si>
  <si>
    <t>2036-11-07</t>
  </si>
  <si>
    <t>BGLT12141135</t>
  </si>
  <si>
    <t>2023-11-14</t>
  </si>
  <si>
    <t>2035-11-14</t>
  </si>
  <si>
    <t>BITU8207U120</t>
  </si>
  <si>
    <t>2020-02-27</t>
  </si>
  <si>
    <t>BSBBO324SE10</t>
  </si>
  <si>
    <t>2024-07-25</t>
  </si>
  <si>
    <t>2027-01-25</t>
  </si>
  <si>
    <t>BSBBO324SE16</t>
  </si>
  <si>
    <t>2028-07-25</t>
  </si>
  <si>
    <t>2025-04-21</t>
  </si>
  <si>
    <t>2027-04-21</t>
  </si>
  <si>
    <t>2027-07-16</t>
  </si>
  <si>
    <t>2025-07-18</t>
  </si>
  <si>
    <t>2027-01-18</t>
  </si>
  <si>
    <t>2025-07-24</t>
  </si>
  <si>
    <t>2027-07-24</t>
  </si>
  <si>
    <t>2026-03-30</t>
  </si>
  <si>
    <t>2027-03-30</t>
  </si>
  <si>
    <t>2027-04-09</t>
  </si>
  <si>
    <t>2028-07-15</t>
  </si>
  <si>
    <t>2028-07-17</t>
  </si>
  <si>
    <t>2022-03-17</t>
  </si>
  <si>
    <t>2030-03-17</t>
  </si>
  <si>
    <t>2026-03-20</t>
  </si>
  <si>
    <t>2026-09-20</t>
  </si>
  <si>
    <t>2026-05-05</t>
  </si>
  <si>
    <t>2026-09-05</t>
  </si>
  <si>
    <t>CDTBCX80</t>
  </si>
  <si>
    <t>2025-12-12</t>
  </si>
  <si>
    <t>2028-12-12</t>
  </si>
  <si>
    <t>2025-12-26</t>
  </si>
  <si>
    <t>2028-12-26</t>
  </si>
  <si>
    <t>CDTBGA95</t>
  </si>
  <si>
    <t>2016-03-16</t>
  </si>
  <si>
    <t>2027-03-16</t>
  </si>
  <si>
    <t>2023-07-18</t>
  </si>
  <si>
    <t>2028-07-18</t>
  </si>
  <si>
    <t>2029-07-25</t>
  </si>
  <si>
    <t>2023-08-10</t>
  </si>
  <si>
    <t>2030-08-10</t>
  </si>
  <si>
    <t>2023-08-14</t>
  </si>
  <si>
    <t>2029-08-14</t>
  </si>
  <si>
    <t>2023-08-24</t>
  </si>
  <si>
    <t>2030-08-24</t>
  </si>
  <si>
    <t>2025-05-02</t>
  </si>
  <si>
    <t>2032-05-02</t>
  </si>
  <si>
    <t>2025-10-24</t>
  </si>
  <si>
    <t>2027-01-24</t>
  </si>
  <si>
    <t>2025-10-29</t>
  </si>
  <si>
    <t>2027-07-29</t>
  </si>
  <si>
    <t>2026-03-10</t>
  </si>
  <si>
    <t>2027-03-10</t>
  </si>
  <si>
    <t>2027-03-31</t>
  </si>
  <si>
    <t>2026-06-02</t>
  </si>
  <si>
    <t>2028-03-02</t>
  </si>
  <si>
    <t>2025-02-18</t>
  </si>
  <si>
    <t>2026-08-18</t>
  </si>
  <si>
    <t>2025-08-01</t>
  </si>
  <si>
    <t>2026-08-01</t>
  </si>
  <si>
    <t>2026-01-20</t>
  </si>
  <si>
    <t>2027-07-20</t>
  </si>
  <si>
    <t>CDTCBCS0V</t>
  </si>
  <si>
    <t>2026-07-31</t>
  </si>
  <si>
    <t xml:space="preserve">Cert.dep.term.cia.fcto        </t>
  </si>
  <si>
    <t>2025-05-16</t>
  </si>
  <si>
    <t>2026-11-16</t>
  </si>
  <si>
    <t>2022-08-18</t>
  </si>
  <si>
    <t>2027-08-18</t>
  </si>
  <si>
    <t>2023-07-14</t>
  </si>
  <si>
    <t>2028-07-14</t>
  </si>
  <si>
    <t>2028-07-09</t>
  </si>
  <si>
    <t>2025-07-29</t>
  </si>
  <si>
    <t>2026-07-29</t>
  </si>
  <si>
    <t>2025-03-18</t>
  </si>
  <si>
    <t>2026-12-18</t>
  </si>
  <si>
    <t>2025-04-23</t>
  </si>
  <si>
    <t>2026-10-23</t>
  </si>
  <si>
    <t>2028-03-20</t>
  </si>
  <si>
    <t>2025-09-18</t>
  </si>
  <si>
    <t>2027-03-18</t>
  </si>
  <si>
    <t>2026-05-11</t>
  </si>
  <si>
    <t>2027-03-11</t>
  </si>
  <si>
    <t>2028-01-09</t>
  </si>
  <si>
    <t>2030-07-02</t>
  </si>
  <si>
    <t>2030-07-03</t>
  </si>
  <si>
    <t>TCO364151226</t>
  </si>
  <si>
    <t>2025-12-16</t>
  </si>
  <si>
    <t>2026-12-15</t>
  </si>
  <si>
    <t>TCO364171126</t>
  </si>
  <si>
    <t>2026-11-17</t>
  </si>
  <si>
    <t>TCO364200427</t>
  </si>
  <si>
    <t>2026-04-21</t>
  </si>
  <si>
    <t>2027-04-20</t>
  </si>
  <si>
    <t>TCO364201026</t>
  </si>
  <si>
    <t>2025-10-21</t>
  </si>
  <si>
    <t>2026-10-20</t>
  </si>
  <si>
    <t>TCO364220926</t>
  </si>
  <si>
    <t>2025-09-23</t>
  </si>
  <si>
    <t>2026-09-22</t>
  </si>
  <si>
    <t>TCO364230327</t>
  </si>
  <si>
    <t>2026-03-24</t>
  </si>
  <si>
    <t>2027-03-23</t>
  </si>
  <si>
    <t>2020-07-09</t>
  </si>
  <si>
    <t>2036-07-09</t>
  </si>
  <si>
    <t>2018-10-18</t>
  </si>
  <si>
    <t>2034-10-18</t>
  </si>
  <si>
    <t>2026-03-04</t>
  </si>
  <si>
    <t>2027-03-04</t>
  </si>
  <si>
    <t>2027-05-05</t>
  </si>
  <si>
    <t>2026-05-13</t>
  </si>
  <si>
    <t>2027-05-13</t>
  </si>
  <si>
    <t>2026-06-01</t>
  </si>
  <si>
    <t>2027-06-01</t>
  </si>
  <si>
    <t>2026-06-04</t>
  </si>
  <si>
    <t>2027-06-04</t>
  </si>
  <si>
    <t>2027-06-19</t>
  </si>
  <si>
    <t>2027-06-22</t>
  </si>
  <si>
    <t>2027-06-25</t>
  </si>
  <si>
    <t>2027-07-03</t>
  </si>
  <si>
    <t>2027-07-06</t>
  </si>
  <si>
    <t>2027-07-07</t>
  </si>
  <si>
    <t>2027-07-09</t>
  </si>
  <si>
    <t>2027-07-14</t>
  </si>
  <si>
    <t>2027-07-15</t>
  </si>
  <si>
    <t>2027-07-17</t>
  </si>
  <si>
    <t>2027-07-22</t>
  </si>
  <si>
    <t>2027-07-23</t>
  </si>
  <si>
    <t>2024-01-22</t>
  </si>
  <si>
    <t>2031-01-22</t>
  </si>
  <si>
    <t>2024-03-20</t>
  </si>
  <si>
    <t>2041-03-20</t>
  </si>
  <si>
    <t>2019-02-25</t>
  </si>
  <si>
    <t>2037-02-25</t>
  </si>
  <si>
    <t>2024-05-19</t>
  </si>
  <si>
    <t>2055-05-19</t>
  </si>
  <si>
    <t>2017-06-16</t>
  </si>
  <si>
    <t>2049-06-16</t>
  </si>
  <si>
    <t>2062-02-01</t>
  </si>
  <si>
    <t>Punta</t>
  </si>
  <si>
    <t>Fecha</t>
  </si>
  <si>
    <t>Fecha Anulación</t>
  </si>
  <si>
    <t>Núm. Opes</t>
  </si>
  <si>
    <t>TITULOS TES</t>
  </si>
  <si>
    <t>BBGA01119G18</t>
  </si>
  <si>
    <t>BBSC1179B002</t>
  </si>
  <si>
    <t>BCCB01129C15</t>
  </si>
  <si>
    <t>BCLP7179FS10</t>
  </si>
  <si>
    <t>BGAA1249A015</t>
  </si>
  <si>
    <t>BITU125SA060</t>
  </si>
  <si>
    <t>BPEISSA4</t>
  </si>
  <si>
    <t>BPEMINHTA4</t>
  </si>
  <si>
    <t>BSIS3209C007</t>
  </si>
  <si>
    <t>BTSE01119A15</t>
  </si>
  <si>
    <t>CDTBBO90</t>
  </si>
  <si>
    <t>TFIC15280427</t>
  </si>
  <si>
    <t>TFIT15260826</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</si>
  <si>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</si>
  <si>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</si>
  <si>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</si>
  <si>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</si>
  <si>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</si>
  <si>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</si>
  <si>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</si>
  <si>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</si>
  <si>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</si>
  <si>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</si>
  <si>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</si>
  <si>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</si>
  <si>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</si>
  <si>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</si>
  <si>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</si>
  <si>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</si>
  <si>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</si>
  <si>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</si>
  <si>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</si>
  <si>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</si>
  <si>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</si>
  <si>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</si>
  <si>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</si>
  <si>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</si>
  <si>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</si>
  <si>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</si>
  <si>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</si>
  <si>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</si>
  <si>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</si>
  <si>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</si>
  <si>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</si>
  <si>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</si>
  <si>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</si>
  <si>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</si>
  <si>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</si>
  <si>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</si>
  <si>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</si>
  <si>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</si>
  <si>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</si>
  <si>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</si>
  <si>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T33Z26F</t>
  </si>
  <si>
    <t>TRMQ26F</t>
  </si>
  <si>
    <t>TRMZ26F</t>
  </si>
  <si>
    <t>TRXQ26F</t>
  </si>
  <si>
    <t>TRXV26F</t>
  </si>
  <si>
    <t>TRXZ26F</t>
  </si>
  <si>
    <t>DERIVADOS ENERGÉTICOS</t>
  </si>
  <si>
    <t>ELMN26F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</si>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</sst>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723900</xdr:rowOff>
    </xdr:to>
    <xdr:pic>
      <xdr:nvPicPr>
        <xdr:cNvPr id="2" name="2 Imagen" descr="cabezote (2).png">
          <a:extLst>
            <a:ext uri="{FF2B5EF4-FFF2-40B4-BE49-F238E27FC236}">
              <a16:creationId xmlns:a16="http://schemas.microsoft.com/office/drawing/2014/main" id="{AD091210-4A0C-4CDB-A1A6-F3EF0354E86C}"/>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847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istian_cifuentes\Desktop\D_CRISTIAN\consulta%20tbopin%2020260728.xls" TargetMode="External"/><Relationship Id="rId1" Type="http://schemas.openxmlformats.org/officeDocument/2006/relationships/externalLinkPath" Target="file:///C:\Users\cristian_cifuentes\Desktop\D_CRISTIAN\consulta%20tbopin%20202607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s>
    <sheetDataSet>
      <sheetData sheetId="0">
        <row r="1">
          <cell r="A1" t="str">
            <v>NEMO</v>
          </cell>
          <cell r="B1" t="str">
            <v>GRUPO</v>
          </cell>
          <cell r="C1" t="str">
            <v>NUM_OPE</v>
          </cell>
          <cell r="D1" t="str">
            <v>VAR_P_CIERRE</v>
          </cell>
          <cell r="E1" t="str">
            <v>ULT_PRECIO</v>
          </cell>
          <cell r="F1" t="str">
            <v>MAX_PRECIO</v>
          </cell>
          <cell r="G1" t="str">
            <v>MIN_PRECIO</v>
          </cell>
          <cell r="H1" t="str">
            <v>CANTIDAD</v>
          </cell>
          <cell r="I1" t="str">
            <v>OPIN</v>
          </cell>
          <cell r="J1" t="str">
            <v>MONTO</v>
          </cell>
        </row>
        <row r="2">
          <cell r="A2" t="str">
            <v>ECOU26F</v>
          </cell>
          <cell r="B2" t="str">
            <v>Futuros sobre Acciones / Stock Futures</v>
          </cell>
          <cell r="C2">
            <v>3</v>
          </cell>
          <cell r="D2">
            <v>-2.76096822995462E-2</v>
          </cell>
          <cell r="E2">
            <v>2571</v>
          </cell>
          <cell r="F2">
            <v>2571</v>
          </cell>
          <cell r="G2">
            <v>2571</v>
          </cell>
          <cell r="H2">
            <v>30</v>
          </cell>
          <cell r="I2">
            <v>7747</v>
          </cell>
          <cell r="J2">
            <v>77130000</v>
          </cell>
        </row>
        <row r="3">
          <cell r="A3" t="str">
            <v>T33Z26F</v>
          </cell>
          <cell r="B3" t="str">
            <v>Futuros sobre Tasa de Interes / Interest Rate Futures</v>
          </cell>
          <cell r="C3">
            <v>2</v>
          </cell>
          <cell r="D3">
            <v>8.5253724394787102E-3</v>
          </cell>
          <cell r="E3">
            <v>103.983</v>
          </cell>
          <cell r="F3">
            <v>103.983</v>
          </cell>
          <cell r="G3">
            <v>103.983</v>
          </cell>
          <cell r="H3">
            <v>184</v>
          </cell>
          <cell r="I3">
            <v>1286</v>
          </cell>
          <cell r="J3">
            <v>47832180000</v>
          </cell>
        </row>
        <row r="4">
          <cell r="A4" t="str">
            <v>TRMQ26F</v>
          </cell>
          <cell r="B4" t="str">
            <v>Futuros sobre Divisas / FX Futures</v>
          </cell>
          <cell r="C4">
            <v>46</v>
          </cell>
          <cell r="D4">
            <v>-7.8564800494896891E-3</v>
          </cell>
          <cell r="E4">
            <v>3207.6</v>
          </cell>
          <cell r="F4">
            <v>3232.35</v>
          </cell>
          <cell r="G4">
            <v>3205.86</v>
          </cell>
          <cell r="H4">
            <v>170</v>
          </cell>
          <cell r="I4">
            <v>19678</v>
          </cell>
          <cell r="J4">
            <v>27343926500</v>
          </cell>
        </row>
        <row r="5">
          <cell r="A5" t="str">
            <v>TRMZ26F</v>
          </cell>
          <cell r="B5" t="str">
            <v>Futuros sobre Divisas / FX Futures</v>
          </cell>
          <cell r="C5">
            <v>1</v>
          </cell>
          <cell r="D5">
            <v>-2.7761851594798599E-3</v>
          </cell>
          <cell r="E5">
            <v>3304.7</v>
          </cell>
          <cell r="F5">
            <v>3304.7</v>
          </cell>
          <cell r="G5">
            <v>3304.7</v>
          </cell>
          <cell r="H5">
            <v>1</v>
          </cell>
          <cell r="I5">
            <v>3625</v>
          </cell>
          <cell r="J5">
            <v>165235000</v>
          </cell>
        </row>
        <row r="6">
          <cell r="A6" t="str">
            <v>TRXQ26F</v>
          </cell>
          <cell r="B6" t="str">
            <v>Futuros sobre Divisas / FX Futures</v>
          </cell>
          <cell r="C6">
            <v>1</v>
          </cell>
          <cell r="D6">
            <v>-2.0791760141791698E-3</v>
          </cell>
          <cell r="E6">
            <v>3220.53</v>
          </cell>
          <cell r="F6">
            <v>3220.53</v>
          </cell>
          <cell r="G6">
            <v>3220.53</v>
          </cell>
          <cell r="H6">
            <v>15</v>
          </cell>
          <cell r="I6">
            <v>13958</v>
          </cell>
          <cell r="J6">
            <v>48307950</v>
          </cell>
        </row>
        <row r="7">
          <cell r="A7" t="str">
            <v>TRXV26F</v>
          </cell>
          <cell r="B7" t="str">
            <v>Futuros sobre Divisas / FX Futures</v>
          </cell>
          <cell r="C7">
            <v>1</v>
          </cell>
          <cell r="D7">
            <v>-4.0800904384496999E-3</v>
          </cell>
          <cell r="E7">
            <v>3268.4</v>
          </cell>
          <cell r="F7">
            <v>3268.4</v>
          </cell>
          <cell r="G7">
            <v>3268.4</v>
          </cell>
          <cell r="H7">
            <v>5000</v>
          </cell>
          <cell r="I7">
            <v>35663</v>
          </cell>
          <cell r="J7">
            <v>16342000000</v>
          </cell>
        </row>
        <row r="8">
          <cell r="A8" t="str">
            <v>TRXZ26F</v>
          </cell>
          <cell r="B8" t="str">
            <v>Futuros sobre Divisas / FX Futures</v>
          </cell>
          <cell r="C8">
            <v>1</v>
          </cell>
          <cell r="D8">
            <v>-1.90274841437643E-3</v>
          </cell>
          <cell r="E8">
            <v>3304.7</v>
          </cell>
          <cell r="F8">
            <v>3304.7</v>
          </cell>
          <cell r="G8">
            <v>3304.7</v>
          </cell>
          <cell r="H8">
            <v>46</v>
          </cell>
          <cell r="I8">
            <v>454</v>
          </cell>
          <cell r="J8">
            <v>152016200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46230</v>
      </c>
      <c r="H6" s="1"/>
      <c r="I6" s="1"/>
      <c r="J6" s="6"/>
      <c r="K6" s="1"/>
      <c r="L6" s="1"/>
    </row>
    <row r="7" spans="1:12" ht="17.5" x14ac:dyDescent="0.35">
      <c r="A7" s="1"/>
      <c r="B7" s="5"/>
      <c r="C7" s="1"/>
      <c r="D7" s="1"/>
      <c r="E7" s="1"/>
      <c r="F7" s="1"/>
      <c r="G7" s="8">
        <v>46230</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2282.91</v>
      </c>
      <c r="F8" s="21">
        <v>2274.5300000000002</v>
      </c>
      <c r="G8" s="21">
        <v>-8.3799999999996508</v>
      </c>
      <c r="H8" s="22">
        <v>3.6842776309828902E-3</v>
      </c>
      <c r="I8" s="21">
        <v>0.33563651468790001</v>
      </c>
      <c r="J8" s="22">
        <v>0.10391632535626</v>
      </c>
      <c r="K8" s="22">
        <v>6.0949812258712698E-3</v>
      </c>
      <c r="L8" s="1"/>
      <c r="M8" s="1"/>
      <c r="N8" s="1"/>
      <c r="O8" s="1"/>
      <c r="P8" s="1"/>
      <c r="Q8" s="1"/>
      <c r="R8" s="6"/>
      <c r="S8" s="1"/>
      <c r="T8" s="1"/>
    </row>
    <row r="9" spans="1:20" x14ac:dyDescent="0.35">
      <c r="A9" s="1"/>
      <c r="B9" s="5"/>
      <c r="C9" s="71" t="s">
        <v>220</v>
      </c>
      <c r="D9" s="20" t="s">
        <v>221</v>
      </c>
      <c r="E9" s="21">
        <v>378.85</v>
      </c>
      <c r="F9" s="21">
        <v>377.8</v>
      </c>
      <c r="G9" s="21">
        <v>-1.05000000000001</v>
      </c>
      <c r="H9" s="22">
        <v>2.7792482795130401E-3</v>
      </c>
      <c r="I9" s="21">
        <v>6.3259521203446606E-2</v>
      </c>
      <c r="J9" s="22">
        <v>7.8914393119553505E-2</v>
      </c>
      <c r="K9" s="22">
        <v>6.0746923036303401E-4</v>
      </c>
      <c r="L9" s="1"/>
      <c r="M9" s="1"/>
      <c r="N9" s="1"/>
      <c r="O9" s="1"/>
      <c r="P9" s="1"/>
      <c r="Q9" s="1"/>
      <c r="R9" s="6"/>
      <c r="S9" s="1"/>
      <c r="T9" s="1"/>
    </row>
    <row r="10" spans="1:20" x14ac:dyDescent="0.35">
      <c r="A10" s="1"/>
      <c r="B10" s="5"/>
      <c r="C10" s="72"/>
      <c r="D10" s="20" t="s">
        <v>222</v>
      </c>
      <c r="E10" s="21">
        <v>404.75</v>
      </c>
      <c r="F10" s="21">
        <v>402.65</v>
      </c>
      <c r="G10" s="21">
        <v>-2.1000000000000201</v>
      </c>
      <c r="H10" s="22">
        <v>5.2154476592574097E-3</v>
      </c>
      <c r="I10" s="21">
        <v>9.4037193210076794E-2</v>
      </c>
      <c r="J10" s="22">
        <v>9.9774474906936902E-2</v>
      </c>
      <c r="K10" s="22">
        <v>-3.8149150873738602E-3</v>
      </c>
      <c r="L10" s="1"/>
      <c r="M10" s="1"/>
      <c r="N10" s="1"/>
      <c r="O10" s="1"/>
      <c r="P10" s="1"/>
      <c r="Q10" s="1"/>
      <c r="R10" s="6"/>
      <c r="S10" s="1"/>
      <c r="T10" s="1"/>
    </row>
    <row r="11" spans="1:20" x14ac:dyDescent="0.35">
      <c r="A11" s="1"/>
      <c r="B11" s="5"/>
      <c r="C11" s="72"/>
      <c r="D11" s="20" t="s">
        <v>223</v>
      </c>
      <c r="E11" s="21">
        <v>441.04</v>
      </c>
      <c r="F11" s="21">
        <v>438.05</v>
      </c>
      <c r="G11" s="21">
        <v>-2.99000000000001</v>
      </c>
      <c r="H11" s="22">
        <v>6.8257048282158702E-3</v>
      </c>
      <c r="I11" s="21">
        <v>0.109730015348615</v>
      </c>
      <c r="J11" s="22">
        <v>0.11236096748972201</v>
      </c>
      <c r="K11" s="22">
        <v>-6.6666666666666003E-3</v>
      </c>
      <c r="L11" s="1"/>
      <c r="M11" s="1"/>
      <c r="N11" s="1"/>
      <c r="O11" s="1"/>
      <c r="P11" s="1"/>
      <c r="Q11" s="1"/>
      <c r="R11" s="6"/>
      <c r="S11" s="1"/>
      <c r="T11" s="1"/>
    </row>
    <row r="12" spans="1:20" x14ac:dyDescent="0.35">
      <c r="A12" s="1"/>
      <c r="B12" s="5"/>
      <c r="C12" s="72"/>
      <c r="D12" s="20" t="s">
        <v>224</v>
      </c>
      <c r="E12" s="21">
        <v>504.06</v>
      </c>
      <c r="F12" s="21">
        <v>502.83</v>
      </c>
      <c r="G12" s="21">
        <v>-1.23000000000002</v>
      </c>
      <c r="H12" s="22">
        <v>2.44615476403554E-3</v>
      </c>
      <c r="I12" s="21">
        <v>0.16785987349690701</v>
      </c>
      <c r="J12" s="22">
        <v>0.12866099417823601</v>
      </c>
      <c r="K12" s="22">
        <v>1.5063031132949401E-2</v>
      </c>
      <c r="L12" s="1"/>
      <c r="M12" s="1"/>
      <c r="N12" s="1"/>
      <c r="O12" s="1"/>
      <c r="P12" s="1"/>
      <c r="Q12" s="1"/>
      <c r="R12" s="6"/>
      <c r="S12" s="1"/>
      <c r="T12" s="1"/>
    </row>
    <row r="13" spans="1:20" ht="23" x14ac:dyDescent="0.35">
      <c r="A13" s="1"/>
      <c r="B13" s="5"/>
      <c r="C13" s="72"/>
      <c r="D13" s="20" t="s">
        <v>225</v>
      </c>
      <c r="E13" s="21">
        <v>176.33</v>
      </c>
      <c r="F13" s="21">
        <v>176.3</v>
      </c>
      <c r="G13" s="21">
        <v>-3.0000000000001099E-2</v>
      </c>
      <c r="H13" s="22">
        <v>1.7016449234263901E-4</v>
      </c>
      <c r="I13" s="21">
        <v>0.13989268860301299</v>
      </c>
      <c r="J13" s="22">
        <v>0.10864508016347101</v>
      </c>
      <c r="K13" s="22">
        <v>1.49657514534047E-2</v>
      </c>
      <c r="L13" s="1"/>
      <c r="M13" s="1"/>
      <c r="N13" s="1"/>
      <c r="O13" s="1"/>
      <c r="P13" s="1"/>
      <c r="Q13" s="1"/>
      <c r="R13" s="6"/>
      <c r="S13" s="1"/>
      <c r="T13" s="1"/>
    </row>
    <row r="14" spans="1:20" x14ac:dyDescent="0.35">
      <c r="A14" s="1"/>
      <c r="B14" s="5"/>
      <c r="C14" s="73"/>
      <c r="D14" s="20" t="s">
        <v>226</v>
      </c>
      <c r="E14" s="21">
        <v>150</v>
      </c>
      <c r="F14" s="21">
        <v>149.54</v>
      </c>
      <c r="G14" s="21">
        <v>-0.46000000000000801</v>
      </c>
      <c r="H14" s="22">
        <v>3.07610004012315E-3</v>
      </c>
      <c r="I14" s="21">
        <v>0.17453605825698901</v>
      </c>
      <c r="J14" s="22">
        <v>0.13053964425685799</v>
      </c>
      <c r="K14" s="22">
        <v>1.5091019828111099E-2</v>
      </c>
      <c r="L14" s="1"/>
      <c r="M14" s="1"/>
      <c r="N14" s="1"/>
      <c r="O14" s="1"/>
      <c r="P14" s="1"/>
      <c r="Q14" s="1"/>
      <c r="R14" s="6"/>
      <c r="S14" s="1"/>
      <c r="T14" s="1"/>
    </row>
    <row r="15" spans="1:20" x14ac:dyDescent="0.35">
      <c r="A15" s="1"/>
      <c r="B15" s="5"/>
      <c r="C15" s="20" t="s">
        <v>227</v>
      </c>
      <c r="D15" s="20" t="s">
        <v>228</v>
      </c>
      <c r="E15" s="21">
        <v>297.594306936267</v>
      </c>
      <c r="F15" s="21">
        <v>297.31708353229698</v>
      </c>
      <c r="G15" s="21">
        <v>-0.27722340397025402</v>
      </c>
      <c r="H15" s="22">
        <v>9.3241666666671601E-4</v>
      </c>
      <c r="I15" s="21">
        <v>0.101550589933707</v>
      </c>
      <c r="J15" s="22">
        <v>6.0181990165233602E-2</v>
      </c>
      <c r="K15" s="22">
        <v>8.4027966756776706E-3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137197.43681839999</v>
      </c>
      <c r="E21" s="27">
        <v>38712727</v>
      </c>
      <c r="F21" s="28">
        <v>0.83852613943793597</v>
      </c>
      <c r="G21" s="26">
        <v>14688.992567499999</v>
      </c>
      <c r="H21" s="27">
        <v>220948</v>
      </c>
      <c r="I21" s="28">
        <v>8.9776489382682303E-2</v>
      </c>
      <c r="J21" s="26">
        <v>8630.1934384899996</v>
      </c>
      <c r="K21" s="27">
        <v>1204920</v>
      </c>
      <c r="L21" s="28">
        <v>5.27461952234453E-2</v>
      </c>
      <c r="M21" s="26">
        <v>3100.7414600000002</v>
      </c>
      <c r="N21" s="27">
        <v>56923</v>
      </c>
      <c r="O21" s="28">
        <v>1.89511759559363E-2</v>
      </c>
      <c r="P21" s="26">
        <v>0</v>
      </c>
      <c r="Q21" s="25"/>
      <c r="R21" s="28">
        <v>0</v>
      </c>
      <c r="S21" s="1"/>
      <c r="T21" s="1"/>
    </row>
    <row r="22" spans="1:20" x14ac:dyDescent="0.35">
      <c r="A22" s="1"/>
      <c r="B22" s="5"/>
      <c r="C22" s="25" t="s">
        <v>239</v>
      </c>
      <c r="D22" s="26">
        <v>114372.0285942</v>
      </c>
      <c r="E22" s="27">
        <v>18873557</v>
      </c>
      <c r="F22" s="28">
        <v>0.68606833883273299</v>
      </c>
      <c r="G22" s="26">
        <v>20861.737985</v>
      </c>
      <c r="H22" s="27">
        <v>231706</v>
      </c>
      <c r="I22" s="28">
        <v>0.12514054441855499</v>
      </c>
      <c r="J22" s="26">
        <v>28213.64748349</v>
      </c>
      <c r="K22" s="27">
        <v>3877620</v>
      </c>
      <c r="L22" s="28">
        <v>0.16924147013330099</v>
      </c>
      <c r="M22" s="26">
        <v>3259.05251</v>
      </c>
      <c r="N22" s="27">
        <v>62697</v>
      </c>
      <c r="O22" s="28">
        <v>1.95496466154115E-2</v>
      </c>
      <c r="P22" s="26">
        <v>0</v>
      </c>
      <c r="Q22" s="25"/>
      <c r="R22" s="28">
        <v>0</v>
      </c>
      <c r="S22" s="1"/>
      <c r="T22" s="1"/>
    </row>
    <row r="23" spans="1:20" x14ac:dyDescent="0.35">
      <c r="A23" s="1"/>
      <c r="B23" s="5"/>
      <c r="C23" s="25" t="s">
        <v>240</v>
      </c>
      <c r="D23" s="26">
        <v>140886.65514481199</v>
      </c>
      <c r="E23" s="27">
        <v>34886855.117647097</v>
      </c>
      <c r="F23" s="28">
        <v>0.60729039532589402</v>
      </c>
      <c r="G23" s="26">
        <v>11130.916364970601</v>
      </c>
      <c r="H23" s="27">
        <v>360369</v>
      </c>
      <c r="I23" s="28">
        <v>4.7979693979351201E-2</v>
      </c>
      <c r="J23" s="26">
        <v>15027.1227168065</v>
      </c>
      <c r="K23" s="27">
        <v>3509127.5294117602</v>
      </c>
      <c r="L23" s="28">
        <v>6.47742491005983E-2</v>
      </c>
      <c r="M23" s="26">
        <v>6124.0156617647099</v>
      </c>
      <c r="N23" s="27">
        <v>947040.64705882303</v>
      </c>
      <c r="O23" s="28">
        <v>2.63975029316466E-2</v>
      </c>
      <c r="P23" s="26">
        <v>58823.523529411803</v>
      </c>
      <c r="Q23" s="27">
        <v>196078.41176470599</v>
      </c>
      <c r="R23" s="28">
        <v>0.25355815866251002</v>
      </c>
      <c r="S23" s="1"/>
      <c r="T23" s="1"/>
    </row>
    <row r="24" spans="1:20" x14ac:dyDescent="0.35">
      <c r="A24" s="1"/>
      <c r="B24" s="5"/>
      <c r="C24" s="25" t="s">
        <v>241</v>
      </c>
      <c r="D24" s="26">
        <v>2395073.1374618001</v>
      </c>
      <c r="E24" s="27">
        <v>593076537</v>
      </c>
      <c r="F24" s="28">
        <v>0.60729039532589402</v>
      </c>
      <c r="G24" s="26">
        <v>189225.57820449999</v>
      </c>
      <c r="H24" s="27">
        <v>6126273</v>
      </c>
      <c r="I24" s="28">
        <v>4.7979693979351201E-2</v>
      </c>
      <c r="J24" s="26">
        <v>255461.08618571001</v>
      </c>
      <c r="K24" s="27">
        <v>59655168</v>
      </c>
      <c r="L24" s="28">
        <v>6.47742491005983E-2</v>
      </c>
      <c r="M24" s="26">
        <v>104108.26625</v>
      </c>
      <c r="N24" s="27">
        <v>16099691</v>
      </c>
      <c r="O24" s="28">
        <v>2.63975029316466E-2</v>
      </c>
      <c r="P24" s="26">
        <v>999999.9</v>
      </c>
      <c r="Q24" s="27">
        <v>3333333</v>
      </c>
      <c r="R24" s="28">
        <v>0.25355815866251002</v>
      </c>
      <c r="S24" s="1"/>
      <c r="T24" s="1"/>
    </row>
    <row r="25" spans="1:20" x14ac:dyDescent="0.35">
      <c r="A25" s="1"/>
      <c r="B25" s="5"/>
      <c r="C25" s="25" t="s">
        <v>242</v>
      </c>
      <c r="D25" s="26">
        <v>230603.81231830001</v>
      </c>
      <c r="E25" s="27">
        <v>43907442.4044118</v>
      </c>
      <c r="F25" s="28">
        <v>0.77833257105895903</v>
      </c>
      <c r="G25" s="26">
        <v>20893.4304974265</v>
      </c>
      <c r="H25" s="27">
        <v>1223736.3970588199</v>
      </c>
      <c r="I25" s="28">
        <v>7.0519378295695004E-2</v>
      </c>
      <c r="J25" s="26">
        <v>16846.943689199899</v>
      </c>
      <c r="K25" s="27">
        <v>3667655.8235294102</v>
      </c>
      <c r="L25" s="28">
        <v>5.6861700872496403E-2</v>
      </c>
      <c r="M25" s="26">
        <v>5693.9218302058798</v>
      </c>
      <c r="N25" s="27">
        <v>929228.35294117697</v>
      </c>
      <c r="O25" s="28">
        <v>1.9218089991486199E-2</v>
      </c>
      <c r="P25" s="26">
        <v>22241.169820415402</v>
      </c>
      <c r="Q25" s="27">
        <v>18982303.2352941</v>
      </c>
      <c r="R25" s="28">
        <v>7.5068259781363098E-2</v>
      </c>
      <c r="S25" s="1"/>
      <c r="T25" s="1"/>
    </row>
    <row r="26" spans="1:20" x14ac:dyDescent="0.35">
      <c r="A26" s="1"/>
      <c r="B26" s="5"/>
      <c r="C26" s="25" t="s">
        <v>243</v>
      </c>
      <c r="D26" s="26">
        <v>31362118.4752887</v>
      </c>
      <c r="E26" s="27">
        <v>5971412167</v>
      </c>
      <c r="F26" s="28">
        <v>0.77833257105895903</v>
      </c>
      <c r="G26" s="26">
        <v>2841506.5476500001</v>
      </c>
      <c r="H26" s="27">
        <v>166428150</v>
      </c>
      <c r="I26" s="28">
        <v>7.0519378295695101E-2</v>
      </c>
      <c r="J26" s="26">
        <v>2291184.34173118</v>
      </c>
      <c r="K26" s="27">
        <v>498801192</v>
      </c>
      <c r="L26" s="28">
        <v>5.6861700872496403E-2</v>
      </c>
      <c r="M26" s="26">
        <v>774373.36890799995</v>
      </c>
      <c r="N26" s="27">
        <v>126375056</v>
      </c>
      <c r="O26" s="28">
        <v>1.9218089991486199E-2</v>
      </c>
      <c r="P26" s="26">
        <v>3024799.0955764898</v>
      </c>
      <c r="Q26" s="27">
        <v>2581593240</v>
      </c>
      <c r="R26" s="28">
        <v>7.5068259781363306E-2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3485851.7801350001</v>
      </c>
      <c r="E32" s="28">
        <v>0.30037624440562699</v>
      </c>
      <c r="F32" s="26">
        <v>8119099.8265829999</v>
      </c>
      <c r="G32" s="28">
        <v>0.69962375559437295</v>
      </c>
      <c r="H32" s="26">
        <v>0</v>
      </c>
      <c r="I32" s="28">
        <v>0</v>
      </c>
      <c r="J32" s="1"/>
      <c r="K32" s="1"/>
      <c r="L32" s="1"/>
      <c r="M32" s="1"/>
      <c r="N32" s="1"/>
      <c r="O32" s="1"/>
      <c r="P32" s="1"/>
      <c r="Q32" s="1"/>
      <c r="R32" s="6"/>
      <c r="S32" s="1"/>
      <c r="T32" s="1"/>
    </row>
    <row r="33" spans="1:20" x14ac:dyDescent="0.35">
      <c r="A33" s="1"/>
      <c r="B33" s="5"/>
      <c r="C33" s="25" t="s">
        <v>239</v>
      </c>
      <c r="D33" s="26">
        <v>3511018.2556210002</v>
      </c>
      <c r="E33" s="28">
        <v>0.32567639713677798</v>
      </c>
      <c r="F33" s="26">
        <v>7269677.8171939999</v>
      </c>
      <c r="G33" s="28">
        <v>0.67432360286322202</v>
      </c>
      <c r="H33" s="26">
        <v>0</v>
      </c>
      <c r="I33" s="28">
        <v>0</v>
      </c>
      <c r="J33" s="1"/>
      <c r="K33" s="1"/>
      <c r="L33" s="1"/>
      <c r="M33" s="1"/>
      <c r="N33" s="1"/>
      <c r="O33" s="1"/>
      <c r="P33" s="1"/>
      <c r="Q33" s="1"/>
      <c r="R33" s="6"/>
      <c r="S33" s="1"/>
      <c r="T33" s="1"/>
    </row>
    <row r="34" spans="1:20" x14ac:dyDescent="0.35">
      <c r="A34" s="1"/>
      <c r="B34" s="5"/>
      <c r="C34" s="25" t="s">
        <v>240</v>
      </c>
      <c r="D34" s="26">
        <v>3988733.8723814101</v>
      </c>
      <c r="E34" s="28">
        <v>0.36056027920989597</v>
      </c>
      <c r="F34" s="26">
        <v>7023374.2894494198</v>
      </c>
      <c r="G34" s="28">
        <v>0.63487559607168897</v>
      </c>
      <c r="H34" s="26">
        <v>50491.082661705899</v>
      </c>
      <c r="I34" s="28">
        <v>4.5641247184148599E-3</v>
      </c>
      <c r="J34" s="1"/>
      <c r="K34" s="1"/>
      <c r="L34" s="1"/>
      <c r="M34" s="1"/>
      <c r="N34" s="1"/>
      <c r="O34" s="1"/>
      <c r="P34" s="1"/>
      <c r="Q34" s="1"/>
      <c r="R34" s="6"/>
      <c r="S34" s="1"/>
      <c r="T34" s="1"/>
    </row>
    <row r="35" spans="1:20" x14ac:dyDescent="0.35">
      <c r="A35" s="1"/>
      <c r="B35" s="5"/>
      <c r="C35" s="25" t="s">
        <v>241</v>
      </c>
      <c r="D35" s="26">
        <v>67808475.830484003</v>
      </c>
      <c r="E35" s="28">
        <v>0.36056027920989597</v>
      </c>
      <c r="F35" s="26">
        <v>119397362.92064001</v>
      </c>
      <c r="G35" s="28">
        <v>0.63487559607168897</v>
      </c>
      <c r="H35" s="26">
        <v>858348.40524899994</v>
      </c>
      <c r="I35" s="28">
        <v>4.5641247184148599E-3</v>
      </c>
      <c r="J35" s="1"/>
      <c r="K35" s="1"/>
      <c r="L35" s="1"/>
      <c r="M35" s="1"/>
      <c r="N35" s="1"/>
      <c r="O35" s="1"/>
      <c r="P35" s="1"/>
      <c r="Q35" s="1"/>
      <c r="R35" s="6"/>
      <c r="S35" s="1"/>
      <c r="T35" s="1"/>
    </row>
    <row r="36" spans="1:20" x14ac:dyDescent="0.35">
      <c r="A36" s="1"/>
      <c r="B36" s="5"/>
      <c r="C36" s="25" t="s">
        <v>242</v>
      </c>
      <c r="D36" s="26">
        <v>4610650.4035437796</v>
      </c>
      <c r="E36" s="28">
        <v>0.419982406749843</v>
      </c>
      <c r="F36" s="26">
        <v>6230866.4835519902</v>
      </c>
      <c r="G36" s="28">
        <v>0.56756727855309996</v>
      </c>
      <c r="H36" s="26">
        <v>136682.03134143399</v>
      </c>
      <c r="I36" s="28">
        <v>1.2450314697056999E-2</v>
      </c>
      <c r="J36" s="1"/>
      <c r="K36" s="1"/>
      <c r="L36" s="1"/>
      <c r="M36" s="1"/>
      <c r="N36" s="1"/>
      <c r="O36" s="1"/>
      <c r="P36" s="1"/>
      <c r="Q36" s="1"/>
      <c r="R36" s="6"/>
      <c r="S36" s="1"/>
      <c r="T36" s="1"/>
    </row>
    <row r="37" spans="1:20" x14ac:dyDescent="0.35">
      <c r="A37" s="1"/>
      <c r="B37" s="5"/>
      <c r="C37" s="25" t="s">
        <v>243</v>
      </c>
      <c r="D37" s="26">
        <v>627048454.88195395</v>
      </c>
      <c r="E37" s="28">
        <v>0.419982406749843</v>
      </c>
      <c r="F37" s="26">
        <v>847397841.76307094</v>
      </c>
      <c r="G37" s="28">
        <v>0.56756727855309996</v>
      </c>
      <c r="H37" s="26">
        <v>18588756.262435</v>
      </c>
      <c r="I37" s="28">
        <v>1.2450314697056999E-2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77.13</v>
      </c>
      <c r="E43" s="26">
        <v>30</v>
      </c>
      <c r="F43" s="28">
        <v>8.3872697549893405E-4</v>
      </c>
      <c r="G43" s="26">
        <v>47832.18</v>
      </c>
      <c r="H43" s="26">
        <v>184</v>
      </c>
      <c r="I43" s="28">
        <v>0.52013664803475401</v>
      </c>
      <c r="J43" s="26">
        <v>44051.485650000002</v>
      </c>
      <c r="K43" s="26">
        <v>5232</v>
      </c>
      <c r="L43" s="28">
        <v>0.47902462498974702</v>
      </c>
      <c r="M43" s="26">
        <v>0</v>
      </c>
      <c r="N43" s="25"/>
      <c r="O43" s="28">
        <v>0</v>
      </c>
      <c r="P43" s="26">
        <v>0</v>
      </c>
      <c r="Q43" s="25"/>
      <c r="R43" s="28">
        <v>0</v>
      </c>
      <c r="S43" s="1"/>
      <c r="T43" s="1"/>
    </row>
    <row r="44" spans="1:20" x14ac:dyDescent="0.35">
      <c r="A44" s="1"/>
      <c r="B44" s="5"/>
      <c r="C44" s="25" t="s">
        <v>239</v>
      </c>
      <c r="D44" s="26">
        <v>331.21199999999999</v>
      </c>
      <c r="E44" s="26">
        <v>38</v>
      </c>
      <c r="F44" s="28">
        <v>4.0888000633099103E-3</v>
      </c>
      <c r="G44" s="26">
        <v>4974.1149999999998</v>
      </c>
      <c r="H44" s="26">
        <v>20</v>
      </c>
      <c r="I44" s="28">
        <v>6.1405268308245997E-2</v>
      </c>
      <c r="J44" s="26">
        <v>75699.367499999993</v>
      </c>
      <c r="K44" s="26">
        <v>6147</v>
      </c>
      <c r="L44" s="28">
        <v>0.93450593162844398</v>
      </c>
      <c r="M44" s="26">
        <v>0</v>
      </c>
      <c r="N44" s="25"/>
      <c r="O44" s="28">
        <v>0</v>
      </c>
      <c r="P44" s="26">
        <v>0</v>
      </c>
      <c r="Q44" s="25"/>
      <c r="R44" s="28">
        <v>0</v>
      </c>
      <c r="S44" s="1"/>
      <c r="T44" s="1"/>
    </row>
    <row r="45" spans="1:20" x14ac:dyDescent="0.35">
      <c r="A45" s="1"/>
      <c r="B45" s="5"/>
      <c r="C45" s="25" t="s">
        <v>252</v>
      </c>
      <c r="D45" s="26">
        <v>16458.615823529399</v>
      </c>
      <c r="E45" s="26">
        <v>3074.8235294117599</v>
      </c>
      <c r="F45" s="28">
        <v>1.60269696870702E-3</v>
      </c>
      <c r="G45" s="26">
        <v>4750036.4013235299</v>
      </c>
      <c r="H45" s="26">
        <v>21332.1176470588</v>
      </c>
      <c r="I45" s="28">
        <v>0.462546123153672</v>
      </c>
      <c r="J45" s="26">
        <v>5502640.6634258796</v>
      </c>
      <c r="K45" s="26">
        <v>56336.352941176498</v>
      </c>
      <c r="L45" s="28">
        <v>0.53583275809553799</v>
      </c>
      <c r="M45" s="26">
        <v>86.437647058823501</v>
      </c>
      <c r="N45" s="26">
        <v>29.411764705882401</v>
      </c>
      <c r="O45" s="28">
        <v>8.4170720313730597E-6</v>
      </c>
      <c r="P45" s="26">
        <v>102.741617647059</v>
      </c>
      <c r="Q45" s="26">
        <v>17.647058823529399</v>
      </c>
      <c r="R45" s="28">
        <v>1.0004710051473E-5</v>
      </c>
      <c r="S45" s="1"/>
      <c r="T45" s="1"/>
    </row>
    <row r="46" spans="1:20" x14ac:dyDescent="0.35">
      <c r="A46" s="1"/>
      <c r="B46" s="5"/>
      <c r="C46" s="25" t="s">
        <v>241</v>
      </c>
      <c r="D46" s="26">
        <v>26872.137999999999</v>
      </c>
      <c r="E46" s="26">
        <v>6742</v>
      </c>
      <c r="F46" s="28">
        <v>1.1165210821984699E-3</v>
      </c>
      <c r="G46" s="26">
        <v>12066569.2225</v>
      </c>
      <c r="H46" s="26">
        <v>51294</v>
      </c>
      <c r="I46" s="28">
        <v>0.50135865358865395</v>
      </c>
      <c r="J46" s="26">
        <v>11973897.24456</v>
      </c>
      <c r="K46" s="26">
        <v>146319</v>
      </c>
      <c r="L46" s="28">
        <v>0.497508188951301</v>
      </c>
      <c r="M46" s="26">
        <v>0</v>
      </c>
      <c r="N46" s="25"/>
      <c r="O46" s="28">
        <v>0</v>
      </c>
      <c r="P46" s="26">
        <v>400.4</v>
      </c>
      <c r="Q46" s="26">
        <v>70</v>
      </c>
      <c r="R46" s="28">
        <v>1.6636377846536399E-5</v>
      </c>
      <c r="S46" s="1"/>
      <c r="T46" s="1"/>
    </row>
    <row r="47" spans="1:20" x14ac:dyDescent="0.35">
      <c r="A47" s="1"/>
      <c r="B47" s="5"/>
      <c r="C47" s="25" t="s">
        <v>242</v>
      </c>
      <c r="D47" s="26">
        <v>2057.3269779411798</v>
      </c>
      <c r="E47" s="26">
        <v>384.35294117647101</v>
      </c>
      <c r="F47" s="28">
        <v>1.60269696870702E-3</v>
      </c>
      <c r="G47" s="26">
        <v>593754.550165441</v>
      </c>
      <c r="H47" s="26">
        <v>2666.51470588235</v>
      </c>
      <c r="I47" s="28">
        <v>0.462546123153672</v>
      </c>
      <c r="J47" s="26">
        <v>687830.08292823494</v>
      </c>
      <c r="K47" s="26">
        <v>7042.0441176470604</v>
      </c>
      <c r="L47" s="28">
        <v>0.53583275809553799</v>
      </c>
      <c r="M47" s="26">
        <v>10.8047058823529</v>
      </c>
      <c r="N47" s="26">
        <v>3.6764705882352899</v>
      </c>
      <c r="O47" s="28">
        <v>8.4170720313730292E-6</v>
      </c>
      <c r="P47" s="26">
        <v>12.8427022058824</v>
      </c>
      <c r="Q47" s="26">
        <v>2.2058823529411802</v>
      </c>
      <c r="R47" s="28">
        <v>1.0004710051473E-5</v>
      </c>
      <c r="S47" s="1"/>
      <c r="T47" s="1"/>
    </row>
    <row r="48" spans="1:20" x14ac:dyDescent="0.35">
      <c r="A48" s="1"/>
      <c r="B48" s="9"/>
      <c r="C48" s="25" t="s">
        <v>243</v>
      </c>
      <c r="D48" s="26">
        <v>279796.46899999998</v>
      </c>
      <c r="E48" s="26">
        <v>52272</v>
      </c>
      <c r="F48" s="28">
        <v>1.60269696870702E-3</v>
      </c>
      <c r="G48" s="26">
        <v>80750618.822500005</v>
      </c>
      <c r="H48" s="26">
        <v>362646</v>
      </c>
      <c r="I48" s="28">
        <v>0.462546123153672</v>
      </c>
      <c r="J48" s="26">
        <v>93544891.278239995</v>
      </c>
      <c r="K48" s="26">
        <v>957718</v>
      </c>
      <c r="L48" s="28">
        <v>0.53583275809553799</v>
      </c>
      <c r="M48" s="26">
        <v>1469.44</v>
      </c>
      <c r="N48" s="26">
        <v>500</v>
      </c>
      <c r="O48" s="28">
        <v>8.4170720313730597E-6</v>
      </c>
      <c r="P48" s="26">
        <v>1746.6075000000001</v>
      </c>
      <c r="Q48" s="26">
        <v>300</v>
      </c>
      <c r="R48" s="28">
        <v>1.0004710051473E-5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37540</v>
      </c>
      <c r="G8" s="32">
        <v>6.7923685818379997E-3</v>
      </c>
      <c r="H8" s="1"/>
      <c r="I8" s="6"/>
      <c r="J8" s="1"/>
      <c r="K8" s="1"/>
    </row>
    <row r="9" spans="1:11" x14ac:dyDescent="0.35">
      <c r="A9" s="1"/>
      <c r="B9" s="5"/>
      <c r="C9" s="20" t="s">
        <v>260</v>
      </c>
      <c r="D9" s="20" t="s">
        <v>261</v>
      </c>
      <c r="E9" s="30">
        <v>7.8527323043468995E-3</v>
      </c>
      <c r="F9" s="31">
        <v>4895</v>
      </c>
      <c r="G9" s="32">
        <v>1.6837774870572399E-2</v>
      </c>
      <c r="H9" s="1"/>
      <c r="I9" s="6"/>
      <c r="J9" s="1"/>
      <c r="K9" s="1"/>
    </row>
    <row r="10" spans="1:11" x14ac:dyDescent="0.35">
      <c r="A10" s="1"/>
      <c r="B10" s="5"/>
      <c r="C10" s="20" t="s">
        <v>262</v>
      </c>
      <c r="D10" s="20" t="s">
        <v>263</v>
      </c>
      <c r="E10" s="30">
        <v>9.8277651090288003E-3</v>
      </c>
      <c r="F10" s="31">
        <v>10880</v>
      </c>
      <c r="G10" s="32">
        <v>4.6837625831168801E-2</v>
      </c>
      <c r="H10" s="1"/>
      <c r="I10" s="6"/>
      <c r="J10" s="1"/>
      <c r="K10" s="1"/>
    </row>
    <row r="11" spans="1:11" x14ac:dyDescent="0.35">
      <c r="A11" s="1"/>
      <c r="B11" s="5"/>
      <c r="C11" s="20" t="s">
        <v>264</v>
      </c>
      <c r="D11" s="20" t="s">
        <v>265</v>
      </c>
      <c r="E11" s="30">
        <v>4.1029674441539999E-3</v>
      </c>
      <c r="F11" s="31">
        <v>83500</v>
      </c>
      <c r="G11" s="32">
        <v>0.15007064736974501</v>
      </c>
      <c r="H11" s="1"/>
      <c r="I11" s="6"/>
      <c r="J11" s="1"/>
      <c r="K11" s="1"/>
    </row>
    <row r="12" spans="1:11" x14ac:dyDescent="0.35">
      <c r="A12" s="1"/>
      <c r="B12" s="5"/>
      <c r="C12" s="20" t="s">
        <v>266</v>
      </c>
      <c r="D12" s="20" t="s">
        <v>267</v>
      </c>
      <c r="E12" s="30">
        <v>1.4871708505101E-3</v>
      </c>
      <c r="F12" s="31">
        <v>18680</v>
      </c>
      <c r="G12" s="32">
        <v>1.2168833413288E-2</v>
      </c>
      <c r="H12" s="1"/>
      <c r="I12" s="6"/>
      <c r="J12" s="1"/>
      <c r="K12" s="1"/>
    </row>
    <row r="13" spans="1:11" x14ac:dyDescent="0.35">
      <c r="A13" s="1"/>
      <c r="B13" s="5"/>
      <c r="C13" s="20" t="s">
        <v>268</v>
      </c>
      <c r="D13" s="20" t="s">
        <v>269</v>
      </c>
      <c r="E13" s="30">
        <v>8.4582993876545498E-2</v>
      </c>
      <c r="F13" s="31">
        <v>2525</v>
      </c>
      <c r="G13" s="32">
        <v>9.35525533368715E-2</v>
      </c>
      <c r="H13" s="1"/>
      <c r="I13" s="6"/>
      <c r="J13" s="1"/>
      <c r="K13" s="1"/>
    </row>
    <row r="14" spans="1:11" x14ac:dyDescent="0.35">
      <c r="A14" s="1"/>
      <c r="B14" s="5"/>
      <c r="C14" s="20" t="s">
        <v>270</v>
      </c>
      <c r="D14" s="20" t="s">
        <v>271</v>
      </c>
      <c r="E14" s="30">
        <v>2.4377301188076E-3</v>
      </c>
      <c r="F14" s="31">
        <v>4550</v>
      </c>
      <c r="G14" s="32">
        <v>4.8585673725967003E-3</v>
      </c>
      <c r="H14" s="1"/>
      <c r="I14" s="6"/>
      <c r="J14" s="1"/>
      <c r="K14" s="1"/>
    </row>
    <row r="15" spans="1:11" x14ac:dyDescent="0.35">
      <c r="A15" s="1"/>
      <c r="B15" s="5"/>
      <c r="C15" s="20" t="s">
        <v>272</v>
      </c>
      <c r="D15" s="20" t="s">
        <v>273</v>
      </c>
      <c r="E15" s="30">
        <v>4.5164590039541597E-2</v>
      </c>
      <c r="F15" s="31">
        <v>2800</v>
      </c>
      <c r="G15" s="32">
        <v>5.5394585029947097E-2</v>
      </c>
      <c r="H15" s="1"/>
      <c r="I15" s="6"/>
      <c r="J15" s="1"/>
      <c r="K15" s="1"/>
    </row>
    <row r="16" spans="1:11" x14ac:dyDescent="0.35">
      <c r="A16" s="1"/>
      <c r="B16" s="5"/>
      <c r="C16" s="20" t="s">
        <v>274</v>
      </c>
      <c r="D16" s="20" t="s">
        <v>275</v>
      </c>
      <c r="E16" s="30">
        <v>2.410139499907E-4</v>
      </c>
      <c r="F16" s="31">
        <v>78540</v>
      </c>
      <c r="G16" s="32">
        <v>8.2917134851005006E-3</v>
      </c>
      <c r="H16" s="1"/>
      <c r="I16" s="6"/>
      <c r="J16" s="1"/>
      <c r="K16" s="1"/>
    </row>
    <row r="17" spans="1:11" x14ac:dyDescent="0.35">
      <c r="A17" s="1"/>
      <c r="B17" s="5"/>
      <c r="C17" s="20" t="s">
        <v>276</v>
      </c>
      <c r="D17" s="20" t="s">
        <v>277</v>
      </c>
      <c r="E17" s="30">
        <v>5.7671933858068998E-3</v>
      </c>
      <c r="F17" s="31">
        <v>16600</v>
      </c>
      <c r="G17" s="32">
        <v>4.19356918163203E-2</v>
      </c>
      <c r="H17" s="1"/>
      <c r="I17" s="6"/>
      <c r="J17" s="1"/>
      <c r="K17" s="1"/>
    </row>
    <row r="18" spans="1:11" x14ac:dyDescent="0.35">
      <c r="A18" s="1"/>
      <c r="B18" s="5"/>
      <c r="C18" s="20" t="s">
        <v>278</v>
      </c>
      <c r="D18" s="20" t="s">
        <v>279</v>
      </c>
      <c r="E18" s="30">
        <v>2.2248560936720002E-3</v>
      </c>
      <c r="F18" s="31">
        <v>53480</v>
      </c>
      <c r="G18" s="32">
        <v>5.2120015195335503E-2</v>
      </c>
      <c r="H18" s="1"/>
      <c r="I18" s="6"/>
      <c r="J18" s="1"/>
      <c r="K18" s="1"/>
    </row>
    <row r="19" spans="1:11" x14ac:dyDescent="0.35">
      <c r="A19" s="1"/>
      <c r="B19" s="5"/>
      <c r="C19" s="20" t="s">
        <v>280</v>
      </c>
      <c r="D19" s="20" t="s">
        <v>281</v>
      </c>
      <c r="E19" s="30">
        <v>7.9257523416149996E-3</v>
      </c>
      <c r="F19" s="31">
        <v>28900</v>
      </c>
      <c r="G19" s="32">
        <v>0.10033432884900099</v>
      </c>
      <c r="H19" s="1"/>
      <c r="I19" s="6"/>
      <c r="J19" s="1"/>
      <c r="K19" s="1"/>
    </row>
    <row r="20" spans="1:11" x14ac:dyDescent="0.35">
      <c r="A20" s="1"/>
      <c r="B20" s="5"/>
      <c r="C20" s="20" t="s">
        <v>282</v>
      </c>
      <c r="D20" s="20" t="s">
        <v>283</v>
      </c>
      <c r="E20" s="30">
        <v>1.4550210465666001E-3</v>
      </c>
      <c r="F20" s="31">
        <v>15960</v>
      </c>
      <c r="G20" s="32">
        <v>1.0172164431888699E-2</v>
      </c>
      <c r="H20" s="1"/>
      <c r="I20" s="6"/>
      <c r="J20" s="1"/>
      <c r="K20" s="1"/>
    </row>
    <row r="21" spans="1:11" x14ac:dyDescent="0.35">
      <c r="A21" s="1"/>
      <c r="B21" s="5"/>
      <c r="C21" s="20" t="s">
        <v>284</v>
      </c>
      <c r="D21" s="20" t="s">
        <v>285</v>
      </c>
      <c r="E21" s="30">
        <v>5.3614852097960003E-4</v>
      </c>
      <c r="F21" s="31">
        <v>62500</v>
      </c>
      <c r="G21" s="32">
        <v>1.4678319583875899E-2</v>
      </c>
      <c r="H21" s="1"/>
      <c r="I21" s="6"/>
      <c r="J21" s="1"/>
      <c r="K21" s="1"/>
    </row>
    <row r="22" spans="1:11" x14ac:dyDescent="0.35">
      <c r="A22" s="1"/>
      <c r="B22" s="5"/>
      <c r="C22" s="20" t="s">
        <v>286</v>
      </c>
      <c r="D22" s="20" t="s">
        <v>287</v>
      </c>
      <c r="E22" s="30">
        <v>7.1019350628283101E-2</v>
      </c>
      <c r="F22" s="31">
        <v>775</v>
      </c>
      <c r="G22" s="32">
        <v>2.41095780109244E-2</v>
      </c>
      <c r="H22" s="1"/>
      <c r="I22" s="6"/>
      <c r="J22" s="1"/>
      <c r="K22" s="1"/>
    </row>
    <row r="23" spans="1:11" x14ac:dyDescent="0.35">
      <c r="A23" s="1"/>
      <c r="B23" s="5"/>
      <c r="C23" s="20" t="s">
        <v>288</v>
      </c>
      <c r="D23" s="20" t="s">
        <v>265</v>
      </c>
      <c r="E23" s="30">
        <v>7.9443627830654995E-3</v>
      </c>
      <c r="F23" s="31">
        <v>70280</v>
      </c>
      <c r="G23" s="32">
        <v>0.24456935069444199</v>
      </c>
      <c r="H23" s="1"/>
      <c r="I23" s="6"/>
      <c r="J23" s="1"/>
      <c r="K23" s="1"/>
    </row>
    <row r="24" spans="1:11" x14ac:dyDescent="0.35">
      <c r="A24" s="1"/>
      <c r="B24" s="5"/>
      <c r="C24" s="20" t="s">
        <v>289</v>
      </c>
      <c r="D24" s="20" t="s">
        <v>267</v>
      </c>
      <c r="E24" s="30">
        <v>3.0094580312550002E-4</v>
      </c>
      <c r="F24" s="31">
        <v>17560</v>
      </c>
      <c r="G24" s="32">
        <v>2.3148561716776002E-3</v>
      </c>
      <c r="H24" s="1"/>
      <c r="I24" s="6"/>
      <c r="J24" s="1"/>
      <c r="K24" s="1"/>
    </row>
    <row r="25" spans="1:11" x14ac:dyDescent="0.35">
      <c r="A25" s="1"/>
      <c r="B25" s="5"/>
      <c r="C25" s="20" t="s">
        <v>290</v>
      </c>
      <c r="D25" s="20" t="s">
        <v>291</v>
      </c>
      <c r="E25" s="30">
        <v>1.8944039787343E-3</v>
      </c>
      <c r="F25" s="31">
        <v>32100</v>
      </c>
      <c r="G25" s="32">
        <v>2.6637216411234701E-2</v>
      </c>
      <c r="H25" s="1"/>
      <c r="I25" s="6"/>
      <c r="J25" s="1"/>
      <c r="K25" s="1"/>
    </row>
    <row r="26" spans="1:11" x14ac:dyDescent="0.35">
      <c r="A26" s="1"/>
      <c r="B26" s="5"/>
      <c r="C26" s="20" t="s">
        <v>292</v>
      </c>
      <c r="D26" s="20" t="s">
        <v>277</v>
      </c>
      <c r="E26" s="30">
        <v>4.9389373834562997E-3</v>
      </c>
      <c r="F26" s="31">
        <v>12100</v>
      </c>
      <c r="G26" s="32">
        <v>2.6177616436838101E-2</v>
      </c>
      <c r="H26" s="1"/>
      <c r="I26" s="6"/>
      <c r="J26" s="1"/>
      <c r="K26" s="1"/>
    </row>
    <row r="27" spans="1:11" x14ac:dyDescent="0.35">
      <c r="A27" s="1"/>
      <c r="B27" s="5"/>
      <c r="C27" s="20" t="s">
        <v>293</v>
      </c>
      <c r="D27" s="20" t="s">
        <v>279</v>
      </c>
      <c r="E27" s="30">
        <v>2.7508191506189E-3</v>
      </c>
      <c r="F27" s="31">
        <v>42600</v>
      </c>
      <c r="G27" s="32">
        <v>5.13313690931161E-2</v>
      </c>
      <c r="H27" s="1"/>
      <c r="I27" s="6"/>
      <c r="J27" s="1"/>
      <c r="K27" s="1"/>
    </row>
    <row r="28" spans="1:11" x14ac:dyDescent="0.35">
      <c r="A28" s="1"/>
      <c r="B28" s="5"/>
      <c r="C28" s="20" t="s">
        <v>294</v>
      </c>
      <c r="D28" s="20" t="s">
        <v>295</v>
      </c>
      <c r="E28" s="30">
        <v>2.0300406334064001E-3</v>
      </c>
      <c r="F28" s="31">
        <v>6510</v>
      </c>
      <c r="G28" s="32">
        <v>5.7889117501241996E-3</v>
      </c>
      <c r="H28" s="1"/>
      <c r="I28" s="6"/>
      <c r="J28" s="1"/>
      <c r="K28" s="1"/>
    </row>
    <row r="29" spans="1:11" x14ac:dyDescent="0.35">
      <c r="A29" s="1"/>
      <c r="B29" s="5"/>
      <c r="C29" s="20" t="s">
        <v>296</v>
      </c>
      <c r="D29" s="20" t="s">
        <v>297</v>
      </c>
      <c r="E29" s="30">
        <v>6.4907212788069995E-4</v>
      </c>
      <c r="F29" s="31">
        <v>17680</v>
      </c>
      <c r="G29" s="32">
        <v>5.0267400909066E-3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0.100446359716311</v>
      </c>
      <c r="H34" s="1"/>
      <c r="I34" s="6"/>
      <c r="J34" s="1"/>
      <c r="K34" s="1"/>
    </row>
    <row r="35" spans="1:11" x14ac:dyDescent="0.35">
      <c r="A35" s="1"/>
      <c r="B35" s="5"/>
      <c r="C35" s="20" t="s">
        <v>337</v>
      </c>
      <c r="D35" s="20" t="s">
        <v>338</v>
      </c>
      <c r="E35" s="20" t="s">
        <v>339</v>
      </c>
      <c r="F35" s="20" t="s">
        <v>340</v>
      </c>
      <c r="G35" s="32">
        <v>6.9003989856535594E-2</v>
      </c>
      <c r="H35" s="1"/>
      <c r="I35" s="6"/>
      <c r="J35" s="1"/>
      <c r="K35" s="1"/>
    </row>
    <row r="36" spans="1:11" x14ac:dyDescent="0.35">
      <c r="A36" s="1"/>
      <c r="B36" s="5"/>
      <c r="C36" s="20" t="s">
        <v>341</v>
      </c>
      <c r="D36" s="20" t="s">
        <v>342</v>
      </c>
      <c r="E36" s="20" t="s">
        <v>343</v>
      </c>
      <c r="F36" s="20" t="s">
        <v>344</v>
      </c>
      <c r="G36" s="32">
        <v>4.6601982485962201E-2</v>
      </c>
      <c r="H36" s="1"/>
      <c r="I36" s="6"/>
      <c r="J36" s="1"/>
      <c r="K36" s="1"/>
    </row>
    <row r="37" spans="1:11" x14ac:dyDescent="0.35">
      <c r="A37" s="1"/>
      <c r="B37" s="5"/>
      <c r="C37" s="20" t="s">
        <v>345</v>
      </c>
      <c r="D37" s="20" t="s">
        <v>346</v>
      </c>
      <c r="E37" s="20" t="s">
        <v>347</v>
      </c>
      <c r="F37" s="20" t="s">
        <v>348</v>
      </c>
      <c r="G37" s="32">
        <v>5.6344388931214601E-2</v>
      </c>
      <c r="H37" s="1"/>
      <c r="I37" s="6"/>
      <c r="J37" s="1"/>
      <c r="K37" s="1"/>
    </row>
    <row r="38" spans="1:11" x14ac:dyDescent="0.35">
      <c r="A38" s="1"/>
      <c r="B38" s="5"/>
      <c r="C38" s="20" t="s">
        <v>349</v>
      </c>
      <c r="D38" s="20" t="s">
        <v>350</v>
      </c>
      <c r="E38" s="20" t="s">
        <v>351</v>
      </c>
      <c r="F38" s="20" t="s">
        <v>352</v>
      </c>
      <c r="G38" s="32">
        <v>0.11960483549400699</v>
      </c>
      <c r="H38" s="1"/>
      <c r="I38" s="6"/>
      <c r="J38" s="1"/>
      <c r="K38" s="1"/>
    </row>
    <row r="39" spans="1:11" x14ac:dyDescent="0.35">
      <c r="A39" s="1"/>
      <c r="B39" s="5"/>
      <c r="C39" s="20" t="s">
        <v>353</v>
      </c>
      <c r="D39" s="20" t="s">
        <v>354</v>
      </c>
      <c r="E39" s="20" t="s">
        <v>355</v>
      </c>
      <c r="F39" s="20" t="s">
        <v>356</v>
      </c>
      <c r="G39" s="32">
        <v>9.8821001078981202E-2</v>
      </c>
      <c r="H39" s="1"/>
      <c r="I39" s="6"/>
      <c r="J39" s="1"/>
      <c r="K39" s="1"/>
    </row>
    <row r="40" spans="1:11" x14ac:dyDescent="0.35">
      <c r="A40" s="1"/>
      <c r="B40" s="5"/>
      <c r="C40" s="20" t="s">
        <v>357</v>
      </c>
      <c r="D40" s="20" t="s">
        <v>358</v>
      </c>
      <c r="E40" s="20" t="s">
        <v>359</v>
      </c>
      <c r="F40" s="20" t="s">
        <v>360</v>
      </c>
      <c r="G40" s="32">
        <v>2.24901563334465E-2</v>
      </c>
      <c r="H40" s="1"/>
      <c r="I40" s="6"/>
      <c r="J40" s="1"/>
      <c r="K40" s="1"/>
    </row>
    <row r="41" spans="1:11" x14ac:dyDescent="0.35">
      <c r="A41" s="1"/>
      <c r="B41" s="5"/>
      <c r="C41" s="20" t="s">
        <v>361</v>
      </c>
      <c r="D41" s="20" t="s">
        <v>362</v>
      </c>
      <c r="E41" s="20" t="s">
        <v>363</v>
      </c>
      <c r="F41" s="20" t="s">
        <v>364</v>
      </c>
      <c r="G41" s="32">
        <v>5.0380562948291602E-2</v>
      </c>
      <c r="H41" s="1"/>
      <c r="I41" s="6"/>
      <c r="J41" s="1"/>
      <c r="K41" s="1"/>
    </row>
    <row r="42" spans="1:11" x14ac:dyDescent="0.35">
      <c r="A42" s="1"/>
      <c r="B42" s="5"/>
      <c r="C42" s="20" t="s">
        <v>365</v>
      </c>
      <c r="D42" s="20" t="s">
        <v>366</v>
      </c>
      <c r="E42" s="20" t="s">
        <v>367</v>
      </c>
      <c r="F42" s="20" t="s">
        <v>368</v>
      </c>
      <c r="G42" s="32">
        <v>2.7446593155867199E-2</v>
      </c>
      <c r="H42" s="1"/>
      <c r="I42" s="6"/>
      <c r="J42" s="1"/>
      <c r="K42" s="1"/>
    </row>
    <row r="43" spans="1:11" x14ac:dyDescent="0.35">
      <c r="A43" s="1"/>
      <c r="B43" s="5"/>
      <c r="C43" s="20" t="s">
        <v>369</v>
      </c>
      <c r="D43" s="20" t="s">
        <v>370</v>
      </c>
      <c r="E43" s="20" t="s">
        <v>371</v>
      </c>
      <c r="F43" s="20" t="s">
        <v>372</v>
      </c>
      <c r="G43" s="32">
        <v>7.6359615349968102E-2</v>
      </c>
      <c r="H43" s="1"/>
      <c r="I43" s="6"/>
      <c r="J43" s="1"/>
      <c r="K43" s="1"/>
    </row>
    <row r="44" spans="1:11" x14ac:dyDescent="0.35">
      <c r="A44" s="1"/>
      <c r="B44" s="5"/>
      <c r="C44" s="20" t="s">
        <v>373</v>
      </c>
      <c r="D44" s="20" t="s">
        <v>374</v>
      </c>
      <c r="E44" s="20" t="s">
        <v>375</v>
      </c>
      <c r="F44" s="20" t="s">
        <v>376</v>
      </c>
      <c r="G44" s="32">
        <v>6.1059491899989E-2</v>
      </c>
      <c r="H44" s="1"/>
      <c r="I44" s="6"/>
      <c r="J44" s="1"/>
      <c r="K44" s="1"/>
    </row>
    <row r="45" spans="1:11" x14ac:dyDescent="0.35">
      <c r="A45" s="1"/>
      <c r="B45" s="5"/>
      <c r="C45" s="20" t="s">
        <v>377</v>
      </c>
      <c r="D45" s="20" t="s">
        <v>378</v>
      </c>
      <c r="E45" s="20" t="s">
        <v>379</v>
      </c>
      <c r="F45" s="20" t="s">
        <v>380</v>
      </c>
      <c r="G45" s="32">
        <v>4.7425704134281502E-2</v>
      </c>
      <c r="H45" s="1"/>
      <c r="I45" s="6"/>
      <c r="J45" s="1"/>
      <c r="K45" s="1"/>
    </row>
    <row r="46" spans="1:11" x14ac:dyDescent="0.35">
      <c r="A46" s="1"/>
      <c r="B46" s="5"/>
      <c r="C46" s="20" t="s">
        <v>381</v>
      </c>
      <c r="D46" s="20" t="s">
        <v>382</v>
      </c>
      <c r="E46" s="20" t="s">
        <v>383</v>
      </c>
      <c r="F46" s="20" t="s">
        <v>384</v>
      </c>
      <c r="G46" s="32">
        <v>8.2913137214531502E-2</v>
      </c>
      <c r="H46" s="1"/>
      <c r="I46" s="6"/>
      <c r="J46" s="1"/>
      <c r="K46" s="1"/>
    </row>
    <row r="47" spans="1:11" x14ac:dyDescent="0.35">
      <c r="A47" s="1"/>
      <c r="B47" s="5"/>
      <c r="C47" s="20" t="s">
        <v>385</v>
      </c>
      <c r="D47" s="20" t="s">
        <v>386</v>
      </c>
      <c r="E47" s="20" t="s">
        <v>387</v>
      </c>
      <c r="F47" s="20" t="s">
        <v>388</v>
      </c>
      <c r="G47" s="32">
        <v>7.9185201207759195E-2</v>
      </c>
      <c r="H47" s="1"/>
      <c r="I47" s="6"/>
      <c r="J47" s="1"/>
      <c r="K47" s="1"/>
    </row>
    <row r="48" spans="1:11" x14ac:dyDescent="0.35">
      <c r="A48" s="1"/>
      <c r="B48" s="5"/>
      <c r="C48" s="20" t="s">
        <v>389</v>
      </c>
      <c r="D48" s="20" t="s">
        <v>390</v>
      </c>
      <c r="E48" s="20" t="s">
        <v>391</v>
      </c>
      <c r="F48" s="20" t="s">
        <v>392</v>
      </c>
      <c r="G48" s="32">
        <v>2.9357061138916202E-2</v>
      </c>
      <c r="H48" s="1"/>
      <c r="I48" s="6"/>
      <c r="J48" s="1"/>
      <c r="K48" s="1"/>
    </row>
    <row r="49" spans="1:11" x14ac:dyDescent="0.35">
      <c r="A49" s="1"/>
      <c r="B49" s="5"/>
      <c r="C49" s="20" t="s">
        <v>393</v>
      </c>
      <c r="D49" s="20" t="s">
        <v>394</v>
      </c>
      <c r="E49" s="20" t="s">
        <v>395</v>
      </c>
      <c r="F49" s="20" t="s">
        <v>396</v>
      </c>
      <c r="G49" s="32">
        <v>3.2559919053937202E-2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0.25165891673047802</v>
      </c>
      <c r="H55" s="1"/>
      <c r="I55" s="6"/>
      <c r="J55" s="1"/>
      <c r="K55" s="1"/>
    </row>
    <row r="56" spans="1:11" x14ac:dyDescent="0.35">
      <c r="A56" s="1"/>
      <c r="B56" s="5"/>
      <c r="C56" s="20" t="s">
        <v>337</v>
      </c>
      <c r="D56" s="20" t="s">
        <v>399</v>
      </c>
      <c r="E56" s="20" t="s">
        <v>400</v>
      </c>
      <c r="F56" s="20" t="s">
        <v>340</v>
      </c>
      <c r="G56" s="32">
        <v>0.17288301327876901</v>
      </c>
      <c r="H56" s="1"/>
      <c r="I56" s="6"/>
      <c r="J56" s="1"/>
      <c r="K56" s="1"/>
    </row>
    <row r="57" spans="1:11" x14ac:dyDescent="0.35">
      <c r="A57" s="1"/>
      <c r="B57" s="5"/>
      <c r="C57" s="20" t="s">
        <v>341</v>
      </c>
      <c r="D57" s="20" t="s">
        <v>401</v>
      </c>
      <c r="E57" s="20" t="s">
        <v>402</v>
      </c>
      <c r="F57" s="20" t="s">
        <v>344</v>
      </c>
      <c r="G57" s="32">
        <v>0.116756888620831</v>
      </c>
      <c r="H57" s="1"/>
      <c r="I57" s="6"/>
      <c r="J57" s="1"/>
      <c r="K57" s="1"/>
    </row>
    <row r="58" spans="1:11" x14ac:dyDescent="0.35">
      <c r="A58" s="1"/>
      <c r="B58" s="5"/>
      <c r="C58" s="20" t="s">
        <v>345</v>
      </c>
      <c r="D58" s="20" t="s">
        <v>403</v>
      </c>
      <c r="E58" s="20" t="s">
        <v>404</v>
      </c>
      <c r="F58" s="20" t="s">
        <v>348</v>
      </c>
      <c r="G58" s="32">
        <v>0.14116557259078</v>
      </c>
      <c r="H58" s="1"/>
      <c r="I58" s="6"/>
      <c r="J58" s="1"/>
      <c r="K58" s="1"/>
    </row>
    <row r="59" spans="1:11" x14ac:dyDescent="0.35">
      <c r="A59" s="1"/>
      <c r="B59" s="5"/>
      <c r="C59" s="20" t="s">
        <v>361</v>
      </c>
      <c r="D59" s="20" t="s">
        <v>405</v>
      </c>
      <c r="E59" s="20" t="s">
        <v>406</v>
      </c>
      <c r="F59" s="20" t="s">
        <v>364</v>
      </c>
      <c r="G59" s="32">
        <v>0.12622376691655601</v>
      </c>
      <c r="H59" s="1"/>
      <c r="I59" s="6"/>
      <c r="J59" s="1"/>
      <c r="K59" s="1"/>
    </row>
    <row r="60" spans="1:11" x14ac:dyDescent="0.35">
      <c r="A60" s="1"/>
      <c r="B60" s="5"/>
      <c r="C60" s="20" t="s">
        <v>369</v>
      </c>
      <c r="D60" s="20" t="s">
        <v>407</v>
      </c>
      <c r="E60" s="20" t="s">
        <v>408</v>
      </c>
      <c r="F60" s="20" t="s">
        <v>372</v>
      </c>
      <c r="G60" s="32">
        <v>0.19131184186258601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0.19905505153536199</v>
      </c>
      <c r="H66" s="1"/>
      <c r="I66" s="6"/>
      <c r="J66" s="1"/>
      <c r="K66" s="1"/>
    </row>
    <row r="67" spans="1:11" x14ac:dyDescent="0.35">
      <c r="A67" s="1"/>
      <c r="B67" s="5"/>
      <c r="C67" s="20" t="s">
        <v>353</v>
      </c>
      <c r="D67" s="20" t="s">
        <v>411</v>
      </c>
      <c r="E67" s="20" t="s">
        <v>412</v>
      </c>
      <c r="F67" s="20" t="s">
        <v>356</v>
      </c>
      <c r="G67" s="32">
        <v>0.164465085230626</v>
      </c>
      <c r="H67" s="1"/>
      <c r="I67" s="6"/>
      <c r="J67" s="1"/>
      <c r="K67" s="1"/>
    </row>
    <row r="68" spans="1:11" x14ac:dyDescent="0.35">
      <c r="A68" s="1"/>
      <c r="B68" s="5"/>
      <c r="C68" s="20" t="s">
        <v>357</v>
      </c>
      <c r="D68" s="20" t="s">
        <v>413</v>
      </c>
      <c r="E68" s="20" t="s">
        <v>414</v>
      </c>
      <c r="F68" s="20" t="s">
        <v>360</v>
      </c>
      <c r="G68" s="32">
        <v>3.74297511643501E-2</v>
      </c>
      <c r="H68" s="1"/>
      <c r="I68" s="6"/>
      <c r="J68" s="1"/>
      <c r="K68" s="1"/>
    </row>
    <row r="69" spans="1:11" x14ac:dyDescent="0.35">
      <c r="A69" s="1"/>
      <c r="B69" s="5"/>
      <c r="C69" s="20" t="s">
        <v>365</v>
      </c>
      <c r="D69" s="20" t="s">
        <v>415</v>
      </c>
      <c r="E69" s="20" t="s">
        <v>416</v>
      </c>
      <c r="F69" s="20" t="s">
        <v>368</v>
      </c>
      <c r="G69" s="32">
        <v>4.5678613181572403E-2</v>
      </c>
      <c r="H69" s="1"/>
      <c r="I69" s="6"/>
      <c r="J69" s="1"/>
      <c r="K69" s="1"/>
    </row>
    <row r="70" spans="1:11" x14ac:dyDescent="0.35">
      <c r="A70" s="1"/>
      <c r="B70" s="5"/>
      <c r="C70" s="20" t="s">
        <v>373</v>
      </c>
      <c r="D70" s="20" t="s">
        <v>417</v>
      </c>
      <c r="E70" s="20" t="s">
        <v>418</v>
      </c>
      <c r="F70" s="20" t="s">
        <v>376</v>
      </c>
      <c r="G70" s="32">
        <v>0.101619639862424</v>
      </c>
      <c r="H70" s="1"/>
      <c r="I70" s="6"/>
      <c r="J70" s="1"/>
      <c r="K70" s="1"/>
    </row>
    <row r="71" spans="1:11" x14ac:dyDescent="0.35">
      <c r="A71" s="1"/>
      <c r="B71" s="5"/>
      <c r="C71" s="20" t="s">
        <v>377</v>
      </c>
      <c r="D71" s="20" t="s">
        <v>419</v>
      </c>
      <c r="E71" s="20" t="s">
        <v>420</v>
      </c>
      <c r="F71" s="20" t="s">
        <v>380</v>
      </c>
      <c r="G71" s="32">
        <v>7.8929300327780005E-2</v>
      </c>
      <c r="H71" s="1"/>
      <c r="I71" s="6"/>
      <c r="J71" s="1"/>
      <c r="K71" s="1"/>
    </row>
    <row r="72" spans="1:11" x14ac:dyDescent="0.35">
      <c r="A72" s="1"/>
      <c r="B72" s="5"/>
      <c r="C72" s="20" t="s">
        <v>381</v>
      </c>
      <c r="D72" s="20" t="s">
        <v>421</v>
      </c>
      <c r="E72" s="20" t="s">
        <v>422</v>
      </c>
      <c r="F72" s="20" t="s">
        <v>384</v>
      </c>
      <c r="G72" s="32">
        <v>0.13799006315575599</v>
      </c>
      <c r="H72" s="1"/>
      <c r="I72" s="6"/>
      <c r="J72" s="1"/>
      <c r="K72" s="1"/>
    </row>
    <row r="73" spans="1:11" x14ac:dyDescent="0.35">
      <c r="A73" s="1"/>
      <c r="B73" s="5"/>
      <c r="C73" s="20" t="s">
        <v>385</v>
      </c>
      <c r="D73" s="20" t="s">
        <v>423</v>
      </c>
      <c r="E73" s="20" t="s">
        <v>424</v>
      </c>
      <c r="F73" s="20" t="s">
        <v>388</v>
      </c>
      <c r="G73" s="32">
        <v>0.13178576137416201</v>
      </c>
      <c r="H73" s="1"/>
      <c r="I73" s="6"/>
      <c r="J73" s="1"/>
      <c r="K73" s="1"/>
    </row>
    <row r="74" spans="1:11" x14ac:dyDescent="0.35">
      <c r="A74" s="1"/>
      <c r="B74" s="5"/>
      <c r="C74" s="20" t="s">
        <v>389</v>
      </c>
      <c r="D74" s="20" t="s">
        <v>425</v>
      </c>
      <c r="E74" s="20" t="s">
        <v>426</v>
      </c>
      <c r="F74" s="20" t="s">
        <v>392</v>
      </c>
      <c r="G74" s="32">
        <v>4.8858152735581001E-2</v>
      </c>
      <c r="H74" s="1"/>
      <c r="I74" s="6"/>
      <c r="J74" s="1"/>
      <c r="K74" s="1"/>
    </row>
    <row r="75" spans="1:11" x14ac:dyDescent="0.35">
      <c r="A75" s="1"/>
      <c r="B75" s="5"/>
      <c r="C75" s="20" t="s">
        <v>393</v>
      </c>
      <c r="D75" s="20" t="s">
        <v>427</v>
      </c>
      <c r="E75" s="20" t="s">
        <v>428</v>
      </c>
      <c r="F75" s="20" t="s">
        <v>396</v>
      </c>
      <c r="G75" s="32">
        <v>5.41885814323868E-2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0.14147364283046299</v>
      </c>
      <c r="H80" s="1"/>
      <c r="I80" s="6"/>
      <c r="J80" s="1"/>
      <c r="K80" s="1"/>
    </row>
    <row r="81" spans="1:11" x14ac:dyDescent="0.35">
      <c r="A81" s="1"/>
      <c r="B81" s="5"/>
      <c r="C81" s="20" t="s">
        <v>433</v>
      </c>
      <c r="D81" s="20" t="s">
        <v>434</v>
      </c>
      <c r="E81" s="20" t="s">
        <v>435</v>
      </c>
      <c r="F81" s="20" t="s">
        <v>436</v>
      </c>
      <c r="G81" s="32">
        <v>7.3226635463169501E-2</v>
      </c>
      <c r="H81" s="1"/>
      <c r="I81" s="6"/>
      <c r="J81" s="1"/>
      <c r="K81" s="1"/>
    </row>
    <row r="82" spans="1:11" x14ac:dyDescent="0.35">
      <c r="A82" s="1"/>
      <c r="B82" s="5"/>
      <c r="C82" s="20" t="s">
        <v>437</v>
      </c>
      <c r="D82" s="20" t="s">
        <v>438</v>
      </c>
      <c r="E82" s="20" t="s">
        <v>439</v>
      </c>
      <c r="F82" s="20" t="s">
        <v>440</v>
      </c>
      <c r="G82" s="32">
        <v>4.0649880704687197E-2</v>
      </c>
      <c r="H82" s="1"/>
      <c r="I82" s="6"/>
      <c r="J82" s="1"/>
      <c r="K82" s="1"/>
    </row>
    <row r="83" spans="1:11" x14ac:dyDescent="0.35">
      <c r="A83" s="1"/>
      <c r="B83" s="5"/>
      <c r="C83" s="20" t="s">
        <v>441</v>
      </c>
      <c r="D83" s="20" t="s">
        <v>442</v>
      </c>
      <c r="E83" s="20" t="s">
        <v>443</v>
      </c>
      <c r="F83" s="20" t="s">
        <v>444</v>
      </c>
      <c r="G83" s="32">
        <v>0.19814822563446399</v>
      </c>
      <c r="H83" s="1"/>
      <c r="I83" s="6"/>
      <c r="J83" s="1"/>
      <c r="K83" s="1"/>
    </row>
    <row r="84" spans="1:11" x14ac:dyDescent="0.35">
      <c r="A84" s="1"/>
      <c r="B84" s="5"/>
      <c r="C84" s="20" t="s">
        <v>445</v>
      </c>
      <c r="D84" s="20" t="s">
        <v>446</v>
      </c>
      <c r="E84" s="20" t="s">
        <v>447</v>
      </c>
      <c r="F84" s="20" t="s">
        <v>448</v>
      </c>
      <c r="G84" s="32">
        <v>0.149287475680666</v>
      </c>
      <c r="H84" s="1"/>
      <c r="I84" s="6"/>
      <c r="J84" s="1"/>
      <c r="K84" s="1"/>
    </row>
    <row r="85" spans="1:11" x14ac:dyDescent="0.35">
      <c r="A85" s="1"/>
      <c r="B85" s="5"/>
      <c r="C85" s="20" t="s">
        <v>449</v>
      </c>
      <c r="D85" s="20" t="s">
        <v>450</v>
      </c>
      <c r="E85" s="20" t="s">
        <v>451</v>
      </c>
      <c r="F85" s="20" t="s">
        <v>452</v>
      </c>
      <c r="G85" s="32">
        <v>6.5265185672406897E-2</v>
      </c>
      <c r="H85" s="1"/>
      <c r="I85" s="6"/>
      <c r="J85" s="1"/>
      <c r="K85" s="1"/>
    </row>
    <row r="86" spans="1:11" x14ac:dyDescent="0.35">
      <c r="A86" s="1"/>
      <c r="B86" s="5"/>
      <c r="C86" s="20" t="s">
        <v>453</v>
      </c>
      <c r="D86" s="20" t="s">
        <v>454</v>
      </c>
      <c r="E86" s="20" t="s">
        <v>455</v>
      </c>
      <c r="F86" s="20" t="s">
        <v>456</v>
      </c>
      <c r="G86" s="32">
        <v>5.42838134744177E-2</v>
      </c>
      <c r="H86" s="1"/>
      <c r="I86" s="6"/>
      <c r="J86" s="1"/>
      <c r="K86" s="1"/>
    </row>
    <row r="87" spans="1:11" x14ac:dyDescent="0.35">
      <c r="A87" s="1"/>
      <c r="B87" s="5"/>
      <c r="C87" s="20" t="s">
        <v>457</v>
      </c>
      <c r="D87" s="20" t="s">
        <v>458</v>
      </c>
      <c r="E87" s="20" t="s">
        <v>459</v>
      </c>
      <c r="F87" s="20" t="s">
        <v>460</v>
      </c>
      <c r="G87" s="32">
        <v>0.12576279323895401</v>
      </c>
      <c r="H87" s="1"/>
      <c r="I87" s="6"/>
      <c r="J87" s="1"/>
      <c r="K87" s="1"/>
    </row>
    <row r="88" spans="1:11" x14ac:dyDescent="0.35">
      <c r="A88" s="1"/>
      <c r="B88" s="5"/>
      <c r="C88" s="20" t="s">
        <v>461</v>
      </c>
      <c r="D88" s="20" t="s">
        <v>462</v>
      </c>
      <c r="E88" s="20" t="s">
        <v>463</v>
      </c>
      <c r="F88" s="20" t="s">
        <v>464</v>
      </c>
      <c r="G88" s="32">
        <v>0.15190234730077201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0.65893553541469396</v>
      </c>
      <c r="H93" s="1"/>
      <c r="I93" s="6"/>
      <c r="J93" s="1"/>
      <c r="K93" s="1"/>
    </row>
    <row r="94" spans="1:11" x14ac:dyDescent="0.35">
      <c r="A94" s="1"/>
      <c r="B94" s="5"/>
      <c r="C94" s="20" t="s">
        <v>433</v>
      </c>
      <c r="D94" s="20" t="s">
        <v>467</v>
      </c>
      <c r="E94" s="20" t="s">
        <v>468</v>
      </c>
      <c r="F94" s="20" t="s">
        <v>436</v>
      </c>
      <c r="G94" s="32">
        <v>0.34106446458530598</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5.17635235947018E-2</v>
      </c>
      <c r="H99" s="1"/>
      <c r="I99" s="6"/>
      <c r="J99" s="1"/>
      <c r="K99" s="1"/>
    </row>
    <row r="100" spans="1:11" x14ac:dyDescent="0.35">
      <c r="A100" s="1"/>
      <c r="B100" s="5"/>
      <c r="C100" s="20" t="s">
        <v>441</v>
      </c>
      <c r="D100" s="20" t="s">
        <v>471</v>
      </c>
      <c r="E100" s="20" t="s">
        <v>472</v>
      </c>
      <c r="F100" s="20" t="s">
        <v>444</v>
      </c>
      <c r="G100" s="32">
        <v>0.252321782604567</v>
      </c>
      <c r="H100" s="1"/>
      <c r="I100" s="6"/>
      <c r="J100" s="1"/>
      <c r="K100" s="1"/>
    </row>
    <row r="101" spans="1:11" x14ac:dyDescent="0.35">
      <c r="A101" s="1"/>
      <c r="B101" s="5"/>
      <c r="C101" s="20" t="s">
        <v>445</v>
      </c>
      <c r="D101" s="20" t="s">
        <v>473</v>
      </c>
      <c r="E101" s="20" t="s">
        <v>474</v>
      </c>
      <c r="F101" s="20" t="s">
        <v>448</v>
      </c>
      <c r="G101" s="32">
        <v>0.190102545039396</v>
      </c>
      <c r="H101" s="1"/>
      <c r="I101" s="6"/>
      <c r="J101" s="1"/>
      <c r="K101" s="1"/>
    </row>
    <row r="102" spans="1:11" x14ac:dyDescent="0.35">
      <c r="A102" s="1"/>
      <c r="B102" s="5"/>
      <c r="C102" s="20" t="s">
        <v>449</v>
      </c>
      <c r="D102" s="20" t="s">
        <v>475</v>
      </c>
      <c r="E102" s="20" t="s">
        <v>476</v>
      </c>
      <c r="F102" s="20" t="s">
        <v>452</v>
      </c>
      <c r="G102" s="32">
        <v>8.3108632108728597E-2</v>
      </c>
      <c r="H102" s="1"/>
      <c r="I102" s="6"/>
      <c r="J102" s="1"/>
      <c r="K102" s="1"/>
    </row>
    <row r="103" spans="1:11" x14ac:dyDescent="0.35">
      <c r="A103" s="1"/>
      <c r="B103" s="5"/>
      <c r="C103" s="20" t="s">
        <v>453</v>
      </c>
      <c r="D103" s="20" t="s">
        <v>477</v>
      </c>
      <c r="E103" s="20" t="s">
        <v>478</v>
      </c>
      <c r="F103" s="20" t="s">
        <v>456</v>
      </c>
      <c r="G103" s="32">
        <v>6.9124962030724602E-2</v>
      </c>
      <c r="H103" s="1"/>
      <c r="I103" s="6"/>
      <c r="J103" s="1"/>
      <c r="K103" s="1"/>
    </row>
    <row r="104" spans="1:11" x14ac:dyDescent="0.35">
      <c r="A104" s="1"/>
      <c r="B104" s="5"/>
      <c r="C104" s="20" t="s">
        <v>457</v>
      </c>
      <c r="D104" s="20" t="s">
        <v>479</v>
      </c>
      <c r="E104" s="20" t="s">
        <v>480</v>
      </c>
      <c r="F104" s="20" t="s">
        <v>460</v>
      </c>
      <c r="G104" s="32">
        <v>0.16014623431445099</v>
      </c>
      <c r="H104" s="1"/>
      <c r="I104" s="6"/>
      <c r="J104" s="1"/>
      <c r="K104" s="1"/>
    </row>
    <row r="105" spans="1:11" x14ac:dyDescent="0.35">
      <c r="A105" s="1"/>
      <c r="B105" s="5"/>
      <c r="C105" s="20" t="s">
        <v>461</v>
      </c>
      <c r="D105" s="20" t="s">
        <v>481</v>
      </c>
      <c r="E105" s="20" t="s">
        <v>482</v>
      </c>
      <c r="F105" s="20" t="s">
        <v>464</v>
      </c>
      <c r="G105" s="32">
        <v>0.19343232030743099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2262.54</v>
      </c>
      <c r="H7" s="31">
        <v>393.44</v>
      </c>
      <c r="I7" s="31">
        <v>367.63</v>
      </c>
      <c r="J7" s="31">
        <v>429.21</v>
      </c>
      <c r="K7" s="31">
        <v>489.22</v>
      </c>
      <c r="L7" s="31">
        <v>170.8</v>
      </c>
      <c r="M7" s="31">
        <v>145.66999999999999</v>
      </c>
      <c r="N7" s="31">
        <v>293.39419815031999</v>
      </c>
      <c r="O7" s="1"/>
      <c r="P7" s="1"/>
    </row>
    <row r="8" spans="1:16" x14ac:dyDescent="0.35">
      <c r="A8" s="1"/>
      <c r="B8" s="5"/>
      <c r="C8" s="20" t="s">
        <v>488</v>
      </c>
      <c r="D8" s="31"/>
      <c r="E8" s="31"/>
      <c r="F8" s="31"/>
      <c r="G8" s="31">
        <v>2350.77</v>
      </c>
      <c r="H8" s="31">
        <v>395.77</v>
      </c>
      <c r="I8" s="31">
        <v>369.07</v>
      </c>
      <c r="J8" s="31">
        <v>432.3</v>
      </c>
      <c r="K8" s="31">
        <v>492.23</v>
      </c>
      <c r="L8" s="31">
        <v>171.41</v>
      </c>
      <c r="M8" s="31">
        <v>146.66</v>
      </c>
      <c r="N8" s="31">
        <v>293.48013005102302</v>
      </c>
      <c r="O8" s="1"/>
      <c r="P8" s="1"/>
    </row>
    <row r="9" spans="1:16" x14ac:dyDescent="0.35">
      <c r="A9" s="1"/>
      <c r="B9" s="5"/>
      <c r="C9" s="20" t="s">
        <v>489</v>
      </c>
      <c r="D9" s="31"/>
      <c r="E9" s="31"/>
      <c r="F9" s="31"/>
      <c r="G9" s="31">
        <v>2386.7800000000002</v>
      </c>
      <c r="H9" s="31">
        <v>399.35</v>
      </c>
      <c r="I9" s="31">
        <v>370.89</v>
      </c>
      <c r="J9" s="31">
        <v>437.33</v>
      </c>
      <c r="K9" s="31">
        <v>498.76</v>
      </c>
      <c r="L9" s="31">
        <v>172.09</v>
      </c>
      <c r="M9" s="31">
        <v>148.96</v>
      </c>
      <c r="N9" s="31">
        <v>293.565981141289</v>
      </c>
      <c r="O9" s="1"/>
      <c r="P9" s="1"/>
    </row>
    <row r="10" spans="1:16" x14ac:dyDescent="0.35">
      <c r="A10" s="1"/>
      <c r="B10" s="5"/>
      <c r="C10" s="20" t="s">
        <v>490</v>
      </c>
      <c r="D10" s="31"/>
      <c r="E10" s="31"/>
      <c r="F10" s="31"/>
      <c r="G10" s="31">
        <v>2371.1799999999998</v>
      </c>
      <c r="H10" s="31">
        <v>403.09</v>
      </c>
      <c r="I10" s="31">
        <v>373.65</v>
      </c>
      <c r="J10" s="31">
        <v>441.96</v>
      </c>
      <c r="K10" s="31">
        <v>502.92</v>
      </c>
      <c r="L10" s="31">
        <v>173.11</v>
      </c>
      <c r="M10" s="31">
        <v>150.30000000000001</v>
      </c>
      <c r="N10" s="31">
        <v>293.908996681031</v>
      </c>
      <c r="O10" s="1"/>
      <c r="P10" s="1"/>
    </row>
    <row r="11" spans="1:16" x14ac:dyDescent="0.35">
      <c r="A11" s="1"/>
      <c r="B11" s="5"/>
      <c r="C11" s="20" t="s">
        <v>491</v>
      </c>
      <c r="D11" s="31"/>
      <c r="E11" s="31"/>
      <c r="F11" s="31"/>
      <c r="G11" s="31">
        <v>2377.0300000000002</v>
      </c>
      <c r="H11" s="31">
        <v>401.24</v>
      </c>
      <c r="I11" s="31">
        <v>373.32</v>
      </c>
      <c r="J11" s="31">
        <v>438.91</v>
      </c>
      <c r="K11" s="31">
        <v>501.98</v>
      </c>
      <c r="L11" s="31">
        <v>173.22</v>
      </c>
      <c r="M11" s="31">
        <v>149.91999999999999</v>
      </c>
      <c r="N11" s="31">
        <v>293.99494873428301</v>
      </c>
      <c r="O11" s="1"/>
      <c r="P11" s="1"/>
    </row>
    <row r="12" spans="1:16" x14ac:dyDescent="0.35">
      <c r="A12" s="1"/>
      <c r="B12" s="5"/>
      <c r="C12" s="20" t="s">
        <v>492</v>
      </c>
      <c r="D12" s="31"/>
      <c r="E12" s="31"/>
      <c r="F12" s="31"/>
      <c r="G12" s="31">
        <v>2406.14</v>
      </c>
      <c r="H12" s="31">
        <v>401.66</v>
      </c>
      <c r="I12" s="31">
        <v>373.19</v>
      </c>
      <c r="J12" s="31">
        <v>439.75</v>
      </c>
      <c r="K12" s="31">
        <v>500.13</v>
      </c>
      <c r="L12" s="31">
        <v>172.87</v>
      </c>
      <c r="M12" s="31">
        <v>149.30000000000001</v>
      </c>
      <c r="N12" s="31">
        <v>294.08102392205097</v>
      </c>
      <c r="O12" s="1"/>
      <c r="P12" s="1"/>
    </row>
    <row r="13" spans="1:16" x14ac:dyDescent="0.35">
      <c r="A13" s="1"/>
      <c r="B13" s="5"/>
      <c r="C13" s="20" t="s">
        <v>493</v>
      </c>
      <c r="D13" s="31"/>
      <c r="E13" s="31"/>
      <c r="F13" s="31"/>
      <c r="G13" s="31">
        <v>2502.96</v>
      </c>
      <c r="H13" s="31">
        <v>403.97</v>
      </c>
      <c r="I13" s="31">
        <v>374.42</v>
      </c>
      <c r="J13" s="31">
        <v>442.95</v>
      </c>
      <c r="K13" s="31">
        <v>504.64</v>
      </c>
      <c r="L13" s="31">
        <v>173.14</v>
      </c>
      <c r="M13" s="31">
        <v>150.94</v>
      </c>
      <c r="N13" s="31">
        <v>294.16714064855603</v>
      </c>
      <c r="O13" s="1"/>
      <c r="P13" s="1"/>
    </row>
    <row r="14" spans="1:16" x14ac:dyDescent="0.35">
      <c r="A14" s="1"/>
      <c r="B14" s="5"/>
      <c r="C14" s="20" t="s">
        <v>494</v>
      </c>
      <c r="D14" s="31"/>
      <c r="E14" s="31"/>
      <c r="F14" s="31"/>
      <c r="G14" s="31">
        <v>2393.3000000000002</v>
      </c>
      <c r="H14" s="31">
        <v>406.01</v>
      </c>
      <c r="I14" s="31">
        <v>376.24</v>
      </c>
      <c r="J14" s="31">
        <v>445.26</v>
      </c>
      <c r="K14" s="31">
        <v>507.99</v>
      </c>
      <c r="L14" s="31">
        <v>173.9</v>
      </c>
      <c r="M14" s="31">
        <v>152.03</v>
      </c>
      <c r="N14" s="31">
        <v>294.42549293983097</v>
      </c>
      <c r="O14" s="1"/>
      <c r="P14" s="1"/>
    </row>
    <row r="15" spans="1:16" x14ac:dyDescent="0.35">
      <c r="A15" s="1"/>
      <c r="B15" s="5"/>
      <c r="C15" s="20" t="s">
        <v>495</v>
      </c>
      <c r="D15" s="31"/>
      <c r="E15" s="31"/>
      <c r="F15" s="31"/>
      <c r="G15" s="31">
        <v>2347.0700000000002</v>
      </c>
      <c r="H15" s="31">
        <v>403.73</v>
      </c>
      <c r="I15" s="31">
        <v>375.06</v>
      </c>
      <c r="J15" s="31">
        <v>442.06</v>
      </c>
      <c r="K15" s="31">
        <v>500.32</v>
      </c>
      <c r="L15" s="31">
        <v>173.18</v>
      </c>
      <c r="M15" s="31">
        <v>149.30000000000001</v>
      </c>
      <c r="N15" s="31">
        <v>294.51153879014299</v>
      </c>
      <c r="O15" s="1"/>
      <c r="P15" s="1"/>
    </row>
    <row r="16" spans="1:16" x14ac:dyDescent="0.35">
      <c r="A16" s="1"/>
      <c r="B16" s="5"/>
      <c r="C16" s="20" t="s">
        <v>496</v>
      </c>
      <c r="D16" s="31"/>
      <c r="E16" s="31"/>
      <c r="F16" s="31"/>
      <c r="G16" s="31">
        <v>2270.9699999999998</v>
      </c>
      <c r="H16" s="31">
        <v>401.95</v>
      </c>
      <c r="I16" s="31">
        <v>374.73</v>
      </c>
      <c r="J16" s="31">
        <v>439.12</v>
      </c>
      <c r="K16" s="31">
        <v>495.05</v>
      </c>
      <c r="L16" s="31">
        <v>172.7</v>
      </c>
      <c r="M16" s="31">
        <v>147.43</v>
      </c>
      <c r="N16" s="31">
        <v>294.59756888297397</v>
      </c>
      <c r="O16" s="1"/>
      <c r="P16" s="1"/>
    </row>
    <row r="17" spans="1:16" x14ac:dyDescent="0.35">
      <c r="A17" s="1"/>
      <c r="B17" s="5"/>
      <c r="C17" s="20" t="s">
        <v>497</v>
      </c>
      <c r="D17" s="31"/>
      <c r="E17" s="31"/>
      <c r="F17" s="31"/>
      <c r="G17" s="31">
        <v>2261.5300000000002</v>
      </c>
      <c r="H17" s="31">
        <v>401.93</v>
      </c>
      <c r="I17" s="31">
        <v>375.44</v>
      </c>
      <c r="J17" s="31">
        <v>438.55</v>
      </c>
      <c r="K17" s="31">
        <v>494</v>
      </c>
      <c r="L17" s="31">
        <v>172.89</v>
      </c>
      <c r="M17" s="31">
        <v>147</v>
      </c>
      <c r="N17" s="31">
        <v>294.68373048860599</v>
      </c>
      <c r="O17" s="1"/>
      <c r="P17" s="1"/>
    </row>
    <row r="18" spans="1:16" x14ac:dyDescent="0.35">
      <c r="A18" s="1"/>
      <c r="B18" s="5"/>
      <c r="C18" s="20" t="s">
        <v>498</v>
      </c>
      <c r="D18" s="31"/>
      <c r="E18" s="31"/>
      <c r="F18" s="31"/>
      <c r="G18" s="31">
        <v>2286.19</v>
      </c>
      <c r="H18" s="31">
        <v>404.96</v>
      </c>
      <c r="I18" s="31">
        <v>377.38</v>
      </c>
      <c r="J18" s="31">
        <v>442.53</v>
      </c>
      <c r="K18" s="31">
        <v>497.03</v>
      </c>
      <c r="L18" s="31">
        <v>173.44</v>
      </c>
      <c r="M18" s="31">
        <v>148.01</v>
      </c>
      <c r="N18" s="31">
        <v>294.769835437523</v>
      </c>
      <c r="O18" s="1"/>
      <c r="P18" s="1"/>
    </row>
    <row r="19" spans="1:16" x14ac:dyDescent="0.35">
      <c r="A19" s="1"/>
      <c r="B19" s="5"/>
      <c r="C19" s="20" t="s">
        <v>499</v>
      </c>
      <c r="D19" s="31"/>
      <c r="E19" s="31"/>
      <c r="F19" s="31"/>
      <c r="G19" s="31">
        <v>2269.08</v>
      </c>
      <c r="H19" s="31">
        <v>406.3</v>
      </c>
      <c r="I19" s="31">
        <v>378.62</v>
      </c>
      <c r="J19" s="31">
        <v>444</v>
      </c>
      <c r="K19" s="31">
        <v>496.58</v>
      </c>
      <c r="L19" s="31">
        <v>173.73</v>
      </c>
      <c r="M19" s="31">
        <v>147.77000000000001</v>
      </c>
      <c r="N19" s="31">
        <v>295.11451963176103</v>
      </c>
      <c r="O19" s="1"/>
      <c r="P19" s="1"/>
    </row>
    <row r="20" spans="1:16" x14ac:dyDescent="0.35">
      <c r="A20" s="1"/>
      <c r="B20" s="5"/>
      <c r="C20" s="20" t="s">
        <v>500</v>
      </c>
      <c r="D20" s="31"/>
      <c r="E20" s="31"/>
      <c r="F20" s="31"/>
      <c r="G20" s="31">
        <v>2259.83</v>
      </c>
      <c r="H20" s="31">
        <v>407.3</v>
      </c>
      <c r="I20" s="31">
        <v>378.84</v>
      </c>
      <c r="J20" s="31">
        <v>445.62</v>
      </c>
      <c r="K20" s="31">
        <v>497.39</v>
      </c>
      <c r="L20" s="31">
        <v>174.03</v>
      </c>
      <c r="M20" s="31">
        <v>148.01</v>
      </c>
      <c r="N20" s="31">
        <v>295.20090620975799</v>
      </c>
      <c r="O20" s="1"/>
      <c r="P20" s="1"/>
    </row>
    <row r="21" spans="1:16" x14ac:dyDescent="0.35">
      <c r="A21" s="1"/>
      <c r="B21" s="5"/>
      <c r="C21" s="20" t="s">
        <v>501</v>
      </c>
      <c r="D21" s="31"/>
      <c r="E21" s="31"/>
      <c r="F21" s="31"/>
      <c r="G21" s="31">
        <v>2260.13</v>
      </c>
      <c r="H21" s="31">
        <v>410.75</v>
      </c>
      <c r="I21" s="31">
        <v>380.61</v>
      </c>
      <c r="J21" s="31">
        <v>450.51</v>
      </c>
      <c r="K21" s="31">
        <v>499.1</v>
      </c>
      <c r="L21" s="31">
        <v>174.91</v>
      </c>
      <c r="M21" s="31">
        <v>148.44999999999999</v>
      </c>
      <c r="N21" s="31">
        <v>295.292680891489</v>
      </c>
      <c r="O21" s="1"/>
      <c r="P21" s="1"/>
    </row>
    <row r="22" spans="1:16" x14ac:dyDescent="0.35">
      <c r="A22" s="1"/>
      <c r="B22" s="5"/>
      <c r="C22" s="20" t="s">
        <v>502</v>
      </c>
      <c r="D22" s="31"/>
      <c r="E22" s="31"/>
      <c r="F22" s="31"/>
      <c r="G22" s="31">
        <v>2295.7199999999998</v>
      </c>
      <c r="H22" s="31">
        <v>409.06</v>
      </c>
      <c r="I22" s="31">
        <v>380.42</v>
      </c>
      <c r="J22" s="31">
        <v>447.61</v>
      </c>
      <c r="K22" s="31">
        <v>499.59</v>
      </c>
      <c r="L22" s="31">
        <v>174.88</v>
      </c>
      <c r="M22" s="31">
        <v>148.63999999999999</v>
      </c>
      <c r="N22" s="31">
        <v>295.38450871267202</v>
      </c>
      <c r="O22" s="1"/>
      <c r="P22" s="1"/>
    </row>
    <row r="23" spans="1:16" x14ac:dyDescent="0.35">
      <c r="A23" s="1"/>
      <c r="B23" s="5"/>
      <c r="C23" s="20" t="s">
        <v>503</v>
      </c>
      <c r="D23" s="31"/>
      <c r="E23" s="31"/>
      <c r="F23" s="31"/>
      <c r="G23" s="31">
        <v>2295.85</v>
      </c>
      <c r="H23" s="31">
        <v>407.68</v>
      </c>
      <c r="I23" s="31">
        <v>379.8</v>
      </c>
      <c r="J23" s="31">
        <v>445.58</v>
      </c>
      <c r="K23" s="31">
        <v>497.67</v>
      </c>
      <c r="L23" s="31">
        <v>174.87</v>
      </c>
      <c r="M23" s="31">
        <v>147.91999999999999</v>
      </c>
      <c r="N23" s="31">
        <v>295.659634767162</v>
      </c>
      <c r="O23" s="1"/>
      <c r="P23" s="1"/>
    </row>
    <row r="24" spans="1:16" x14ac:dyDescent="0.35">
      <c r="A24" s="1"/>
      <c r="B24" s="5"/>
      <c r="C24" s="20" t="s">
        <v>504</v>
      </c>
      <c r="D24" s="31"/>
      <c r="E24" s="31"/>
      <c r="F24" s="31"/>
      <c r="G24" s="31">
        <v>2294.46</v>
      </c>
      <c r="H24" s="31">
        <v>408.53</v>
      </c>
      <c r="I24" s="31">
        <v>380.21</v>
      </c>
      <c r="J24" s="31">
        <v>446.81</v>
      </c>
      <c r="K24" s="31">
        <v>497.79</v>
      </c>
      <c r="L24" s="31">
        <v>174.86</v>
      </c>
      <c r="M24" s="31">
        <v>147.96</v>
      </c>
      <c r="N24" s="31">
        <v>295.75149457313103</v>
      </c>
      <c r="O24" s="1"/>
      <c r="P24" s="1"/>
    </row>
    <row r="25" spans="1:16" x14ac:dyDescent="0.35">
      <c r="A25" s="1"/>
      <c r="B25" s="5"/>
      <c r="C25" s="20" t="s">
        <v>505</v>
      </c>
      <c r="D25" s="31"/>
      <c r="E25" s="31"/>
      <c r="F25" s="31"/>
      <c r="G25" s="31">
        <v>2312.96</v>
      </c>
      <c r="H25" s="31">
        <v>407.43</v>
      </c>
      <c r="I25" s="31">
        <v>379.56</v>
      </c>
      <c r="J25" s="31">
        <v>445.32</v>
      </c>
      <c r="K25" s="31">
        <v>496.59</v>
      </c>
      <c r="L25" s="31">
        <v>174.68</v>
      </c>
      <c r="M25" s="31">
        <v>147.55000000000001</v>
      </c>
      <c r="N25" s="31">
        <v>295.84338291943101</v>
      </c>
      <c r="O25" s="1"/>
      <c r="P25" s="1"/>
    </row>
    <row r="26" spans="1:16" x14ac:dyDescent="0.35">
      <c r="A26" s="1"/>
      <c r="B26" s="5"/>
      <c r="C26" s="20" t="s">
        <v>506</v>
      </c>
      <c r="D26" s="31"/>
      <c r="E26" s="31"/>
      <c r="F26" s="31"/>
      <c r="G26" s="31">
        <v>2292.75</v>
      </c>
      <c r="H26" s="31">
        <v>407.93</v>
      </c>
      <c r="I26" s="31">
        <v>379.98</v>
      </c>
      <c r="J26" s="31">
        <v>445.9</v>
      </c>
      <c r="K26" s="31">
        <v>497.8</v>
      </c>
      <c r="L26" s="31">
        <v>174.9</v>
      </c>
      <c r="M26" s="31">
        <v>147.96</v>
      </c>
      <c r="N26" s="31">
        <v>295.93534912216001</v>
      </c>
      <c r="O26" s="1"/>
      <c r="P26" s="1"/>
    </row>
    <row r="27" spans="1:16" x14ac:dyDescent="0.35">
      <c r="A27" s="1"/>
      <c r="B27" s="5"/>
      <c r="C27" s="20" t="s">
        <v>507</v>
      </c>
      <c r="D27" s="31"/>
      <c r="E27" s="31"/>
      <c r="F27" s="31"/>
      <c r="G27" s="31">
        <v>2307.67</v>
      </c>
      <c r="H27" s="31">
        <v>409.49</v>
      </c>
      <c r="I27" s="31">
        <v>380.93</v>
      </c>
      <c r="J27" s="31">
        <v>447.98</v>
      </c>
      <c r="K27" s="31">
        <v>500.05</v>
      </c>
      <c r="L27" s="31">
        <v>175.3</v>
      </c>
      <c r="M27" s="31">
        <v>148.72</v>
      </c>
      <c r="N27" s="31">
        <v>296.027294591047</v>
      </c>
      <c r="O27" s="1"/>
      <c r="P27" s="1"/>
    </row>
    <row r="28" spans="1:16" x14ac:dyDescent="0.35">
      <c r="A28" s="1"/>
      <c r="B28" s="5"/>
      <c r="C28" s="20" t="s">
        <v>508</v>
      </c>
      <c r="D28" s="31"/>
      <c r="E28" s="31"/>
      <c r="F28" s="31"/>
      <c r="G28" s="31">
        <v>2298.73</v>
      </c>
      <c r="H28" s="31">
        <v>408.6</v>
      </c>
      <c r="I28" s="31">
        <v>381.04</v>
      </c>
      <c r="J28" s="31">
        <v>446.3</v>
      </c>
      <c r="K28" s="31">
        <v>500.5</v>
      </c>
      <c r="L28" s="31">
        <v>175.67</v>
      </c>
      <c r="M28" s="31">
        <v>148.80000000000001</v>
      </c>
      <c r="N28" s="31">
        <v>296.39515784245901</v>
      </c>
      <c r="O28" s="1"/>
      <c r="P28" s="1"/>
    </row>
    <row r="29" spans="1:16" x14ac:dyDescent="0.35">
      <c r="A29" s="1"/>
      <c r="B29" s="5"/>
      <c r="C29" s="20" t="s">
        <v>509</v>
      </c>
      <c r="D29" s="31"/>
      <c r="E29" s="31"/>
      <c r="F29" s="31"/>
      <c r="G29" s="31">
        <v>2292.0300000000002</v>
      </c>
      <c r="H29" s="31">
        <v>410.77</v>
      </c>
      <c r="I29" s="31">
        <v>381.86</v>
      </c>
      <c r="J29" s="31">
        <v>449.59</v>
      </c>
      <c r="K29" s="31">
        <v>505.15</v>
      </c>
      <c r="L29" s="31">
        <v>176.47</v>
      </c>
      <c r="M29" s="31">
        <v>150.38</v>
      </c>
      <c r="N29" s="31">
        <v>296.48721323856603</v>
      </c>
      <c r="O29" s="1"/>
      <c r="P29" s="1"/>
    </row>
    <row r="30" spans="1:16" x14ac:dyDescent="0.35">
      <c r="A30" s="1"/>
      <c r="B30" s="5"/>
      <c r="C30" s="20" t="s">
        <v>510</v>
      </c>
      <c r="D30" s="31"/>
      <c r="E30" s="31"/>
      <c r="F30" s="31"/>
      <c r="G30" s="31">
        <v>2285.11</v>
      </c>
      <c r="H30" s="31">
        <v>409.83</v>
      </c>
      <c r="I30" s="31">
        <v>381.15</v>
      </c>
      <c r="J30" s="31">
        <v>448.44</v>
      </c>
      <c r="K30" s="31">
        <v>504.83</v>
      </c>
      <c r="L30" s="31">
        <v>176.53</v>
      </c>
      <c r="M30" s="31">
        <v>150.24</v>
      </c>
      <c r="N30" s="31">
        <v>296.57931369705602</v>
      </c>
      <c r="O30" s="1"/>
      <c r="P30" s="1"/>
    </row>
    <row r="31" spans="1:16" x14ac:dyDescent="0.35">
      <c r="A31" s="1"/>
      <c r="B31" s="5"/>
      <c r="C31" s="20" t="s">
        <v>511</v>
      </c>
      <c r="D31" s="31"/>
      <c r="E31" s="31"/>
      <c r="F31" s="31"/>
      <c r="G31" s="31">
        <v>2298.34</v>
      </c>
      <c r="H31" s="31">
        <v>408.4</v>
      </c>
      <c r="I31" s="31">
        <v>380.49</v>
      </c>
      <c r="J31" s="31">
        <v>446.36</v>
      </c>
      <c r="K31" s="31">
        <v>505.42</v>
      </c>
      <c r="L31" s="31">
        <v>176.67</v>
      </c>
      <c r="M31" s="31">
        <v>150.43</v>
      </c>
      <c r="N31" s="31">
        <v>296.67144276553</v>
      </c>
      <c r="O31" s="1"/>
      <c r="P31" s="1"/>
    </row>
    <row r="32" spans="1:16" x14ac:dyDescent="0.35">
      <c r="A32" s="1"/>
      <c r="B32" s="5"/>
      <c r="C32" s="20" t="s">
        <v>512</v>
      </c>
      <c r="D32" s="31"/>
      <c r="E32" s="31"/>
      <c r="F32" s="31"/>
      <c r="G32" s="31">
        <v>2301.34</v>
      </c>
      <c r="H32" s="31">
        <v>406.47</v>
      </c>
      <c r="I32" s="31">
        <v>379.25</v>
      </c>
      <c r="J32" s="31">
        <v>443.83</v>
      </c>
      <c r="K32" s="31">
        <v>504.04</v>
      </c>
      <c r="L32" s="31">
        <v>176.71</v>
      </c>
      <c r="M32" s="31">
        <v>149.9</v>
      </c>
      <c r="N32" s="31">
        <v>297.03997462443198</v>
      </c>
      <c r="O32" s="1"/>
      <c r="P32" s="1"/>
    </row>
    <row r="33" spans="1:16" x14ac:dyDescent="0.35">
      <c r="A33" s="1"/>
      <c r="B33" s="5"/>
      <c r="C33" s="20" t="s">
        <v>513</v>
      </c>
      <c r="D33" s="31"/>
      <c r="E33" s="31"/>
      <c r="F33" s="31"/>
      <c r="G33" s="31">
        <v>2297</v>
      </c>
      <c r="H33" s="31">
        <v>404.73</v>
      </c>
      <c r="I33" s="31">
        <v>378.53</v>
      </c>
      <c r="J33" s="31">
        <v>441.24</v>
      </c>
      <c r="K33" s="31">
        <v>502.94</v>
      </c>
      <c r="L33" s="31">
        <v>176.61</v>
      </c>
      <c r="M33" s="31">
        <v>149.51</v>
      </c>
      <c r="N33" s="31">
        <v>297.13225504321503</v>
      </c>
      <c r="O33" s="1"/>
      <c r="P33" s="1"/>
    </row>
    <row r="34" spans="1:16" x14ac:dyDescent="0.35">
      <c r="A34" s="1"/>
      <c r="B34" s="5"/>
      <c r="C34" s="20" t="s">
        <v>514</v>
      </c>
      <c r="D34" s="31"/>
      <c r="E34" s="31"/>
      <c r="F34" s="31"/>
      <c r="G34" s="31">
        <v>2283.2800000000002</v>
      </c>
      <c r="H34" s="31">
        <v>400.89</v>
      </c>
      <c r="I34" s="31">
        <v>376.99</v>
      </c>
      <c r="J34" s="31">
        <v>435.49</v>
      </c>
      <c r="K34" s="31">
        <v>501.62</v>
      </c>
      <c r="L34" s="31">
        <v>176.35</v>
      </c>
      <c r="M34" s="31">
        <v>149.07</v>
      </c>
      <c r="N34" s="31">
        <v>297.224630159838</v>
      </c>
      <c r="O34" s="1"/>
      <c r="P34" s="1"/>
    </row>
    <row r="35" spans="1:16" x14ac:dyDescent="0.35">
      <c r="A35" s="1"/>
      <c r="B35" s="5"/>
      <c r="C35" s="20" t="s">
        <v>515</v>
      </c>
      <c r="D35" s="31"/>
      <c r="E35" s="31"/>
      <c r="F35" s="31"/>
      <c r="G35" s="31">
        <v>2274.5300000000002</v>
      </c>
      <c r="H35" s="31">
        <v>402.65</v>
      </c>
      <c r="I35" s="31">
        <v>377.8</v>
      </c>
      <c r="J35" s="31">
        <v>438.05</v>
      </c>
      <c r="K35" s="31">
        <v>502.83</v>
      </c>
      <c r="L35" s="31">
        <v>176.3</v>
      </c>
      <c r="M35" s="31">
        <v>149.54</v>
      </c>
      <c r="N35" s="31">
        <v>297.31708353229698</v>
      </c>
      <c r="O35" s="1"/>
      <c r="P35" s="1"/>
    </row>
    <row r="36" spans="1:16" x14ac:dyDescent="0.35">
      <c r="A36" s="1"/>
      <c r="B36" s="9"/>
      <c r="C36" s="20" t="s">
        <v>516</v>
      </c>
      <c r="D36" s="31"/>
      <c r="E36" s="31"/>
      <c r="F36" s="31"/>
      <c r="G36" s="31">
        <v>2282.91</v>
      </c>
      <c r="H36" s="31">
        <v>404.75</v>
      </c>
      <c r="I36" s="31">
        <v>378.85</v>
      </c>
      <c r="J36" s="31">
        <v>441.04</v>
      </c>
      <c r="K36" s="31">
        <v>504.06</v>
      </c>
      <c r="L36" s="31">
        <v>176.33</v>
      </c>
      <c r="M36" s="31">
        <v>150</v>
      </c>
      <c r="N36" s="31">
        <v>297.594306936267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x14ac:dyDescent="0.35">
      <c r="A7" s="1"/>
      <c r="B7" s="5"/>
      <c r="C7" s="25" t="s">
        <v>298</v>
      </c>
      <c r="D7" s="25" t="s">
        <v>532</v>
      </c>
      <c r="E7" s="36">
        <v>0</v>
      </c>
      <c r="F7" s="36">
        <v>-4.76190476190477E-2</v>
      </c>
      <c r="G7" s="36">
        <v>0.11111111111111099</v>
      </c>
      <c r="H7" s="36">
        <v>-0.12280701754386</v>
      </c>
      <c r="I7" s="37">
        <v>0</v>
      </c>
      <c r="J7" s="37">
        <v>391.55</v>
      </c>
      <c r="K7" s="25" t="s">
        <v>531</v>
      </c>
      <c r="L7" s="37">
        <v>35.26</v>
      </c>
      <c r="M7" s="36">
        <v>0</v>
      </c>
      <c r="N7" s="37">
        <v>0.51079044821861797</v>
      </c>
      <c r="O7" s="37">
        <v>5.6721497447532601</v>
      </c>
      <c r="P7" s="6"/>
      <c r="Q7" s="1"/>
      <c r="R7" s="1"/>
    </row>
    <row r="8" spans="1:18" x14ac:dyDescent="0.35">
      <c r="A8" s="1"/>
      <c r="B8" s="5"/>
      <c r="C8" s="25" t="s">
        <v>322</v>
      </c>
      <c r="D8" s="25" t="s">
        <v>532</v>
      </c>
      <c r="E8" s="36">
        <v>2.7000000000000001E-3</v>
      </c>
      <c r="F8" s="36">
        <v>-1.8276762402088802E-2</v>
      </c>
      <c r="G8" s="36">
        <v>0.19365079365079399</v>
      </c>
      <c r="H8" s="36">
        <v>-0.12354312354312399</v>
      </c>
      <c r="I8" s="37">
        <v>29.16050628</v>
      </c>
      <c r="J8" s="37">
        <v>418.39</v>
      </c>
      <c r="K8" s="25" t="s">
        <v>531</v>
      </c>
      <c r="L8" s="37">
        <v>61.48</v>
      </c>
      <c r="M8" s="36">
        <v>7.7554537978723401E-2</v>
      </c>
      <c r="N8" s="37">
        <v>0.89868304691794698</v>
      </c>
      <c r="O8" s="37">
        <v>6.1158100195185403</v>
      </c>
      <c r="P8" s="6"/>
      <c r="Q8" s="1"/>
      <c r="R8" s="1"/>
    </row>
    <row r="9" spans="1:18" x14ac:dyDescent="0.3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x14ac:dyDescent="0.35">
      <c r="A10" s="1"/>
      <c r="B10" s="5"/>
      <c r="C10" s="25" t="s">
        <v>258</v>
      </c>
      <c r="D10" s="25" t="s">
        <v>532</v>
      </c>
      <c r="E10" s="36">
        <v>1.1900000000000001E-2</v>
      </c>
      <c r="F10" s="36">
        <v>-2.74611398963731E-2</v>
      </c>
      <c r="G10" s="36">
        <v>0.16079158936301799</v>
      </c>
      <c r="H10" s="36">
        <v>-5.6309703368526899E-2</v>
      </c>
      <c r="I10" s="37">
        <v>1752</v>
      </c>
      <c r="J10" s="37">
        <v>44324.33</v>
      </c>
      <c r="K10" s="25" t="s">
        <v>531</v>
      </c>
      <c r="L10" s="37">
        <v>3849.38</v>
      </c>
      <c r="M10" s="36">
        <v>4.66702184336708E-2</v>
      </c>
      <c r="N10" s="37">
        <v>0.84693891594074899</v>
      </c>
      <c r="O10" s="37">
        <v>9.7522198379998795</v>
      </c>
      <c r="P10" s="6"/>
      <c r="Q10" s="1"/>
      <c r="R10" s="1"/>
    </row>
    <row r="11" spans="1:18" x14ac:dyDescent="0.35">
      <c r="A11" s="1"/>
      <c r="B11" s="5"/>
      <c r="C11" s="25" t="s">
        <v>302</v>
      </c>
      <c r="D11" s="25" t="s">
        <v>532</v>
      </c>
      <c r="E11" s="36">
        <v>0</v>
      </c>
      <c r="F11" s="36">
        <v>-2.9411764705882401E-2</v>
      </c>
      <c r="G11" s="36">
        <v>0.32</v>
      </c>
      <c r="H11" s="36">
        <v>9.24137931034483E-2</v>
      </c>
      <c r="I11" s="37">
        <v>1641.3150000000001</v>
      </c>
      <c r="J11" s="37">
        <v>9566.02</v>
      </c>
      <c r="K11" s="25" t="s">
        <v>531</v>
      </c>
      <c r="L11" s="37">
        <v>1769.73</v>
      </c>
      <c r="M11" s="36">
        <v>0.103618371212121</v>
      </c>
      <c r="N11" s="37">
        <v>1.6558610582039299</v>
      </c>
      <c r="O11" s="37">
        <v>8.9505178756081403</v>
      </c>
      <c r="P11" s="6"/>
      <c r="Q11" s="1"/>
      <c r="R11" s="1"/>
    </row>
    <row r="12" spans="1:18" x14ac:dyDescent="0.3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x14ac:dyDescent="0.35">
      <c r="A13" s="1"/>
      <c r="B13" s="5"/>
      <c r="C13" s="25" t="s">
        <v>260</v>
      </c>
      <c r="D13" s="25" t="s">
        <v>532</v>
      </c>
      <c r="E13" s="36">
        <v>-1.11E-2</v>
      </c>
      <c r="F13" s="36">
        <v>-3.4516765285996003E-2</v>
      </c>
      <c r="G13" s="36">
        <v>4.4823906083244498E-2</v>
      </c>
      <c r="H13" s="36">
        <v>-1.0204081632653201E-3</v>
      </c>
      <c r="I13" s="37">
        <v>326</v>
      </c>
      <c r="J13" s="37">
        <v>4145.8100000000004</v>
      </c>
      <c r="K13" s="25" t="s">
        <v>531</v>
      </c>
      <c r="L13" s="37">
        <v>161.99</v>
      </c>
      <c r="M13" s="36">
        <v>6.6598569969356494E-2</v>
      </c>
      <c r="N13" s="37">
        <v>1.18071016279087</v>
      </c>
      <c r="O13" s="37">
        <v>30.217914686091699</v>
      </c>
      <c r="P13" s="6"/>
      <c r="Q13" s="1"/>
      <c r="R13" s="1"/>
    </row>
    <row r="14" spans="1:18" x14ac:dyDescent="0.35">
      <c r="A14" s="1"/>
      <c r="B14" s="5"/>
      <c r="C14" s="25" t="s">
        <v>262</v>
      </c>
      <c r="D14" s="25" t="s">
        <v>532</v>
      </c>
      <c r="E14" s="36">
        <v>5.4999999999999997E-3</v>
      </c>
      <c r="F14" s="36">
        <v>-4.8951048951049E-2</v>
      </c>
      <c r="G14" s="36">
        <v>3.6190476190476099E-2</v>
      </c>
      <c r="H14" s="36">
        <v>1.11524163568772E-2</v>
      </c>
      <c r="I14" s="37">
        <v>770</v>
      </c>
      <c r="J14" s="37">
        <v>8344.7999999999993</v>
      </c>
      <c r="K14" s="25" t="s">
        <v>531</v>
      </c>
      <c r="L14" s="37">
        <v>390.26</v>
      </c>
      <c r="M14" s="36">
        <v>7.0772058823529396E-2</v>
      </c>
      <c r="N14" s="37">
        <v>1.3038059629949199</v>
      </c>
      <c r="O14" s="37">
        <v>27.878849997437602</v>
      </c>
      <c r="P14" s="6"/>
      <c r="Q14" s="1"/>
      <c r="R14" s="1"/>
    </row>
    <row r="15" spans="1:18" x14ac:dyDescent="0.35">
      <c r="A15" s="1"/>
      <c r="B15" s="5"/>
      <c r="C15" s="25" t="s">
        <v>264</v>
      </c>
      <c r="D15" s="25" t="s">
        <v>532</v>
      </c>
      <c r="E15" s="36">
        <v>3.0599999999999999E-2</v>
      </c>
      <c r="F15" s="36">
        <v>6.4236553657914794E-2</v>
      </c>
      <c r="G15" s="36">
        <v>0.602687140115163</v>
      </c>
      <c r="H15" s="36">
        <v>0.20664739884393099</v>
      </c>
      <c r="I15" s="37">
        <v>3900</v>
      </c>
      <c r="J15" s="37">
        <v>38765.879999999997</v>
      </c>
      <c r="K15" s="25" t="s">
        <v>531</v>
      </c>
      <c r="L15" s="37">
        <v>3586.11</v>
      </c>
      <c r="M15" s="36">
        <v>4.6706586826347297E-2</v>
      </c>
      <c r="N15" s="37">
        <v>2.1539560046102402</v>
      </c>
      <c r="O15" s="37">
        <v>23.2842829695687</v>
      </c>
      <c r="P15" s="6"/>
      <c r="Q15" s="1"/>
      <c r="R15" s="1"/>
    </row>
    <row r="16" spans="1:18" x14ac:dyDescent="0.35">
      <c r="A16" s="1"/>
      <c r="B16" s="5"/>
      <c r="C16" s="25" t="s">
        <v>304</v>
      </c>
      <c r="D16" s="25" t="s">
        <v>532</v>
      </c>
      <c r="E16" s="36">
        <v>0</v>
      </c>
      <c r="F16" s="36">
        <v>0</v>
      </c>
      <c r="G16" s="36">
        <v>-0.26470588235294101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-1.18E-2</v>
      </c>
      <c r="F20" s="36">
        <v>-7.0921985815602896E-3</v>
      </c>
      <c r="G20" s="36">
        <v>-0.11949685534591201</v>
      </c>
      <c r="H20" s="36">
        <v>-3.8901601830663601E-2</v>
      </c>
      <c r="I20" s="37">
        <v>0</v>
      </c>
      <c r="J20" s="37">
        <v>1147.6099999999999</v>
      </c>
      <c r="K20" s="25" t="s">
        <v>531</v>
      </c>
      <c r="L20" s="37">
        <v>34.29</v>
      </c>
      <c r="M20" s="36">
        <v>0</v>
      </c>
      <c r="N20" s="37">
        <v>0.36597798903808798</v>
      </c>
      <c r="O20" s="37">
        <v>12.248468941382299</v>
      </c>
      <c r="P20" s="6"/>
      <c r="Q20" s="1"/>
      <c r="R20" s="1"/>
    </row>
    <row r="21" spans="1:18" x14ac:dyDescent="0.3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x14ac:dyDescent="0.35">
      <c r="A22" s="1"/>
      <c r="B22" s="5"/>
      <c r="C22" s="25" t="s">
        <v>266</v>
      </c>
      <c r="D22" s="25" t="s">
        <v>532</v>
      </c>
      <c r="E22" s="36">
        <v>-1.6799999999999999E-2</v>
      </c>
      <c r="F22" s="36">
        <v>1.08225108225108E-2</v>
      </c>
      <c r="G22" s="36">
        <v>7.3563218390804597E-2</v>
      </c>
      <c r="H22" s="36">
        <v>2.3001095290251999E-2</v>
      </c>
      <c r="I22" s="37">
        <v>0</v>
      </c>
      <c r="J22" s="37">
        <v>36711.58</v>
      </c>
      <c r="K22" s="25" t="s">
        <v>531</v>
      </c>
      <c r="L22" s="37">
        <v>1774.35</v>
      </c>
      <c r="M22" s="36">
        <v>0</v>
      </c>
      <c r="N22" s="37">
        <v>0.50883127340201695</v>
      </c>
      <c r="O22" s="37">
        <v>10.527798912277699</v>
      </c>
      <c r="P22" s="6"/>
      <c r="Q22" s="1"/>
      <c r="R22" s="1"/>
    </row>
    <row r="23" spans="1:18" x14ac:dyDescent="0.3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-2.5100000000000001E-2</v>
      </c>
      <c r="F25" s="36">
        <v>-1.3671875E-2</v>
      </c>
      <c r="G25" s="36">
        <v>0.43059490084985802</v>
      </c>
      <c r="H25" s="36">
        <v>0.35026737967914401</v>
      </c>
      <c r="I25" s="37">
        <v>214</v>
      </c>
      <c r="J25" s="37">
        <v>1939.5</v>
      </c>
      <c r="K25" s="25" t="s">
        <v>531</v>
      </c>
      <c r="L25" s="37">
        <v>213.76</v>
      </c>
      <c r="M25" s="36">
        <v>8.47524752475248E-2</v>
      </c>
      <c r="N25" s="37">
        <v>1.30188192833204</v>
      </c>
      <c r="O25" s="37">
        <v>11.8123128742515</v>
      </c>
      <c r="P25" s="6"/>
      <c r="Q25" s="1"/>
      <c r="R25" s="1"/>
    </row>
    <row r="26" spans="1:18" x14ac:dyDescent="0.35">
      <c r="A26" s="1"/>
      <c r="B26" s="5"/>
      <c r="C26" s="25" t="s">
        <v>308</v>
      </c>
      <c r="D26" s="25" t="s">
        <v>530</v>
      </c>
      <c r="E26" s="36">
        <v>0</v>
      </c>
      <c r="F26" s="36">
        <v>0</v>
      </c>
      <c r="G26" s="36">
        <v>2.1276595744680799E-2</v>
      </c>
      <c r="H26" s="36">
        <v>-7.69230769230769E-2</v>
      </c>
      <c r="I26" s="37">
        <v>0</v>
      </c>
      <c r="J26" s="37">
        <v>571.1</v>
      </c>
      <c r="K26" s="25" t="s">
        <v>531</v>
      </c>
      <c r="L26" s="37">
        <v>-430.51</v>
      </c>
      <c r="M26" s="36">
        <v>0</v>
      </c>
      <c r="N26" s="37">
        <v>0.84048327788478405</v>
      </c>
      <c r="O26" s="37">
        <v>-1.11495667928736</v>
      </c>
      <c r="P26" s="6"/>
      <c r="Q26" s="1"/>
      <c r="R26" s="1"/>
    </row>
    <row r="27" spans="1:18" x14ac:dyDescent="0.3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x14ac:dyDescent="0.35">
      <c r="A28" s="1"/>
      <c r="B28" s="5"/>
      <c r="C28" s="25" t="s">
        <v>310</v>
      </c>
      <c r="D28" s="25" t="s">
        <v>532</v>
      </c>
      <c r="E28" s="36">
        <v>0</v>
      </c>
      <c r="F28" s="36">
        <v>1.5706806282722401E-2</v>
      </c>
      <c r="G28" s="36">
        <v>4.3010752688171797E-2</v>
      </c>
      <c r="H28" s="36">
        <v>-4.4334975369458199E-2</v>
      </c>
      <c r="I28" s="37">
        <v>0</v>
      </c>
      <c r="J28" s="37">
        <v>43.8</v>
      </c>
      <c r="K28" s="25" t="s">
        <v>531</v>
      </c>
      <c r="L28" s="37">
        <v>0.32</v>
      </c>
      <c r="M28" s="36">
        <v>0</v>
      </c>
      <c r="N28" s="37">
        <v>0.442922374429224</v>
      </c>
      <c r="O28" s="37">
        <v>60.625</v>
      </c>
      <c r="P28" s="6"/>
      <c r="Q28" s="1"/>
      <c r="R28" s="1"/>
    </row>
    <row r="29" spans="1:18" x14ac:dyDescent="0.3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x14ac:dyDescent="0.35">
      <c r="A30" s="1"/>
      <c r="B30" s="5"/>
      <c r="C30" s="25" t="s">
        <v>312</v>
      </c>
      <c r="D30" s="25" t="s">
        <v>532</v>
      </c>
      <c r="E30" s="36">
        <v>0</v>
      </c>
      <c r="F30" s="36">
        <v>-0.16463414634146301</v>
      </c>
      <c r="G30" s="36">
        <v>0.30476190476190501</v>
      </c>
      <c r="H30" s="36">
        <v>0.473118279569892</v>
      </c>
      <c r="I30" s="37">
        <v>0</v>
      </c>
      <c r="J30" s="37">
        <v>550.42999999999995</v>
      </c>
      <c r="K30" s="25" t="s">
        <v>531</v>
      </c>
      <c r="L30" s="37">
        <v>-22.21</v>
      </c>
      <c r="M30" s="36">
        <v>0</v>
      </c>
      <c r="N30" s="37">
        <v>0.12444815871228</v>
      </c>
      <c r="O30" s="37">
        <v>-3.0841963079693802</v>
      </c>
      <c r="P30" s="6"/>
      <c r="Q30" s="1"/>
      <c r="R30" s="1"/>
    </row>
    <row r="31" spans="1:18" x14ac:dyDescent="0.35">
      <c r="A31" s="1"/>
      <c r="B31" s="5"/>
      <c r="C31" s="25" t="s">
        <v>270</v>
      </c>
      <c r="D31" s="25" t="s">
        <v>532</v>
      </c>
      <c r="E31" s="36">
        <v>0</v>
      </c>
      <c r="F31" s="36">
        <v>-6.2821833161689003E-2</v>
      </c>
      <c r="G31" s="36">
        <v>0.45367412140575097</v>
      </c>
      <c r="H31" s="36">
        <v>6.9330199764982406E-2</v>
      </c>
      <c r="I31" s="37">
        <v>21.11</v>
      </c>
      <c r="J31" s="37">
        <v>5260.24</v>
      </c>
      <c r="K31" s="25" t="s">
        <v>531</v>
      </c>
      <c r="L31" s="37">
        <v>507.44</v>
      </c>
      <c r="M31" s="36">
        <v>4.6395604395604402E-3</v>
      </c>
      <c r="N31" s="37">
        <v>0.86497954465955895</v>
      </c>
      <c r="O31" s="37">
        <v>8.9665773293394295</v>
      </c>
      <c r="P31" s="6"/>
      <c r="Q31" s="1"/>
      <c r="R31" s="1"/>
    </row>
    <row r="32" spans="1:18" x14ac:dyDescent="0.35">
      <c r="A32" s="1"/>
      <c r="B32" s="5"/>
      <c r="C32" s="25" t="s">
        <v>314</v>
      </c>
      <c r="D32" s="25" t="s">
        <v>532</v>
      </c>
      <c r="E32" s="36">
        <v>0</v>
      </c>
      <c r="F32" s="36">
        <v>5.2631578947368397E-2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x14ac:dyDescent="0.35">
      <c r="A35" s="1"/>
      <c r="B35" s="5"/>
      <c r="C35" s="25" t="s">
        <v>272</v>
      </c>
      <c r="D35" s="25" t="s">
        <v>532</v>
      </c>
      <c r="E35" s="36">
        <v>-1.7500000000000002E-2</v>
      </c>
      <c r="F35" s="36">
        <v>-3.6144578313252997E-2</v>
      </c>
      <c r="G35" s="36">
        <v>-4.4368600682593899E-2</v>
      </c>
      <c r="H35" s="36">
        <v>-5.7239057239057201E-2</v>
      </c>
      <c r="I35" s="37">
        <v>238</v>
      </c>
      <c r="J35" s="37">
        <v>1923.21</v>
      </c>
      <c r="K35" s="25" t="s">
        <v>531</v>
      </c>
      <c r="L35" s="37">
        <v>581.12</v>
      </c>
      <c r="M35" s="36">
        <v>8.5000000000000006E-2</v>
      </c>
      <c r="N35" s="37">
        <v>1.4558992517717799</v>
      </c>
      <c r="O35" s="37">
        <v>4.8182819383259901</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-1.21E-2</v>
      </c>
      <c r="F37" s="36">
        <v>-1.7267267267267201E-2</v>
      </c>
      <c r="G37" s="36">
        <v>0.117529880478088</v>
      </c>
      <c r="H37" s="36">
        <v>-9.7241379310344794E-2</v>
      </c>
      <c r="I37" s="37">
        <v>2736</v>
      </c>
      <c r="J37" s="37">
        <v>175026.83</v>
      </c>
      <c r="K37" s="25" t="s">
        <v>531</v>
      </c>
      <c r="L37" s="37">
        <v>9934.48</v>
      </c>
      <c r="M37" s="36">
        <v>3.4835752482811302E-2</v>
      </c>
      <c r="N37" s="37">
        <v>0.44873120309612002</v>
      </c>
      <c r="O37" s="37">
        <v>7.9057987936962997</v>
      </c>
      <c r="P37" s="6"/>
      <c r="Q37" s="1"/>
      <c r="R37" s="1"/>
    </row>
    <row r="38" spans="1:18" x14ac:dyDescent="0.35">
      <c r="A38" s="1"/>
      <c r="B38" s="5"/>
      <c r="C38" s="25" t="s">
        <v>276</v>
      </c>
      <c r="D38" s="25" t="s">
        <v>532</v>
      </c>
      <c r="E38" s="36">
        <v>1.84E-2</v>
      </c>
      <c r="F38" s="36">
        <v>-6.21468926553672E-2</v>
      </c>
      <c r="G38" s="36">
        <v>-0.33064516129032301</v>
      </c>
      <c r="H38" s="36">
        <v>-2.2379269729093099E-2</v>
      </c>
      <c r="I38" s="37">
        <v>688</v>
      </c>
      <c r="J38" s="37">
        <v>15140.69</v>
      </c>
      <c r="K38" s="25" t="s">
        <v>531</v>
      </c>
      <c r="L38" s="37">
        <v>4753.76</v>
      </c>
      <c r="M38" s="36">
        <v>4.1445783132530098E-2</v>
      </c>
      <c r="N38" s="37">
        <v>1.0963833220282599</v>
      </c>
      <c r="O38" s="37">
        <v>3.4919726700548601</v>
      </c>
      <c r="P38" s="6"/>
      <c r="Q38" s="1"/>
      <c r="R38" s="1"/>
    </row>
    <row r="39" spans="1:18" x14ac:dyDescent="0.35">
      <c r="A39" s="1"/>
      <c r="B39" s="5"/>
      <c r="C39" s="25" t="s">
        <v>316</v>
      </c>
      <c r="D39" s="25" t="s">
        <v>532</v>
      </c>
      <c r="E39" s="36">
        <v>-2.63E-2</v>
      </c>
      <c r="F39" s="36">
        <v>-0.107798165137615</v>
      </c>
      <c r="G39" s="36">
        <v>0.32538330494037498</v>
      </c>
      <c r="H39" s="36">
        <v>2.7741083223249599E-2</v>
      </c>
      <c r="I39" s="37">
        <v>27.6</v>
      </c>
      <c r="J39" s="37">
        <v>769.72</v>
      </c>
      <c r="K39" s="25" t="s">
        <v>531</v>
      </c>
      <c r="L39" s="37">
        <v>81.23</v>
      </c>
      <c r="M39" s="36">
        <v>3.5475578406169703E-2</v>
      </c>
      <c r="N39" s="37">
        <v>1.0107571584472299</v>
      </c>
      <c r="O39" s="37">
        <v>9.5777422134679302</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-1.1000000000000001E-3</v>
      </c>
      <c r="F41" s="36">
        <v>-2.7636363636363698E-2</v>
      </c>
      <c r="G41" s="36">
        <v>-2.2660818713450302E-2</v>
      </c>
      <c r="H41" s="36">
        <v>-9.6296296296296494E-3</v>
      </c>
      <c r="I41" s="37">
        <v>1500</v>
      </c>
      <c r="J41" s="37">
        <v>47877.89</v>
      </c>
      <c r="K41" s="25" t="s">
        <v>531</v>
      </c>
      <c r="L41" s="37">
        <v>5021.83</v>
      </c>
      <c r="M41" s="36">
        <v>2.8047868362004499E-2</v>
      </c>
      <c r="N41" s="37">
        <v>1.11700828921241</v>
      </c>
      <c r="O41" s="37">
        <v>10.649504264381701</v>
      </c>
      <c r="P41" s="6"/>
      <c r="Q41" s="1"/>
      <c r="R41" s="1"/>
    </row>
    <row r="42" spans="1:18" x14ac:dyDescent="0.35">
      <c r="A42" s="1"/>
      <c r="B42" s="5"/>
      <c r="C42" s="25" t="s">
        <v>549</v>
      </c>
      <c r="D42" s="25" t="s">
        <v>532</v>
      </c>
      <c r="E42" s="36">
        <v>2.5999999999999999E-3</v>
      </c>
      <c r="F42" s="36">
        <v>8.5470085470085199E-4</v>
      </c>
      <c r="G42" s="36">
        <v>8.4259259259259298E-2</v>
      </c>
      <c r="H42" s="36">
        <v>9.33706816059756E-2</v>
      </c>
      <c r="I42" s="25"/>
      <c r="J42" s="37">
        <v>50000</v>
      </c>
      <c r="K42" s="25" t="s">
        <v>550</v>
      </c>
      <c r="L42" s="25"/>
      <c r="M42" s="25"/>
      <c r="N42" s="37">
        <v>1.171</v>
      </c>
      <c r="O42" s="25"/>
      <c r="P42" s="6"/>
      <c r="Q42" s="1"/>
      <c r="R42" s="1"/>
    </row>
    <row r="43" spans="1:18" x14ac:dyDescent="0.35">
      <c r="A43" s="1"/>
      <c r="B43" s="5"/>
      <c r="C43" s="25" t="s">
        <v>551</v>
      </c>
      <c r="D43" s="25" t="s">
        <v>532</v>
      </c>
      <c r="E43" s="36">
        <v>-2.07E-2</v>
      </c>
      <c r="F43" s="36">
        <v>-1.19040750783669E-2</v>
      </c>
      <c r="G43" s="36">
        <v>0.34891047519033902</v>
      </c>
      <c r="H43" s="36">
        <v>0.124731841863316</v>
      </c>
      <c r="I43" s="37">
        <v>145</v>
      </c>
      <c r="J43" s="37">
        <v>15000</v>
      </c>
      <c r="K43" s="25" t="s">
        <v>552</v>
      </c>
      <c r="L43" s="25"/>
      <c r="M43" s="36">
        <v>5.64421954067731E-3</v>
      </c>
      <c r="N43" s="37">
        <v>1.7126666666666699</v>
      </c>
      <c r="O43" s="25"/>
      <c r="P43" s="6"/>
      <c r="Q43" s="1"/>
      <c r="R43" s="1"/>
    </row>
    <row r="44" spans="1:18" x14ac:dyDescent="0.35">
      <c r="A44" s="1"/>
      <c r="B44" s="5"/>
      <c r="C44" s="25" t="s">
        <v>553</v>
      </c>
      <c r="D44" s="25" t="s">
        <v>532</v>
      </c>
      <c r="E44" s="36">
        <v>-1E-4</v>
      </c>
      <c r="F44" s="36">
        <v>-5.61231200947077E-3</v>
      </c>
      <c r="G44" s="36">
        <v>0.33014662756598201</v>
      </c>
      <c r="H44" s="36">
        <v>0.13395000000000001</v>
      </c>
      <c r="I44" s="37">
        <v>981.25</v>
      </c>
      <c r="J44" s="37">
        <v>17160</v>
      </c>
      <c r="K44" s="25" t="s">
        <v>534</v>
      </c>
      <c r="L44" s="25"/>
      <c r="M44" s="36">
        <v>4.3266898893249299E-2</v>
      </c>
      <c r="N44" s="37">
        <v>1.3216200466200501</v>
      </c>
      <c r="O44" s="25"/>
      <c r="P44" s="6"/>
      <c r="Q44" s="1"/>
      <c r="R44" s="1"/>
    </row>
    <row r="45" spans="1:18" x14ac:dyDescent="0.3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x14ac:dyDescent="0.35">
      <c r="A48" s="1"/>
      <c r="B48" s="5"/>
      <c r="C48" s="25" t="s">
        <v>280</v>
      </c>
      <c r="D48" s="25" t="s">
        <v>532</v>
      </c>
      <c r="E48" s="36">
        <v>5.5999999999999999E-3</v>
      </c>
      <c r="F48" s="36">
        <v>-2.1665538253215901E-2</v>
      </c>
      <c r="G48" s="36">
        <v>0.46700507614213199</v>
      </c>
      <c r="H48" s="36">
        <v>0.17193836171938401</v>
      </c>
      <c r="I48" s="37">
        <v>1265</v>
      </c>
      <c r="J48" s="37">
        <v>15432.19</v>
      </c>
      <c r="K48" s="25" t="s">
        <v>531</v>
      </c>
      <c r="L48" s="37">
        <v>2056.6</v>
      </c>
      <c r="M48" s="36">
        <v>4.3771626297577901E-2</v>
      </c>
      <c r="N48" s="37">
        <v>1.87270892854481</v>
      </c>
      <c r="O48" s="37">
        <v>14.0523193620539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x14ac:dyDescent="0.35">
      <c r="A51" s="1"/>
      <c r="B51" s="5"/>
      <c r="C51" s="25" t="s">
        <v>282</v>
      </c>
      <c r="D51" s="25" t="s">
        <v>532</v>
      </c>
      <c r="E51" s="36">
        <v>3.8E-3</v>
      </c>
      <c r="F51" s="36">
        <v>1.2547051442910501E-3</v>
      </c>
      <c r="G51" s="36">
        <v>1.11671087533156</v>
      </c>
      <c r="H51" s="36">
        <v>4.3137254901960902E-2</v>
      </c>
      <c r="I51" s="37">
        <v>419.25700000000001</v>
      </c>
      <c r="J51" s="37">
        <v>7084.33</v>
      </c>
      <c r="K51" s="25" t="s">
        <v>531</v>
      </c>
      <c r="L51" s="37">
        <v>2568.12</v>
      </c>
      <c r="M51" s="36">
        <v>2.6269235588972401E-2</v>
      </c>
      <c r="N51" s="37">
        <v>2.2528594800072801</v>
      </c>
      <c r="O51" s="37">
        <v>6.2146628662212002</v>
      </c>
      <c r="P51" s="6"/>
      <c r="Q51" s="1"/>
      <c r="R51" s="1"/>
    </row>
    <row r="52" spans="1:18" x14ac:dyDescent="0.35">
      <c r="A52" s="1"/>
      <c r="B52" s="5"/>
      <c r="C52" s="25" t="s">
        <v>324</v>
      </c>
      <c r="D52" s="25" t="s">
        <v>532</v>
      </c>
      <c r="E52" s="36">
        <v>2.2800000000000001E-2</v>
      </c>
      <c r="F52" s="36">
        <v>3.6103896103896201E-2</v>
      </c>
      <c r="G52" s="36">
        <v>1.4737984496123999</v>
      </c>
      <c r="H52" s="36">
        <v>0.13163120567375899</v>
      </c>
      <c r="I52" s="37">
        <v>0</v>
      </c>
      <c r="J52" s="37">
        <v>17787.18</v>
      </c>
      <c r="K52" s="25" t="s">
        <v>531</v>
      </c>
      <c r="L52" s="37">
        <v>2190.98</v>
      </c>
      <c r="M52" s="36">
        <v>0</v>
      </c>
      <c r="N52" s="37">
        <v>17.941011447570698</v>
      </c>
      <c r="O52" s="37">
        <v>145.65171749628001</v>
      </c>
      <c r="P52" s="6"/>
      <c r="Q52" s="1"/>
      <c r="R52" s="1"/>
    </row>
    <row r="53" spans="1:18" x14ac:dyDescent="0.35">
      <c r="A53" s="1"/>
      <c r="B53" s="5"/>
      <c r="C53" s="25" t="s">
        <v>317</v>
      </c>
      <c r="D53" s="25" t="s">
        <v>532</v>
      </c>
      <c r="E53" s="36">
        <v>0</v>
      </c>
      <c r="F53" s="36">
        <v>3.53535353535352E-2</v>
      </c>
      <c r="G53" s="36">
        <v>0</v>
      </c>
      <c r="H53" s="36">
        <v>-4.6511627906976702E-2</v>
      </c>
      <c r="I53" s="37">
        <v>1596</v>
      </c>
      <c r="J53" s="37">
        <v>34868.46</v>
      </c>
      <c r="K53" s="25" t="s">
        <v>531</v>
      </c>
      <c r="L53" s="37">
        <v>3449.56</v>
      </c>
      <c r="M53" s="36">
        <v>7.7853658536585393E-2</v>
      </c>
      <c r="N53" s="37">
        <v>0.58792387160201498</v>
      </c>
      <c r="O53" s="37">
        <v>5.94278690615615</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-3.1E-2</v>
      </c>
      <c r="F55" s="36">
        <v>-6.0715359182446603E-2</v>
      </c>
      <c r="G55" s="36">
        <v>-0.113726602382303</v>
      </c>
      <c r="H55" s="36">
        <v>-0.218359179589795</v>
      </c>
      <c r="I55" s="37">
        <v>1168</v>
      </c>
      <c r="J55" s="37">
        <v>144607.78</v>
      </c>
      <c r="K55" s="25" t="s">
        <v>531</v>
      </c>
      <c r="L55" s="37">
        <v>11183.49</v>
      </c>
      <c r="M55" s="36">
        <v>1.8688E-2</v>
      </c>
      <c r="N55" s="37">
        <v>0.43220357853498598</v>
      </c>
      <c r="O55" s="37">
        <v>5.5885953311533303</v>
      </c>
      <c r="P55" s="6"/>
      <c r="Q55" s="1"/>
      <c r="R55" s="1"/>
    </row>
    <row r="56" spans="1:18" x14ac:dyDescent="0.35">
      <c r="A56" s="1"/>
      <c r="B56" s="5"/>
      <c r="C56" s="25" t="s">
        <v>286</v>
      </c>
      <c r="D56" s="25" t="s">
        <v>532</v>
      </c>
      <c r="E56" s="36">
        <v>-1.52E-2</v>
      </c>
      <c r="F56" s="36">
        <v>-0.121315192743764</v>
      </c>
      <c r="G56" s="36">
        <v>0.30912162162162199</v>
      </c>
      <c r="H56" s="36">
        <v>6.4935064935065503E-3</v>
      </c>
      <c r="I56" s="37">
        <v>27.6</v>
      </c>
      <c r="J56" s="37">
        <v>769.72</v>
      </c>
      <c r="K56" s="25" t="s">
        <v>531</v>
      </c>
      <c r="L56" s="37">
        <v>81.23</v>
      </c>
      <c r="M56" s="36">
        <v>3.56129032258065E-2</v>
      </c>
      <c r="N56" s="37">
        <v>1.0068596372706999</v>
      </c>
      <c r="O56" s="37">
        <v>9.5408100455496694</v>
      </c>
      <c r="P56" s="6"/>
      <c r="Q56" s="1"/>
      <c r="R56" s="1"/>
    </row>
    <row r="57" spans="1:18" x14ac:dyDescent="0.3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x14ac:dyDescent="0.35">
      <c r="A58" s="1"/>
      <c r="B58" s="5"/>
      <c r="C58" s="25" t="s">
        <v>319</v>
      </c>
      <c r="D58" s="25" t="s">
        <v>532</v>
      </c>
      <c r="E58" s="36">
        <v>-1.6999999999999999E-3</v>
      </c>
      <c r="F58" s="36">
        <v>6.7889908256880696E-2</v>
      </c>
      <c r="G58" s="36">
        <v>1.0416666666666701E-2</v>
      </c>
      <c r="H58" s="36">
        <v>-0.12743628185906999</v>
      </c>
      <c r="I58" s="37">
        <v>770</v>
      </c>
      <c r="J58" s="37">
        <v>8344.7999999999993</v>
      </c>
      <c r="K58" s="25" t="s">
        <v>531</v>
      </c>
      <c r="L58" s="37">
        <v>390.26</v>
      </c>
      <c r="M58" s="36">
        <v>6.6151202749140894E-2</v>
      </c>
      <c r="N58" s="37">
        <v>1.39488064423353</v>
      </c>
      <c r="O58" s="37">
        <v>29.826269666376302</v>
      </c>
      <c r="P58" s="6"/>
      <c r="Q58" s="1"/>
      <c r="R58" s="1"/>
    </row>
    <row r="59" spans="1:18" x14ac:dyDescent="0.35">
      <c r="A59" s="1"/>
      <c r="B59" s="5"/>
      <c r="C59" s="25" t="s">
        <v>288</v>
      </c>
      <c r="D59" s="25" t="s">
        <v>532</v>
      </c>
      <c r="E59" s="36">
        <v>1.06E-2</v>
      </c>
      <c r="F59" s="36">
        <v>4.8329355608592001E-2</v>
      </c>
      <c r="G59" s="36">
        <v>0.54258121158911299</v>
      </c>
      <c r="H59" s="36">
        <v>0.174857907054497</v>
      </c>
      <c r="I59" s="37">
        <v>3900</v>
      </c>
      <c r="J59" s="37">
        <v>38765.879999999997</v>
      </c>
      <c r="K59" s="25" t="s">
        <v>531</v>
      </c>
      <c r="L59" s="37">
        <v>3586.11</v>
      </c>
      <c r="M59" s="36">
        <v>5.5492316448491799E-2</v>
      </c>
      <c r="N59" s="37">
        <v>1.8129344671138601</v>
      </c>
      <c r="O59" s="37">
        <v>19.597837210793902</v>
      </c>
      <c r="P59" s="6"/>
      <c r="Q59" s="1"/>
      <c r="R59" s="1"/>
    </row>
    <row r="60" spans="1:18" x14ac:dyDescent="0.35">
      <c r="A60" s="1"/>
      <c r="B60" s="5"/>
      <c r="C60" s="25" t="s">
        <v>289</v>
      </c>
      <c r="D60" s="25" t="s">
        <v>532</v>
      </c>
      <c r="E60" s="36">
        <v>1.1000000000000001E-3</v>
      </c>
      <c r="F60" s="36">
        <v>2.09302325581395E-2</v>
      </c>
      <c r="G60" s="36">
        <v>9.7499999999999906E-2</v>
      </c>
      <c r="H60" s="36">
        <v>3.1727379553466502E-2</v>
      </c>
      <c r="I60" s="37">
        <v>1194</v>
      </c>
      <c r="J60" s="37">
        <v>36711.58</v>
      </c>
      <c r="K60" s="25" t="s">
        <v>531</v>
      </c>
      <c r="L60" s="37">
        <v>1774.35</v>
      </c>
      <c r="M60" s="36">
        <v>6.7995444191343998E-2</v>
      </c>
      <c r="N60" s="37">
        <v>0.47832318848712002</v>
      </c>
      <c r="O60" s="37">
        <v>9.8965818468735005</v>
      </c>
      <c r="P60" s="6"/>
      <c r="Q60" s="1"/>
      <c r="R60" s="1"/>
    </row>
    <row r="61" spans="1:18" x14ac:dyDescent="0.35">
      <c r="A61" s="1"/>
      <c r="B61" s="5"/>
      <c r="C61" s="25" t="s">
        <v>290</v>
      </c>
      <c r="D61" s="25" t="s">
        <v>532</v>
      </c>
      <c r="E61" s="36">
        <v>2.5600000000000001E-2</v>
      </c>
      <c r="F61" s="36">
        <v>3.5483870967741901E-2</v>
      </c>
      <c r="G61" s="25"/>
      <c r="H61" s="36">
        <v>0.13427561837455801</v>
      </c>
      <c r="I61" s="25"/>
      <c r="J61" s="37">
        <v>36729.96</v>
      </c>
      <c r="K61" s="25" t="s">
        <v>531</v>
      </c>
      <c r="L61" s="37">
        <v>2449.37</v>
      </c>
      <c r="M61" s="25"/>
      <c r="N61" s="37">
        <v>0.87394595583550905</v>
      </c>
      <c r="O61" s="37">
        <v>13.1054107790983</v>
      </c>
      <c r="P61" s="6"/>
      <c r="Q61" s="1"/>
      <c r="R61" s="1"/>
    </row>
    <row r="62" spans="1:18" x14ac:dyDescent="0.35">
      <c r="A62" s="1"/>
      <c r="B62" s="5"/>
      <c r="C62" s="25" t="s">
        <v>326</v>
      </c>
      <c r="D62" s="25" t="s">
        <v>532</v>
      </c>
      <c r="E62" s="36">
        <v>-9.1000000000000004E-3</v>
      </c>
      <c r="F62" s="36">
        <v>-1.6666666666667099E-3</v>
      </c>
      <c r="G62" s="36">
        <v>0.118580765639589</v>
      </c>
      <c r="H62" s="36">
        <v>-3.4649476228847703E-2</v>
      </c>
      <c r="I62" s="37">
        <v>0</v>
      </c>
      <c r="J62" s="37">
        <v>31474.22</v>
      </c>
      <c r="K62" s="25" t="s">
        <v>531</v>
      </c>
      <c r="L62" s="37">
        <v>4339.8</v>
      </c>
      <c r="M62" s="36">
        <v>0</v>
      </c>
      <c r="N62" s="37">
        <v>0.76125794380289602</v>
      </c>
      <c r="O62" s="37">
        <v>5.5209917507719304</v>
      </c>
      <c r="P62" s="6"/>
      <c r="Q62" s="1"/>
      <c r="R62" s="1"/>
    </row>
    <row r="63" spans="1:18" x14ac:dyDescent="0.35">
      <c r="A63" s="1"/>
      <c r="B63" s="5"/>
      <c r="C63" s="25" t="s">
        <v>292</v>
      </c>
      <c r="D63" s="25" t="s">
        <v>532</v>
      </c>
      <c r="E63" s="36">
        <v>-1.6299999999999999E-2</v>
      </c>
      <c r="F63" s="36">
        <v>-4.2721518987341799E-2</v>
      </c>
      <c r="G63" s="36">
        <v>-0.348762109795479</v>
      </c>
      <c r="H63" s="36">
        <v>-5.6162246489859603E-2</v>
      </c>
      <c r="I63" s="37">
        <v>688</v>
      </c>
      <c r="J63" s="37">
        <v>15140.69</v>
      </c>
      <c r="K63" s="25" t="s">
        <v>531</v>
      </c>
      <c r="L63" s="37">
        <v>4753.76</v>
      </c>
      <c r="M63" s="36">
        <v>5.6859504132231398E-2</v>
      </c>
      <c r="N63" s="37">
        <v>0.79917097569529505</v>
      </c>
      <c r="O63" s="37">
        <v>2.5453535727508299</v>
      </c>
      <c r="P63" s="6"/>
      <c r="Q63" s="1"/>
      <c r="R63" s="1"/>
    </row>
    <row r="64" spans="1:18" x14ac:dyDescent="0.35">
      <c r="A64" s="1"/>
      <c r="B64" s="5"/>
      <c r="C64" s="25" t="s">
        <v>293</v>
      </c>
      <c r="D64" s="25" t="s">
        <v>532</v>
      </c>
      <c r="E64" s="36">
        <v>-8.3999999999999995E-3</v>
      </c>
      <c r="F64" s="36">
        <v>-6.6608238387379504E-2</v>
      </c>
      <c r="G64" s="36">
        <v>1.09159943046986E-2</v>
      </c>
      <c r="H64" s="36">
        <v>1.41043723554302E-3</v>
      </c>
      <c r="I64" s="37">
        <v>1500</v>
      </c>
      <c r="J64" s="37">
        <v>47877.89</v>
      </c>
      <c r="K64" s="25" t="s">
        <v>531</v>
      </c>
      <c r="L64" s="37">
        <v>5021.83</v>
      </c>
      <c r="M64" s="36">
        <v>3.5211267605633798E-2</v>
      </c>
      <c r="N64" s="37">
        <v>0.88976352132476999</v>
      </c>
      <c r="O64" s="37">
        <v>8.4829633818747308</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0</v>
      </c>
      <c r="F72" s="36">
        <v>-2.8358208955223899E-2</v>
      </c>
      <c r="G72" s="36">
        <v>-1.9578313253012101E-2</v>
      </c>
      <c r="H72" s="36">
        <v>2.6813880126183E-2</v>
      </c>
      <c r="I72" s="37">
        <v>545</v>
      </c>
      <c r="J72" s="37">
        <v>5465.69</v>
      </c>
      <c r="K72" s="25" t="s">
        <v>531</v>
      </c>
      <c r="L72" s="37">
        <v>902.94</v>
      </c>
      <c r="M72" s="36">
        <v>8.3717357910906301E-2</v>
      </c>
      <c r="N72" s="37">
        <v>1.19106645272601</v>
      </c>
      <c r="O72" s="37">
        <v>7.2097813808226503</v>
      </c>
      <c r="P72" s="6"/>
      <c r="Q72" s="1"/>
      <c r="R72" s="1"/>
    </row>
    <row r="73" spans="1:18" x14ac:dyDescent="0.3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x14ac:dyDescent="0.35">
      <c r="A78" s="1"/>
      <c r="B78" s="5"/>
      <c r="C78" s="25" t="s">
        <v>296</v>
      </c>
      <c r="D78" s="25" t="s">
        <v>532</v>
      </c>
      <c r="E78" s="36">
        <v>-1.01E-2</v>
      </c>
      <c r="F78" s="36">
        <v>-1.2290502793296101E-2</v>
      </c>
      <c r="G78" s="36">
        <v>0.43273905996758499</v>
      </c>
      <c r="H78" s="36">
        <v>-5.4545454545454598E-2</v>
      </c>
      <c r="I78" s="37">
        <v>1462.75</v>
      </c>
      <c r="J78" s="37">
        <v>18073.29</v>
      </c>
      <c r="K78" s="25" t="s">
        <v>531</v>
      </c>
      <c r="L78" s="37">
        <v>15730.68</v>
      </c>
      <c r="M78" s="36">
        <v>8.27347285067873E-2</v>
      </c>
      <c r="N78" s="37">
        <v>0.97823915844873799</v>
      </c>
      <c r="O78" s="37">
        <v>1.1239183557226999</v>
      </c>
      <c r="P78" s="6"/>
      <c r="Q78" s="1"/>
      <c r="R78" s="1"/>
    </row>
    <row r="79" spans="1:18" x14ac:dyDescent="0.35">
      <c r="A79" s="1"/>
      <c r="B79" s="5"/>
      <c r="C79" s="25" t="s">
        <v>573</v>
      </c>
      <c r="D79" s="25" t="s">
        <v>532</v>
      </c>
      <c r="E79" s="36">
        <v>-1.4E-3</v>
      </c>
      <c r="F79" s="36">
        <v>-0.04</v>
      </c>
      <c r="G79" s="25"/>
      <c r="H79" s="36">
        <v>-0.35793357933579301</v>
      </c>
      <c r="I79" s="25"/>
      <c r="J79" s="37">
        <v>22841.55</v>
      </c>
      <c r="K79" s="25" t="s">
        <v>531</v>
      </c>
      <c r="L79" s="37">
        <v>3237.96</v>
      </c>
      <c r="M79" s="25"/>
      <c r="N79" s="37">
        <v>0.60941573579726405</v>
      </c>
      <c r="O79" s="37">
        <v>4.2990030760108198</v>
      </c>
      <c r="P79" s="6"/>
      <c r="Q79" s="1"/>
      <c r="R79" s="1"/>
    </row>
    <row r="80" spans="1:18" x14ac:dyDescent="0.35">
      <c r="A80" s="1"/>
      <c r="B80" s="5"/>
      <c r="C80" s="25" t="s">
        <v>574</v>
      </c>
      <c r="D80" s="25" t="s">
        <v>530</v>
      </c>
      <c r="E80" s="36">
        <v>0</v>
      </c>
      <c r="F80" s="36">
        <v>0</v>
      </c>
      <c r="G80" s="36">
        <v>0.23555555555555599</v>
      </c>
      <c r="H80" s="36">
        <v>9.0196078431372506E-2</v>
      </c>
      <c r="I80" s="37">
        <v>0</v>
      </c>
      <c r="J80" s="37">
        <v>91278.32</v>
      </c>
      <c r="K80" s="25" t="s">
        <v>531</v>
      </c>
      <c r="L80" s="37">
        <v>5290.77</v>
      </c>
      <c r="M80" s="36">
        <v>0</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0.100917431192661</v>
      </c>
      <c r="G82" s="36">
        <v>0.14285714285714299</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3210.56</v>
      </c>
      <c r="G6" s="1"/>
      <c r="H6" s="6"/>
      <c r="I6" s="1"/>
      <c r="J6" s="1"/>
    </row>
    <row r="7" spans="1:10" x14ac:dyDescent="0.35">
      <c r="A7" s="1"/>
      <c r="B7" s="5"/>
      <c r="C7" s="20" t="s">
        <v>581</v>
      </c>
      <c r="D7" s="20" t="s">
        <v>529</v>
      </c>
      <c r="E7" s="39">
        <v>112381.2</v>
      </c>
      <c r="F7" s="39">
        <v>35003613.076846398</v>
      </c>
      <c r="G7" s="1"/>
      <c r="H7" s="6"/>
      <c r="I7" s="1"/>
      <c r="J7" s="1"/>
    </row>
    <row r="8" spans="1:10" x14ac:dyDescent="0.35">
      <c r="A8" s="1"/>
      <c r="B8" s="5"/>
      <c r="C8" s="20" t="s">
        <v>299</v>
      </c>
      <c r="D8" s="20" t="s">
        <v>298</v>
      </c>
      <c r="E8" s="39">
        <v>3461793.2215999998</v>
      </c>
      <c r="F8" s="39">
        <v>1078252149.6561301</v>
      </c>
      <c r="G8" s="1"/>
      <c r="H8" s="6"/>
      <c r="I8" s="1"/>
      <c r="J8" s="1"/>
    </row>
    <row r="9" spans="1:10" x14ac:dyDescent="0.35">
      <c r="A9" s="1"/>
      <c r="B9" s="5"/>
      <c r="C9" s="20" t="s">
        <v>323</v>
      </c>
      <c r="D9" s="20" t="s">
        <v>322</v>
      </c>
      <c r="E9" s="39">
        <v>16250788.632032</v>
      </c>
      <c r="F9" s="39">
        <v>5061667943.2971201</v>
      </c>
      <c r="G9" s="1"/>
      <c r="H9" s="6"/>
      <c r="I9" s="1"/>
      <c r="J9" s="1"/>
    </row>
    <row r="10" spans="1:10" x14ac:dyDescent="0.35">
      <c r="A10" s="1"/>
      <c r="B10" s="5"/>
      <c r="C10" s="20" t="s">
        <v>301</v>
      </c>
      <c r="D10" s="20" t="s">
        <v>300</v>
      </c>
      <c r="E10" s="39">
        <v>396041.52408</v>
      </c>
      <c r="F10" s="39">
        <v>123355901.799063</v>
      </c>
      <c r="G10" s="1"/>
      <c r="H10" s="6"/>
      <c r="I10" s="1"/>
      <c r="J10" s="1"/>
    </row>
    <row r="11" spans="1:10" x14ac:dyDescent="0.35">
      <c r="A11" s="1"/>
      <c r="B11" s="5"/>
      <c r="C11" s="20" t="s">
        <v>259</v>
      </c>
      <c r="D11" s="20" t="s">
        <v>258</v>
      </c>
      <c r="E11" s="39">
        <v>13336125.09272</v>
      </c>
      <c r="F11" s="39">
        <v>4153831447.6975999</v>
      </c>
      <c r="G11" s="1"/>
      <c r="H11" s="6"/>
      <c r="I11" s="1"/>
      <c r="J11" s="1"/>
    </row>
    <row r="12" spans="1:10" x14ac:dyDescent="0.35">
      <c r="A12" s="1"/>
      <c r="B12" s="5"/>
      <c r="C12" s="20" t="s">
        <v>303</v>
      </c>
      <c r="D12" s="20" t="s">
        <v>302</v>
      </c>
      <c r="E12" s="39">
        <v>958533.34895999997</v>
      </c>
      <c r="F12" s="39">
        <v>298556435.31346601</v>
      </c>
      <c r="G12" s="1"/>
      <c r="H12" s="6"/>
      <c r="I12" s="1"/>
      <c r="J12" s="1"/>
    </row>
    <row r="13" spans="1:10" x14ac:dyDescent="0.35">
      <c r="A13" s="1"/>
      <c r="B13" s="5"/>
      <c r="C13" s="20" t="s">
        <v>582</v>
      </c>
      <c r="D13" s="20" t="s">
        <v>533</v>
      </c>
      <c r="E13" s="39">
        <v>616751.73701685003</v>
      </c>
      <c r="F13" s="39">
        <v>192100984.56868899</v>
      </c>
      <c r="G13" s="1"/>
      <c r="H13" s="6"/>
      <c r="I13" s="1"/>
      <c r="J13" s="1"/>
    </row>
    <row r="14" spans="1:10" x14ac:dyDescent="0.35">
      <c r="A14" s="1"/>
      <c r="B14" s="5"/>
      <c r="C14" s="20" t="s">
        <v>261</v>
      </c>
      <c r="D14" s="20" t="s">
        <v>260</v>
      </c>
      <c r="E14" s="39">
        <v>5045815.4982399996</v>
      </c>
      <c r="F14" s="39">
        <v>1571630961.02861</v>
      </c>
      <c r="G14" s="1"/>
      <c r="H14" s="6"/>
      <c r="I14" s="1"/>
      <c r="J14" s="1"/>
    </row>
    <row r="15" spans="1:10" x14ac:dyDescent="0.35">
      <c r="A15" s="1"/>
      <c r="B15" s="5"/>
      <c r="C15" s="20" t="s">
        <v>263</v>
      </c>
      <c r="D15" s="20" t="s">
        <v>262</v>
      </c>
      <c r="E15" s="39">
        <v>13234777.439999999</v>
      </c>
      <c r="F15" s="39">
        <v>4122264477.2251601</v>
      </c>
      <c r="G15" s="1"/>
      <c r="H15" s="6"/>
      <c r="I15" s="1"/>
      <c r="J15" s="1"/>
    </row>
    <row r="16" spans="1:10" x14ac:dyDescent="0.35">
      <c r="A16" s="1"/>
      <c r="B16" s="5"/>
      <c r="C16" s="20" t="s">
        <v>265</v>
      </c>
      <c r="D16" s="20" t="s">
        <v>264</v>
      </c>
      <c r="E16" s="39">
        <v>42510111.522</v>
      </c>
      <c r="F16" s="39">
        <v>13240715489.5096</v>
      </c>
      <c r="G16" s="1"/>
      <c r="H16" s="6"/>
      <c r="I16" s="1"/>
      <c r="J16" s="1"/>
    </row>
    <row r="17" spans="1:10" x14ac:dyDescent="0.35">
      <c r="A17" s="1"/>
      <c r="B17" s="5"/>
      <c r="C17" s="20" t="s">
        <v>305</v>
      </c>
      <c r="D17" s="20" t="s">
        <v>304</v>
      </c>
      <c r="E17" s="39">
        <v>1504345.31588304</v>
      </c>
      <c r="F17" s="39">
        <v>468561657.74289799</v>
      </c>
      <c r="G17" s="1"/>
      <c r="H17" s="6"/>
      <c r="I17" s="1"/>
      <c r="J17" s="1"/>
    </row>
    <row r="18" spans="1:10" x14ac:dyDescent="0.35">
      <c r="A18" s="1"/>
      <c r="B18" s="5"/>
      <c r="C18" s="20" t="s">
        <v>583</v>
      </c>
      <c r="D18" s="20" t="s">
        <v>536</v>
      </c>
      <c r="E18" s="39">
        <v>551392.90889592003</v>
      </c>
      <c r="F18" s="39">
        <v>171743530.379722</v>
      </c>
      <c r="G18" s="1"/>
      <c r="H18" s="6"/>
      <c r="I18" s="1"/>
      <c r="J18" s="1"/>
    </row>
    <row r="19" spans="1:10" x14ac:dyDescent="0.35">
      <c r="A19" s="1"/>
      <c r="B19" s="5"/>
      <c r="C19" s="20" t="s">
        <v>584</v>
      </c>
      <c r="D19" s="20" t="s">
        <v>537</v>
      </c>
      <c r="E19" s="39">
        <v>1324575.7383328399</v>
      </c>
      <c r="F19" s="39">
        <v>412568442.36919397</v>
      </c>
      <c r="G19" s="1"/>
      <c r="H19" s="6"/>
      <c r="I19" s="1"/>
      <c r="J19" s="1"/>
    </row>
    <row r="20" spans="1:10" x14ac:dyDescent="0.35">
      <c r="A20" s="1"/>
      <c r="B20" s="5"/>
      <c r="C20" s="20" t="s">
        <v>585</v>
      </c>
      <c r="D20" s="20" t="s">
        <v>538</v>
      </c>
      <c r="E20" s="39">
        <v>27483.84</v>
      </c>
      <c r="F20" s="39">
        <v>8560450.5133060906</v>
      </c>
      <c r="G20" s="1"/>
      <c r="H20" s="6"/>
      <c r="I20" s="1"/>
      <c r="J20" s="1"/>
    </row>
    <row r="21" spans="1:10" x14ac:dyDescent="0.35">
      <c r="A21" s="1"/>
      <c r="B21" s="5"/>
      <c r="C21" s="20" t="s">
        <v>307</v>
      </c>
      <c r="D21" s="20" t="s">
        <v>306</v>
      </c>
      <c r="E21" s="39">
        <v>476387.07438000001</v>
      </c>
      <c r="F21" s="39">
        <v>148381302.44567901</v>
      </c>
      <c r="G21" s="1"/>
      <c r="H21" s="6"/>
      <c r="I21" s="1"/>
      <c r="J21" s="1"/>
    </row>
    <row r="22" spans="1:10" x14ac:dyDescent="0.35">
      <c r="A22" s="1"/>
      <c r="B22" s="5"/>
      <c r="C22" s="20" t="s">
        <v>586</v>
      </c>
      <c r="D22" s="20" t="s">
        <v>539</v>
      </c>
      <c r="E22" s="39">
        <v>251087.91450000001</v>
      </c>
      <c r="F22" s="39">
        <v>78206890.542459905</v>
      </c>
      <c r="G22" s="1"/>
      <c r="H22" s="6"/>
      <c r="I22" s="1"/>
      <c r="J22" s="1"/>
    </row>
    <row r="23" spans="1:10" x14ac:dyDescent="0.35">
      <c r="A23" s="1"/>
      <c r="B23" s="5"/>
      <c r="C23" s="20" t="s">
        <v>267</v>
      </c>
      <c r="D23" s="20" t="s">
        <v>266</v>
      </c>
      <c r="E23" s="39">
        <v>6470822.3488800004</v>
      </c>
      <c r="F23" s="39">
        <v>2015480897.0646901</v>
      </c>
      <c r="G23" s="1"/>
      <c r="H23" s="6"/>
      <c r="I23" s="1"/>
      <c r="J23" s="1"/>
    </row>
    <row r="24" spans="1:10" x14ac:dyDescent="0.35">
      <c r="A24" s="1"/>
      <c r="B24" s="5"/>
      <c r="C24" s="20" t="s">
        <v>587</v>
      </c>
      <c r="D24" s="20" t="s">
        <v>540</v>
      </c>
      <c r="E24" s="39">
        <v>109948.90245325</v>
      </c>
      <c r="F24" s="39">
        <v>34246020.150145099</v>
      </c>
      <c r="G24" s="1"/>
      <c r="H24" s="6"/>
      <c r="I24" s="1"/>
      <c r="J24" s="1"/>
    </row>
    <row r="25" spans="1:10" x14ac:dyDescent="0.35">
      <c r="A25" s="1"/>
      <c r="B25" s="5"/>
      <c r="C25" s="20" t="s">
        <v>588</v>
      </c>
      <c r="D25" s="20" t="s">
        <v>541</v>
      </c>
      <c r="E25" s="39">
        <v>6958.3182746000002</v>
      </c>
      <c r="F25" s="39">
        <v>2167322.2972316402</v>
      </c>
      <c r="G25" s="1"/>
      <c r="H25" s="6"/>
      <c r="I25" s="1"/>
      <c r="J25" s="1"/>
    </row>
    <row r="26" spans="1:10" x14ac:dyDescent="0.35">
      <c r="A26" s="1"/>
      <c r="B26" s="5"/>
      <c r="C26" s="20" t="s">
        <v>269</v>
      </c>
      <c r="D26" s="20" t="s">
        <v>268</v>
      </c>
      <c r="E26" s="39">
        <v>103819654.09225</v>
      </c>
      <c r="F26" s="39">
        <v>32336930034.7136</v>
      </c>
      <c r="G26" s="1"/>
      <c r="H26" s="6"/>
      <c r="I26" s="1"/>
      <c r="J26" s="1"/>
    </row>
    <row r="27" spans="1:10" x14ac:dyDescent="0.35">
      <c r="A27" s="1"/>
      <c r="B27" s="5"/>
      <c r="C27" s="20" t="s">
        <v>309</v>
      </c>
      <c r="D27" s="20" t="s">
        <v>308</v>
      </c>
      <c r="E27" s="39">
        <v>275695.59360000002</v>
      </c>
      <c r="F27" s="39">
        <v>85871497.059703007</v>
      </c>
      <c r="G27" s="1"/>
      <c r="H27" s="6"/>
      <c r="I27" s="1"/>
      <c r="J27" s="1"/>
    </row>
    <row r="28" spans="1:10" x14ac:dyDescent="0.35">
      <c r="A28" s="1"/>
      <c r="B28" s="5"/>
      <c r="C28" s="20" t="s">
        <v>589</v>
      </c>
      <c r="D28" s="20" t="s">
        <v>542</v>
      </c>
      <c r="E28" s="39">
        <v>145509.30657756</v>
      </c>
      <c r="F28" s="39">
        <v>45322095.390698202</v>
      </c>
      <c r="G28" s="1"/>
      <c r="H28" s="6"/>
      <c r="I28" s="1"/>
      <c r="J28" s="1"/>
    </row>
    <row r="29" spans="1:10" x14ac:dyDescent="0.35">
      <c r="A29" s="1"/>
      <c r="B29" s="5"/>
      <c r="C29" s="20" t="s">
        <v>311</v>
      </c>
      <c r="D29" s="20" t="s">
        <v>310</v>
      </c>
      <c r="E29" s="39">
        <v>226704.74663079999</v>
      </c>
      <c r="F29" s="39">
        <v>70612213.019161806</v>
      </c>
      <c r="G29" s="1"/>
      <c r="H29" s="6"/>
      <c r="I29" s="1"/>
      <c r="J29" s="1"/>
    </row>
    <row r="30" spans="1:10" x14ac:dyDescent="0.35">
      <c r="A30" s="1"/>
      <c r="B30" s="5"/>
      <c r="C30" s="20" t="s">
        <v>590</v>
      </c>
      <c r="D30" s="20" t="s">
        <v>543</v>
      </c>
      <c r="E30" s="39">
        <v>8900.7459999999992</v>
      </c>
      <c r="F30" s="39">
        <v>2772334.4214093499</v>
      </c>
      <c r="G30" s="1"/>
      <c r="H30" s="6"/>
      <c r="I30" s="1"/>
      <c r="J30" s="1"/>
    </row>
    <row r="31" spans="1:10" x14ac:dyDescent="0.35">
      <c r="A31" s="1"/>
      <c r="B31" s="5"/>
      <c r="C31" s="20" t="s">
        <v>313</v>
      </c>
      <c r="D31" s="20" t="s">
        <v>312</v>
      </c>
      <c r="E31" s="39">
        <v>243212.90872199999</v>
      </c>
      <c r="F31" s="39">
        <v>75754045.625062302</v>
      </c>
      <c r="G31" s="1"/>
      <c r="H31" s="6"/>
      <c r="I31" s="1"/>
      <c r="J31" s="1"/>
    </row>
    <row r="32" spans="1:10" x14ac:dyDescent="0.35">
      <c r="A32" s="1"/>
      <c r="B32" s="5"/>
      <c r="C32" s="20" t="s">
        <v>271</v>
      </c>
      <c r="D32" s="20" t="s">
        <v>270</v>
      </c>
      <c r="E32" s="39">
        <v>5905282.8334499998</v>
      </c>
      <c r="F32" s="39">
        <v>1839331092.84673</v>
      </c>
      <c r="G32" s="1"/>
      <c r="H32" s="6"/>
      <c r="I32" s="1"/>
      <c r="J32" s="1"/>
    </row>
    <row r="33" spans="1:10" x14ac:dyDescent="0.35">
      <c r="A33" s="1"/>
      <c r="B33" s="5"/>
      <c r="C33" s="20" t="s">
        <v>315</v>
      </c>
      <c r="D33" s="20" t="s">
        <v>314</v>
      </c>
      <c r="E33" s="39">
        <v>36807.393587999999</v>
      </c>
      <c r="F33" s="39">
        <v>11464477.719774701</v>
      </c>
      <c r="G33" s="1"/>
      <c r="H33" s="6"/>
      <c r="I33" s="1"/>
      <c r="J33" s="1"/>
    </row>
    <row r="34" spans="1:10" x14ac:dyDescent="0.35">
      <c r="A34" s="1"/>
      <c r="B34" s="5"/>
      <c r="C34" s="20" t="s">
        <v>591</v>
      </c>
      <c r="D34" s="20" t="s">
        <v>546</v>
      </c>
      <c r="E34" s="39">
        <v>64808.040883599999</v>
      </c>
      <c r="F34" s="39">
        <v>20185899.308407299</v>
      </c>
      <c r="G34" s="1"/>
      <c r="H34" s="6"/>
      <c r="I34" s="1"/>
      <c r="J34" s="1"/>
    </row>
    <row r="35" spans="1:10" x14ac:dyDescent="0.35">
      <c r="A35" s="1"/>
      <c r="B35" s="5"/>
      <c r="C35" s="20" t="s">
        <v>273</v>
      </c>
      <c r="D35" s="20" t="s">
        <v>272</v>
      </c>
      <c r="E35" s="39">
        <v>25707295.647599999</v>
      </c>
      <c r="F35" s="39">
        <v>8007106438.6275301</v>
      </c>
      <c r="G35" s="1"/>
      <c r="H35" s="6"/>
      <c r="I35" s="1"/>
      <c r="J35" s="1"/>
    </row>
    <row r="36" spans="1:10" x14ac:dyDescent="0.35">
      <c r="A36" s="1"/>
      <c r="B36" s="5"/>
      <c r="C36" s="20" t="s">
        <v>592</v>
      </c>
      <c r="D36" s="20" t="s">
        <v>547</v>
      </c>
      <c r="E36" s="39">
        <v>1141708.6687650001</v>
      </c>
      <c r="F36" s="39">
        <v>355610444.52213901</v>
      </c>
      <c r="G36" s="1"/>
      <c r="H36" s="6"/>
      <c r="I36" s="1"/>
      <c r="J36" s="1"/>
    </row>
    <row r="37" spans="1:10" x14ac:dyDescent="0.35">
      <c r="A37" s="1"/>
      <c r="B37" s="5"/>
      <c r="C37" s="20" t="s">
        <v>275</v>
      </c>
      <c r="D37" s="20" t="s">
        <v>274</v>
      </c>
      <c r="E37" s="39">
        <v>6414261.97566</v>
      </c>
      <c r="F37" s="39">
        <v>1997863916.4693999</v>
      </c>
      <c r="G37" s="1"/>
      <c r="H37" s="6"/>
      <c r="I37" s="1"/>
      <c r="J37" s="1"/>
    </row>
    <row r="38" spans="1:10" x14ac:dyDescent="0.35">
      <c r="A38" s="1"/>
      <c r="B38" s="5"/>
      <c r="C38" s="20" t="s">
        <v>277</v>
      </c>
      <c r="D38" s="20" t="s">
        <v>276</v>
      </c>
      <c r="E38" s="39">
        <v>6590260.4073999999</v>
      </c>
      <c r="F38" s="39">
        <v>2052682524.9800701</v>
      </c>
      <c r="G38" s="1"/>
      <c r="H38" s="6"/>
      <c r="I38" s="1"/>
      <c r="J38" s="1"/>
    </row>
    <row r="39" spans="1:10" x14ac:dyDescent="0.35">
      <c r="A39" s="1"/>
      <c r="B39" s="5"/>
      <c r="C39" s="20" t="s">
        <v>287</v>
      </c>
      <c r="D39" s="20" t="s">
        <v>316</v>
      </c>
      <c r="E39" s="39">
        <v>12586182.995689999</v>
      </c>
      <c r="F39" s="39">
        <v>3920245376.4109702</v>
      </c>
      <c r="G39" s="1"/>
      <c r="H39" s="6"/>
      <c r="I39" s="1"/>
      <c r="J39" s="1"/>
    </row>
    <row r="40" spans="1:10" x14ac:dyDescent="0.35">
      <c r="A40" s="1"/>
      <c r="B40" s="5"/>
      <c r="C40" s="20" t="s">
        <v>593</v>
      </c>
      <c r="D40" s="20" t="s">
        <v>548</v>
      </c>
      <c r="E40" s="39">
        <v>301296.31718489999</v>
      </c>
      <c r="F40" s="39">
        <v>93845409.269691303</v>
      </c>
      <c r="G40" s="1"/>
      <c r="H40" s="6"/>
      <c r="I40" s="1"/>
      <c r="J40" s="1"/>
    </row>
    <row r="41" spans="1:10" x14ac:dyDescent="0.35">
      <c r="A41" s="1"/>
      <c r="B41" s="5"/>
      <c r="C41" s="20" t="s">
        <v>279</v>
      </c>
      <c r="D41" s="20" t="s">
        <v>278</v>
      </c>
      <c r="E41" s="39">
        <v>8868803.7104800008</v>
      </c>
      <c r="F41" s="39">
        <v>2762385288.0743499</v>
      </c>
      <c r="G41" s="1"/>
      <c r="H41" s="6"/>
      <c r="I41" s="1"/>
      <c r="J41" s="1"/>
    </row>
    <row r="42" spans="1:10" x14ac:dyDescent="0.35">
      <c r="A42" s="1"/>
      <c r="B42" s="5"/>
      <c r="C42" s="20" t="s">
        <v>594</v>
      </c>
      <c r="D42" s="20" t="s">
        <v>554</v>
      </c>
      <c r="E42" s="39">
        <v>282645.97115508001</v>
      </c>
      <c r="F42" s="39">
        <v>88036346.0440173</v>
      </c>
      <c r="G42" s="1"/>
      <c r="H42" s="6"/>
      <c r="I42" s="1"/>
      <c r="J42" s="1"/>
    </row>
    <row r="43" spans="1:10" x14ac:dyDescent="0.35">
      <c r="A43" s="1"/>
      <c r="B43" s="5"/>
      <c r="C43" s="20" t="s">
        <v>595</v>
      </c>
      <c r="D43" s="20" t="s">
        <v>555</v>
      </c>
      <c r="E43" s="39">
        <v>152417.94817521001</v>
      </c>
      <c r="F43" s="39">
        <v>47473944.786956199</v>
      </c>
      <c r="G43" s="1"/>
      <c r="H43" s="6"/>
      <c r="I43" s="1"/>
      <c r="J43" s="1"/>
    </row>
    <row r="44" spans="1:10" x14ac:dyDescent="0.35">
      <c r="A44" s="1"/>
      <c r="B44" s="5"/>
      <c r="C44" s="20" t="s">
        <v>596</v>
      </c>
      <c r="D44" s="20" t="s">
        <v>556</v>
      </c>
      <c r="E44" s="39">
        <v>119631.25</v>
      </c>
      <c r="F44" s="39">
        <v>37261801.679457799</v>
      </c>
      <c r="G44" s="1"/>
      <c r="H44" s="6"/>
      <c r="I44" s="1"/>
      <c r="J44" s="1"/>
    </row>
    <row r="45" spans="1:10" x14ac:dyDescent="0.35">
      <c r="A45" s="1"/>
      <c r="B45" s="5"/>
      <c r="C45" s="20" t="s">
        <v>281</v>
      </c>
      <c r="D45" s="20" t="s">
        <v>280</v>
      </c>
      <c r="E45" s="39">
        <v>32011891.136599999</v>
      </c>
      <c r="F45" s="39">
        <v>9970812299.5988197</v>
      </c>
      <c r="G45" s="1"/>
      <c r="H45" s="6"/>
      <c r="I45" s="1"/>
      <c r="J45" s="1"/>
    </row>
    <row r="46" spans="1:10" x14ac:dyDescent="0.35">
      <c r="A46" s="1"/>
      <c r="B46" s="5"/>
      <c r="C46" s="20" t="s">
        <v>597</v>
      </c>
      <c r="D46" s="20" t="s">
        <v>557</v>
      </c>
      <c r="E46" s="39">
        <v>704464.01158394001</v>
      </c>
      <c r="F46" s="39">
        <v>219420914.60179499</v>
      </c>
      <c r="G46" s="1"/>
      <c r="H46" s="6"/>
      <c r="I46" s="1"/>
      <c r="J46" s="1"/>
    </row>
    <row r="47" spans="1:10" x14ac:dyDescent="0.35">
      <c r="A47" s="1"/>
      <c r="B47" s="5"/>
      <c r="C47" s="20" t="s">
        <v>598</v>
      </c>
      <c r="D47" s="20" t="s">
        <v>558</v>
      </c>
      <c r="E47" s="39">
        <v>809953.8813756</v>
      </c>
      <c r="F47" s="39">
        <v>252278070.297892</v>
      </c>
      <c r="G47" s="1"/>
      <c r="H47" s="6"/>
      <c r="I47" s="1"/>
      <c r="J47" s="1"/>
    </row>
    <row r="48" spans="1:10" x14ac:dyDescent="0.35">
      <c r="A48" s="1"/>
      <c r="B48" s="5"/>
      <c r="C48" s="20" t="s">
        <v>283</v>
      </c>
      <c r="D48" s="20" t="s">
        <v>282</v>
      </c>
      <c r="E48" s="39">
        <v>4720657.0513199996</v>
      </c>
      <c r="F48" s="39">
        <v>1470353163.0992701</v>
      </c>
      <c r="G48" s="1"/>
      <c r="H48" s="6"/>
      <c r="I48" s="1"/>
      <c r="J48" s="1"/>
    </row>
    <row r="49" spans="1:10" x14ac:dyDescent="0.35">
      <c r="A49" s="1"/>
      <c r="B49" s="5"/>
      <c r="C49" s="20" t="s">
        <v>325</v>
      </c>
      <c r="D49" s="20" t="s">
        <v>324</v>
      </c>
      <c r="E49" s="39">
        <v>143203117.62656</v>
      </c>
      <c r="F49" s="39">
        <v>44603781778.431198</v>
      </c>
      <c r="G49" s="1"/>
      <c r="H49" s="6"/>
      <c r="I49" s="1"/>
      <c r="J49" s="1"/>
    </row>
    <row r="50" spans="1:10" x14ac:dyDescent="0.35">
      <c r="A50" s="1"/>
      <c r="B50" s="5"/>
      <c r="C50" s="20" t="s">
        <v>318</v>
      </c>
      <c r="D50" s="20" t="s">
        <v>317</v>
      </c>
      <c r="E50" s="39">
        <v>3195944.2395000001</v>
      </c>
      <c r="F50" s="39">
        <v>995447597.77110505</v>
      </c>
      <c r="G50" s="1"/>
      <c r="H50" s="6"/>
      <c r="I50" s="1"/>
      <c r="J50" s="1"/>
    </row>
    <row r="51" spans="1:10" x14ac:dyDescent="0.35">
      <c r="A51" s="1"/>
      <c r="B51" s="5"/>
      <c r="C51" s="20" t="s">
        <v>599</v>
      </c>
      <c r="D51" s="20" t="s">
        <v>559</v>
      </c>
      <c r="E51" s="39">
        <v>96995.525230500003</v>
      </c>
      <c r="F51" s="39">
        <v>30211404.0013269</v>
      </c>
      <c r="G51" s="1"/>
      <c r="H51" s="6"/>
      <c r="I51" s="1"/>
      <c r="J51" s="1"/>
    </row>
    <row r="52" spans="1:10" x14ac:dyDescent="0.35">
      <c r="A52" s="1"/>
      <c r="B52" s="5"/>
      <c r="C52" s="20" t="s">
        <v>285</v>
      </c>
      <c r="D52" s="20" t="s">
        <v>284</v>
      </c>
      <c r="E52" s="39">
        <v>3122100.375</v>
      </c>
      <c r="F52" s="39">
        <v>972447291.12678194</v>
      </c>
      <c r="G52" s="1"/>
      <c r="H52" s="6"/>
      <c r="I52" s="1"/>
      <c r="J52" s="1"/>
    </row>
    <row r="53" spans="1:10" x14ac:dyDescent="0.35">
      <c r="A53" s="1"/>
      <c r="B53" s="5"/>
      <c r="C53" s="20" t="s">
        <v>287</v>
      </c>
      <c r="D53" s="20" t="s">
        <v>286</v>
      </c>
      <c r="E53" s="39">
        <v>5863543.5529749999</v>
      </c>
      <c r="F53" s="39">
        <v>1826330469.7544999</v>
      </c>
      <c r="G53" s="1"/>
      <c r="H53" s="6"/>
      <c r="I53" s="1"/>
      <c r="J53" s="1"/>
    </row>
    <row r="54" spans="1:10" x14ac:dyDescent="0.35">
      <c r="A54" s="1"/>
      <c r="B54" s="5"/>
      <c r="C54" s="20" t="s">
        <v>299</v>
      </c>
      <c r="D54" s="20" t="s">
        <v>560</v>
      </c>
      <c r="E54" s="39">
        <v>187850.02799999999</v>
      </c>
      <c r="F54" s="39">
        <v>58510050.583075903</v>
      </c>
      <c r="G54" s="1"/>
      <c r="H54" s="6"/>
      <c r="I54" s="1"/>
      <c r="J54" s="1"/>
    </row>
    <row r="55" spans="1:10" x14ac:dyDescent="0.35">
      <c r="A55" s="1"/>
      <c r="B55" s="5"/>
      <c r="C55" s="20" t="s">
        <v>263</v>
      </c>
      <c r="D55" s="20" t="s">
        <v>319</v>
      </c>
      <c r="E55" s="39">
        <v>4412.9451600000002</v>
      </c>
      <c r="F55" s="39">
        <v>1374509.4812119999</v>
      </c>
      <c r="G55" s="1"/>
      <c r="H55" s="6"/>
      <c r="I55" s="1"/>
      <c r="J55" s="1"/>
    </row>
    <row r="56" spans="1:10" x14ac:dyDescent="0.35">
      <c r="A56" s="1"/>
      <c r="B56" s="5"/>
      <c r="C56" s="20" t="s">
        <v>265</v>
      </c>
      <c r="D56" s="20" t="s">
        <v>288</v>
      </c>
      <c r="E56" s="39">
        <v>30920234.465119999</v>
      </c>
      <c r="F56" s="39">
        <v>9630791657.8789997</v>
      </c>
      <c r="G56" s="1"/>
      <c r="H56" s="6"/>
      <c r="I56" s="1"/>
      <c r="J56" s="1"/>
    </row>
    <row r="57" spans="1:10" x14ac:dyDescent="0.35">
      <c r="A57" s="1"/>
      <c r="B57" s="5"/>
      <c r="C57" s="20" t="s">
        <v>267</v>
      </c>
      <c r="D57" s="20" t="s">
        <v>289</v>
      </c>
      <c r="E57" s="39">
        <v>337627.43699999998</v>
      </c>
      <c r="F57" s="39">
        <v>105161540.977275</v>
      </c>
      <c r="G57" s="1"/>
      <c r="H57" s="6"/>
      <c r="I57" s="1"/>
      <c r="J57" s="1"/>
    </row>
    <row r="58" spans="1:10" x14ac:dyDescent="0.35">
      <c r="A58" s="1"/>
      <c r="B58" s="5"/>
      <c r="C58" s="20" t="s">
        <v>291</v>
      </c>
      <c r="D58" s="20" t="s">
        <v>290</v>
      </c>
      <c r="E58" s="39">
        <v>5439144.4713000003</v>
      </c>
      <c r="F58" s="39">
        <v>1694141978.75137</v>
      </c>
      <c r="G58" s="1"/>
      <c r="H58" s="6"/>
      <c r="I58" s="1"/>
      <c r="J58" s="1"/>
    </row>
    <row r="59" spans="1:10" x14ac:dyDescent="0.35">
      <c r="A59" s="1"/>
      <c r="B59" s="5"/>
      <c r="C59" s="20" t="s">
        <v>327</v>
      </c>
      <c r="D59" s="20" t="s">
        <v>326</v>
      </c>
      <c r="E59" s="39">
        <v>2793760.2475200002</v>
      </c>
      <c r="F59" s="39">
        <v>870178488.33848298</v>
      </c>
      <c r="G59" s="1"/>
      <c r="H59" s="6"/>
      <c r="I59" s="1"/>
      <c r="J59" s="1"/>
    </row>
    <row r="60" spans="1:10" x14ac:dyDescent="0.35">
      <c r="A60" s="1"/>
      <c r="B60" s="5"/>
      <c r="C60" s="20" t="s">
        <v>277</v>
      </c>
      <c r="D60" s="20" t="s">
        <v>292</v>
      </c>
      <c r="E60" s="39">
        <v>3476032.0858999998</v>
      </c>
      <c r="F60" s="39">
        <v>1082687159.2183299</v>
      </c>
      <c r="G60" s="1"/>
      <c r="H60" s="6"/>
      <c r="I60" s="1"/>
      <c r="J60" s="1"/>
    </row>
    <row r="61" spans="1:10" x14ac:dyDescent="0.35">
      <c r="A61" s="1"/>
      <c r="B61" s="5"/>
      <c r="C61" s="20" t="s">
        <v>279</v>
      </c>
      <c r="D61" s="20" t="s">
        <v>293</v>
      </c>
      <c r="E61" s="39">
        <v>6895742.1732000001</v>
      </c>
      <c r="F61" s="39">
        <v>2147831584.8948498</v>
      </c>
      <c r="G61" s="1"/>
      <c r="H61" s="6"/>
      <c r="I61" s="1"/>
      <c r="J61" s="1"/>
    </row>
    <row r="62" spans="1:10" x14ac:dyDescent="0.35">
      <c r="A62" s="1"/>
      <c r="B62" s="5"/>
      <c r="C62" s="20" t="s">
        <v>321</v>
      </c>
      <c r="D62" s="20" t="s">
        <v>561</v>
      </c>
      <c r="E62" s="39">
        <v>217.45230137999999</v>
      </c>
      <c r="F62" s="39">
        <v>67730.334078789994</v>
      </c>
      <c r="G62" s="1"/>
      <c r="H62" s="6"/>
      <c r="I62" s="1"/>
      <c r="J62" s="1"/>
    </row>
    <row r="63" spans="1:10" x14ac:dyDescent="0.35">
      <c r="A63" s="1"/>
      <c r="B63" s="5"/>
      <c r="C63" s="20" t="s">
        <v>321</v>
      </c>
      <c r="D63" s="20" t="s">
        <v>562</v>
      </c>
      <c r="E63" s="39">
        <v>276.18809112000002</v>
      </c>
      <c r="F63" s="39">
        <v>86024.896317153398</v>
      </c>
      <c r="G63" s="1"/>
      <c r="H63" s="6"/>
      <c r="I63" s="1"/>
      <c r="J63" s="1"/>
    </row>
    <row r="64" spans="1:10" x14ac:dyDescent="0.35">
      <c r="A64" s="1"/>
      <c r="B64" s="5"/>
      <c r="C64" s="20" t="s">
        <v>321</v>
      </c>
      <c r="D64" s="20" t="s">
        <v>563</v>
      </c>
      <c r="E64" s="39">
        <v>9471.4740903599995</v>
      </c>
      <c r="F64" s="39">
        <v>2950100.3221743298</v>
      </c>
      <c r="G64" s="1"/>
      <c r="H64" s="6"/>
      <c r="I64" s="1"/>
      <c r="J64" s="1"/>
    </row>
    <row r="65" spans="1:10" x14ac:dyDescent="0.35">
      <c r="A65" s="1"/>
      <c r="B65" s="5"/>
      <c r="C65" s="20" t="s">
        <v>321</v>
      </c>
      <c r="D65" s="20" t="s">
        <v>564</v>
      </c>
      <c r="E65" s="39">
        <v>19.06655112</v>
      </c>
      <c r="F65" s="39">
        <v>5938.6995165952403</v>
      </c>
      <c r="G65" s="1"/>
      <c r="H65" s="6"/>
      <c r="I65" s="1"/>
      <c r="J65" s="1"/>
    </row>
    <row r="66" spans="1:10" x14ac:dyDescent="0.35">
      <c r="A66" s="1"/>
      <c r="B66" s="5"/>
      <c r="C66" s="20" t="s">
        <v>321</v>
      </c>
      <c r="D66" s="20" t="s">
        <v>565</v>
      </c>
      <c r="E66" s="39">
        <v>627.15899321999996</v>
      </c>
      <c r="F66" s="39">
        <v>195342.55494991501</v>
      </c>
      <c r="G66" s="1"/>
      <c r="H66" s="6"/>
      <c r="I66" s="1"/>
      <c r="J66" s="1"/>
    </row>
    <row r="67" spans="1:10" x14ac:dyDescent="0.35">
      <c r="A67" s="1"/>
      <c r="B67" s="5"/>
      <c r="C67" s="20" t="s">
        <v>321</v>
      </c>
      <c r="D67" s="20" t="s">
        <v>566</v>
      </c>
      <c r="E67" s="39">
        <v>969.60532734000003</v>
      </c>
      <c r="F67" s="39">
        <v>302005.048134905</v>
      </c>
      <c r="G67" s="1"/>
      <c r="H67" s="6"/>
      <c r="I67" s="1"/>
      <c r="J67" s="1"/>
    </row>
    <row r="68" spans="1:10" x14ac:dyDescent="0.35">
      <c r="A68" s="1"/>
      <c r="B68" s="5"/>
      <c r="C68" s="20" t="s">
        <v>600</v>
      </c>
      <c r="D68" s="20" t="s">
        <v>567</v>
      </c>
      <c r="E68" s="39">
        <v>1064624.0366249999</v>
      </c>
      <c r="F68" s="39">
        <v>331600729.039482</v>
      </c>
      <c r="G68" s="1"/>
      <c r="H68" s="6"/>
      <c r="I68" s="1"/>
      <c r="J68" s="1"/>
    </row>
    <row r="69" spans="1:10" x14ac:dyDescent="0.35">
      <c r="A69" s="1"/>
      <c r="B69" s="5"/>
      <c r="C69" s="20" t="s">
        <v>295</v>
      </c>
      <c r="D69" s="20" t="s">
        <v>294</v>
      </c>
      <c r="E69" s="39">
        <v>7387860.7599299997</v>
      </c>
      <c r="F69" s="39">
        <v>2301112815.1880002</v>
      </c>
      <c r="G69" s="1"/>
      <c r="H69" s="6"/>
      <c r="I69" s="1"/>
      <c r="J69" s="1"/>
    </row>
    <row r="70" spans="1:10" x14ac:dyDescent="0.35">
      <c r="A70" s="1"/>
      <c r="B70" s="5"/>
      <c r="C70" s="20" t="s">
        <v>601</v>
      </c>
      <c r="D70" s="20" t="s">
        <v>568</v>
      </c>
      <c r="E70" s="39">
        <v>2540610.69918474</v>
      </c>
      <c r="F70" s="39">
        <v>791329456.28947604</v>
      </c>
      <c r="G70" s="1"/>
      <c r="H70" s="6"/>
      <c r="I70" s="1"/>
      <c r="J70" s="1"/>
    </row>
    <row r="71" spans="1:10" x14ac:dyDescent="0.35">
      <c r="A71" s="1"/>
      <c r="B71" s="5"/>
      <c r="C71" s="20" t="s">
        <v>602</v>
      </c>
      <c r="D71" s="20" t="s">
        <v>569</v>
      </c>
      <c r="E71" s="39">
        <v>449087.44758695998</v>
      </c>
      <c r="F71" s="39">
        <v>139878229.214517</v>
      </c>
      <c r="G71" s="1"/>
      <c r="H71" s="6"/>
      <c r="I71" s="1"/>
      <c r="J71" s="1"/>
    </row>
    <row r="72" spans="1:10" x14ac:dyDescent="0.35">
      <c r="A72" s="1"/>
      <c r="B72" s="5"/>
      <c r="C72" s="20" t="s">
        <v>603</v>
      </c>
      <c r="D72" s="20" t="s">
        <v>570</v>
      </c>
      <c r="E72" s="39">
        <v>244593.56697972</v>
      </c>
      <c r="F72" s="39">
        <v>76184082.209869906</v>
      </c>
      <c r="G72" s="1"/>
      <c r="H72" s="6"/>
      <c r="I72" s="1"/>
      <c r="J72" s="1"/>
    </row>
    <row r="73" spans="1:10" x14ac:dyDescent="0.35">
      <c r="A73" s="1"/>
      <c r="B73" s="5"/>
      <c r="C73" s="20" t="s">
        <v>604</v>
      </c>
      <c r="D73" s="20" t="s">
        <v>571</v>
      </c>
      <c r="E73" s="39">
        <v>512471.11569467001</v>
      </c>
      <c r="F73" s="39">
        <v>159620476.083509</v>
      </c>
      <c r="G73" s="1"/>
      <c r="H73" s="6"/>
      <c r="I73" s="1"/>
      <c r="J73" s="1"/>
    </row>
    <row r="74" spans="1:10" x14ac:dyDescent="0.35">
      <c r="A74" s="1"/>
      <c r="B74" s="5"/>
      <c r="C74" s="20" t="s">
        <v>605</v>
      </c>
      <c r="D74" s="20" t="s">
        <v>572</v>
      </c>
      <c r="E74" s="39">
        <v>93979.199999999997</v>
      </c>
      <c r="F74" s="39">
        <v>29271902.721020602</v>
      </c>
      <c r="G74" s="1"/>
      <c r="H74" s="6"/>
      <c r="I74" s="1"/>
      <c r="J74" s="1"/>
    </row>
    <row r="75" spans="1:10" x14ac:dyDescent="0.35">
      <c r="A75" s="1"/>
      <c r="B75" s="5"/>
      <c r="C75" s="20" t="s">
        <v>297</v>
      </c>
      <c r="D75" s="20" t="s">
        <v>296</v>
      </c>
      <c r="E75" s="39">
        <v>3207585.2483999999</v>
      </c>
      <c r="F75" s="39">
        <v>999073447.74743402</v>
      </c>
      <c r="G75" s="1"/>
      <c r="H75" s="6"/>
      <c r="I75" s="1"/>
      <c r="J75" s="1"/>
    </row>
    <row r="76" spans="1:10" x14ac:dyDescent="0.35">
      <c r="A76" s="1"/>
      <c r="B76" s="5"/>
      <c r="C76" s="20" t="s">
        <v>606</v>
      </c>
      <c r="D76" s="20" t="s">
        <v>573</v>
      </c>
      <c r="E76" s="39">
        <v>270936.79200000002</v>
      </c>
      <c r="F76" s="39">
        <v>84389262.932323307</v>
      </c>
      <c r="G76" s="1"/>
      <c r="H76" s="6"/>
      <c r="I76" s="1"/>
      <c r="J76" s="1"/>
    </row>
    <row r="77" spans="1:10" x14ac:dyDescent="0.35">
      <c r="A77" s="1"/>
      <c r="B77" s="5"/>
      <c r="C77" s="20" t="s">
        <v>607</v>
      </c>
      <c r="D77" s="20" t="s">
        <v>574</v>
      </c>
      <c r="E77" s="39">
        <v>38877.243600000002</v>
      </c>
      <c r="F77" s="39">
        <v>12109178.336489599</v>
      </c>
      <c r="G77" s="1"/>
      <c r="H77" s="6"/>
      <c r="I77" s="1"/>
      <c r="J77" s="1"/>
    </row>
    <row r="78" spans="1:10" x14ac:dyDescent="0.35">
      <c r="A78" s="1"/>
      <c r="B78" s="5"/>
      <c r="C78" s="20" t="s">
        <v>608</v>
      </c>
      <c r="D78" s="20" t="s">
        <v>575</v>
      </c>
      <c r="E78" s="39">
        <v>100377.77905</v>
      </c>
      <c r="F78" s="39">
        <v>31264881.843043</v>
      </c>
      <c r="G78" s="1"/>
      <c r="H78" s="6"/>
      <c r="I78" s="1"/>
      <c r="J78" s="1"/>
    </row>
    <row r="79" spans="1:10" x14ac:dyDescent="0.35">
      <c r="A79" s="1"/>
      <c r="B79" s="5"/>
      <c r="C79" s="20" t="s">
        <v>321</v>
      </c>
      <c r="D79" s="20" t="s">
        <v>320</v>
      </c>
      <c r="E79" s="39">
        <v>535139.26560000004</v>
      </c>
      <c r="F79" s="39">
        <v>166680973.288149</v>
      </c>
      <c r="G79" s="1"/>
      <c r="H79" s="6"/>
      <c r="I79" s="1"/>
      <c r="J79" s="1"/>
    </row>
    <row r="80" spans="1:10" x14ac:dyDescent="0.35">
      <c r="A80" s="1"/>
      <c r="B80" s="9"/>
      <c r="C80" s="19" t="s">
        <v>609</v>
      </c>
      <c r="D80" s="40" t="s">
        <v>5</v>
      </c>
      <c r="E80" s="41">
        <v>539778397.48541105</v>
      </c>
      <c r="F80" s="41">
        <v>168125933633.202</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87.444671</v>
      </c>
      <c r="E8" s="47">
        <v>232731</v>
      </c>
      <c r="F8" s="47">
        <v>36</v>
      </c>
      <c r="G8" s="48">
        <v>375</v>
      </c>
      <c r="H8" s="48">
        <v>377</v>
      </c>
      <c r="I8" s="48">
        <v>375.73280310745002</v>
      </c>
      <c r="J8" s="48">
        <v>376</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94.189160000000001</v>
      </c>
      <c r="E9" s="47">
        <v>2509</v>
      </c>
      <c r="F9" s="47">
        <v>25</v>
      </c>
      <c r="G9" s="48">
        <v>37500</v>
      </c>
      <c r="H9" s="48">
        <v>37600</v>
      </c>
      <c r="I9" s="48">
        <v>37540.518134714999</v>
      </c>
      <c r="J9" s="48">
        <v>37540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5.3422799999999997</v>
      </c>
      <c r="E10" s="47">
        <v>348</v>
      </c>
      <c r="F10" s="47">
        <v>22</v>
      </c>
      <c r="G10" s="46"/>
      <c r="H10" s="46"/>
      <c r="I10" s="48">
        <v>15351.379310344801</v>
      </c>
      <c r="J10" s="48">
        <v>15840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342.22068999999999</v>
      </c>
      <c r="E11" s="47">
        <v>68975</v>
      </c>
      <c r="F11" s="47">
        <v>135</v>
      </c>
      <c r="G11" s="48">
        <v>4880</v>
      </c>
      <c r="H11" s="48">
        <v>5190</v>
      </c>
      <c r="I11" s="48">
        <v>4961.5177963030101</v>
      </c>
      <c r="J11" s="48">
        <v>4895</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861.76070000000004</v>
      </c>
      <c r="E12" s="47">
        <v>79134</v>
      </c>
      <c r="F12" s="47">
        <v>221</v>
      </c>
      <c r="G12" s="48">
        <v>10800</v>
      </c>
      <c r="H12" s="48">
        <v>11000</v>
      </c>
      <c r="I12" s="48">
        <v>10889.8918290495</v>
      </c>
      <c r="J12" s="48">
        <v>10880</v>
      </c>
      <c r="K12" s="47">
        <v>960</v>
      </c>
      <c r="L12" s="47">
        <v>145000</v>
      </c>
      <c r="M12" s="47">
        <v>1</v>
      </c>
      <c r="N12" s="48">
        <v>9.5299997329711896</v>
      </c>
      <c r="O12" s="46"/>
      <c r="P12" s="46"/>
      <c r="Q12" s="46"/>
      <c r="R12" s="46"/>
      <c r="S12" s="47">
        <v>0</v>
      </c>
      <c r="T12" s="46"/>
      <c r="U12" s="46"/>
      <c r="V12" s="46"/>
      <c r="W12" s="46"/>
      <c r="X12" s="46"/>
      <c r="Y12" s="46"/>
      <c r="Z12" s="46"/>
      <c r="AA12" s="1"/>
      <c r="AB12" s="6"/>
      <c r="AC12" s="1"/>
      <c r="AD12" s="1"/>
    </row>
    <row r="13" spans="1:30" x14ac:dyDescent="0.35">
      <c r="A13" s="1"/>
      <c r="B13" s="5"/>
      <c r="C13" s="46" t="s">
        <v>264</v>
      </c>
      <c r="D13" s="47">
        <v>5777.3671999999997</v>
      </c>
      <c r="E13" s="47">
        <v>70395</v>
      </c>
      <c r="F13" s="47">
        <v>196</v>
      </c>
      <c r="G13" s="48">
        <v>80840</v>
      </c>
      <c r="H13" s="48">
        <v>83500</v>
      </c>
      <c r="I13" s="48">
        <v>82070.703885219104</v>
      </c>
      <c r="J13" s="48">
        <v>83500</v>
      </c>
      <c r="K13" s="47">
        <v>367.26822800000002</v>
      </c>
      <c r="L13" s="47">
        <v>7626</v>
      </c>
      <c r="M13" s="47">
        <v>1</v>
      </c>
      <c r="N13" s="46"/>
      <c r="O13" s="46"/>
      <c r="P13" s="48">
        <v>11.2299995422363</v>
      </c>
      <c r="Q13" s="46"/>
      <c r="R13" s="46"/>
      <c r="S13" s="47">
        <v>560.90146000000004</v>
      </c>
      <c r="T13" s="47">
        <v>6923</v>
      </c>
      <c r="U13" s="47">
        <v>2</v>
      </c>
      <c r="V13" s="48">
        <v>14</v>
      </c>
      <c r="W13" s="46"/>
      <c r="X13" s="46"/>
      <c r="Y13" s="46"/>
      <c r="Z13" s="46"/>
      <c r="AA13" s="1"/>
      <c r="AB13" s="6"/>
      <c r="AC13" s="1"/>
      <c r="AD13" s="1"/>
    </row>
    <row r="14" spans="1:30" x14ac:dyDescent="0.35">
      <c r="A14" s="1"/>
      <c r="B14" s="5"/>
      <c r="C14" s="46" t="s">
        <v>306</v>
      </c>
      <c r="D14" s="47">
        <v>37.549781000000003</v>
      </c>
      <c r="E14" s="47">
        <v>89458</v>
      </c>
      <c r="F14" s="47">
        <v>16</v>
      </c>
      <c r="G14" s="48">
        <v>418</v>
      </c>
      <c r="H14" s="48">
        <v>423</v>
      </c>
      <c r="I14" s="48">
        <v>419.74760222674303</v>
      </c>
      <c r="J14" s="48">
        <v>420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544.70119999999997</v>
      </c>
      <c r="E15" s="47">
        <v>28855</v>
      </c>
      <c r="F15" s="47">
        <v>74</v>
      </c>
      <c r="G15" s="48">
        <v>18680</v>
      </c>
      <c r="H15" s="48">
        <v>19000</v>
      </c>
      <c r="I15" s="48">
        <v>18877.1859296482</v>
      </c>
      <c r="J15" s="48">
        <v>18680</v>
      </c>
      <c r="K15" s="47">
        <v>225.00616880999999</v>
      </c>
      <c r="L15" s="47">
        <v>14515</v>
      </c>
      <c r="M15" s="47">
        <v>1</v>
      </c>
      <c r="N15" s="46"/>
      <c r="O15" s="48">
        <v>13</v>
      </c>
      <c r="P15" s="46"/>
      <c r="Q15" s="46"/>
      <c r="R15" s="46"/>
      <c r="S15" s="47">
        <v>0</v>
      </c>
      <c r="T15" s="46"/>
      <c r="U15" s="46"/>
      <c r="V15" s="46"/>
      <c r="W15" s="46"/>
      <c r="X15" s="46"/>
      <c r="Y15" s="46"/>
      <c r="Z15" s="46"/>
      <c r="AA15" s="1"/>
      <c r="AB15" s="6"/>
      <c r="AC15" s="1"/>
      <c r="AD15" s="1"/>
    </row>
    <row r="16" spans="1:30" x14ac:dyDescent="0.35">
      <c r="A16" s="1"/>
      <c r="B16" s="5"/>
      <c r="C16" s="46" t="s">
        <v>268</v>
      </c>
      <c r="D16" s="47">
        <v>77148.610495000001</v>
      </c>
      <c r="E16" s="47">
        <v>30229733</v>
      </c>
      <c r="F16" s="47">
        <v>1053</v>
      </c>
      <c r="G16" s="48">
        <v>2505</v>
      </c>
      <c r="H16" s="48">
        <v>2580</v>
      </c>
      <c r="I16" s="48">
        <v>2552.0771385906701</v>
      </c>
      <c r="J16" s="48">
        <v>2525</v>
      </c>
      <c r="K16" s="47">
        <v>700.64171434000002</v>
      </c>
      <c r="L16" s="47">
        <v>365202</v>
      </c>
      <c r="M16" s="47">
        <v>4</v>
      </c>
      <c r="N16" s="46"/>
      <c r="O16" s="48">
        <v>11</v>
      </c>
      <c r="P16" s="48">
        <v>13</v>
      </c>
      <c r="Q16" s="48">
        <v>11.2580003738403</v>
      </c>
      <c r="R16" s="48">
        <v>11.824999809265099</v>
      </c>
      <c r="S16" s="47">
        <v>0</v>
      </c>
      <c r="T16" s="46"/>
      <c r="U16" s="46"/>
      <c r="V16" s="46"/>
      <c r="W16" s="46"/>
      <c r="X16" s="46"/>
      <c r="Y16" s="46"/>
      <c r="Z16" s="46"/>
      <c r="AA16" s="1"/>
      <c r="AB16" s="6"/>
      <c r="AC16" s="1"/>
      <c r="AD16" s="1"/>
    </row>
    <row r="17" spans="1:30" x14ac:dyDescent="0.35">
      <c r="A17" s="1"/>
      <c r="B17" s="5"/>
      <c r="C17" s="46" t="s">
        <v>310</v>
      </c>
      <c r="D17" s="47">
        <v>1.4493684</v>
      </c>
      <c r="E17" s="47">
        <v>76602</v>
      </c>
      <c r="F17" s="47">
        <v>11</v>
      </c>
      <c r="G17" s="46"/>
      <c r="H17" s="46"/>
      <c r="I17" s="48">
        <v>18.920764470901499</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6.4657260000000001</v>
      </c>
      <c r="E18" s="47">
        <v>99541</v>
      </c>
      <c r="F18" s="47">
        <v>15</v>
      </c>
      <c r="G18" s="46"/>
      <c r="H18" s="46"/>
      <c r="I18" s="48">
        <v>64.955405310374601</v>
      </c>
      <c r="J18" s="48">
        <v>68.5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185.61131499999999</v>
      </c>
      <c r="E19" s="47">
        <v>40912</v>
      </c>
      <c r="F19" s="47">
        <v>64</v>
      </c>
      <c r="G19" s="48">
        <v>4500</v>
      </c>
      <c r="H19" s="48">
        <v>4600</v>
      </c>
      <c r="I19" s="48">
        <v>4536.8428578412204</v>
      </c>
      <c r="J19" s="48">
        <v>4550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272</v>
      </c>
      <c r="D20" s="47">
        <v>2573.8335550000002</v>
      </c>
      <c r="E20" s="47">
        <v>917853</v>
      </c>
      <c r="F20" s="47">
        <v>443</v>
      </c>
      <c r="G20" s="48">
        <v>2790</v>
      </c>
      <c r="H20" s="48">
        <v>2850</v>
      </c>
      <c r="I20" s="48">
        <v>2804.1892928388302</v>
      </c>
      <c r="J20" s="48">
        <v>2800</v>
      </c>
      <c r="K20" s="47">
        <v>1033.0477273399999</v>
      </c>
      <c r="L20" s="47">
        <v>457991</v>
      </c>
      <c r="M20" s="47">
        <v>4</v>
      </c>
      <c r="N20" s="48">
        <v>12.3069457860027</v>
      </c>
      <c r="O20" s="46"/>
      <c r="P20" s="48">
        <v>11.2299995422363</v>
      </c>
      <c r="Q20" s="46"/>
      <c r="R20" s="46"/>
      <c r="S20" s="47">
        <v>0</v>
      </c>
      <c r="T20" s="46"/>
      <c r="U20" s="46"/>
      <c r="V20" s="46"/>
      <c r="W20" s="46"/>
      <c r="X20" s="46"/>
      <c r="Y20" s="46"/>
      <c r="Z20" s="46"/>
      <c r="AA20" s="1"/>
      <c r="AB20" s="6"/>
      <c r="AC20" s="1"/>
      <c r="AD20" s="1"/>
    </row>
    <row r="21" spans="1:30" x14ac:dyDescent="0.35">
      <c r="A21" s="1"/>
      <c r="B21" s="5"/>
      <c r="C21" s="46" t="s">
        <v>274</v>
      </c>
      <c r="D21" s="47">
        <v>135.35756000000001</v>
      </c>
      <c r="E21" s="47">
        <v>1721</v>
      </c>
      <c r="F21" s="47">
        <v>33</v>
      </c>
      <c r="G21" s="48">
        <v>78540</v>
      </c>
      <c r="H21" s="48">
        <v>79000</v>
      </c>
      <c r="I21" s="48">
        <v>78650.528762347501</v>
      </c>
      <c r="J21" s="48">
        <v>78540</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276</v>
      </c>
      <c r="D22" s="47">
        <v>3325.3399199999999</v>
      </c>
      <c r="E22" s="47">
        <v>202530</v>
      </c>
      <c r="F22" s="47">
        <v>153</v>
      </c>
      <c r="G22" s="48">
        <v>16300</v>
      </c>
      <c r="H22" s="48">
        <v>16700</v>
      </c>
      <c r="I22" s="48">
        <v>16418.999259369</v>
      </c>
      <c r="J22" s="48">
        <v>16600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316</v>
      </c>
      <c r="D23" s="47">
        <v>139.64540400000001</v>
      </c>
      <c r="E23" s="47">
        <v>179239</v>
      </c>
      <c r="F23" s="47">
        <v>54</v>
      </c>
      <c r="G23" s="48">
        <v>755</v>
      </c>
      <c r="H23" s="48">
        <v>794</v>
      </c>
      <c r="I23" s="48">
        <v>779.10166872165098</v>
      </c>
      <c r="J23" s="48">
        <v>778</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278</v>
      </c>
      <c r="D24" s="47">
        <v>1512.9215200000001</v>
      </c>
      <c r="E24" s="47">
        <v>28428</v>
      </c>
      <c r="F24" s="47">
        <v>144</v>
      </c>
      <c r="G24" s="48">
        <v>52900</v>
      </c>
      <c r="H24" s="48">
        <v>53700</v>
      </c>
      <c r="I24" s="48">
        <v>53219.4146616012</v>
      </c>
      <c r="J24" s="48">
        <v>53480</v>
      </c>
      <c r="K24" s="47">
        <v>489</v>
      </c>
      <c r="L24" s="47">
        <v>13158</v>
      </c>
      <c r="M24" s="47">
        <v>2</v>
      </c>
      <c r="N24" s="46"/>
      <c r="O24" s="48">
        <v>12</v>
      </c>
      <c r="P24" s="46"/>
      <c r="Q24" s="48">
        <v>11.2580003738403</v>
      </c>
      <c r="R24" s="46"/>
      <c r="S24" s="47">
        <v>0</v>
      </c>
      <c r="T24" s="46"/>
      <c r="U24" s="46"/>
      <c r="V24" s="46"/>
      <c r="W24" s="46"/>
      <c r="X24" s="46"/>
      <c r="Y24" s="46"/>
      <c r="Z24" s="46"/>
      <c r="AA24" s="1"/>
      <c r="AB24" s="6"/>
      <c r="AC24" s="1"/>
      <c r="AD24" s="1"/>
    </row>
    <row r="25" spans="1:30" x14ac:dyDescent="0.35">
      <c r="A25" s="1"/>
      <c r="B25" s="5"/>
      <c r="C25" s="46" t="s">
        <v>549</v>
      </c>
      <c r="D25" s="47">
        <v>1282.3208500000001</v>
      </c>
      <c r="E25" s="47">
        <v>21902</v>
      </c>
      <c r="F25" s="47">
        <v>12</v>
      </c>
      <c r="G25" s="48">
        <v>58400</v>
      </c>
      <c r="H25" s="48">
        <v>58550</v>
      </c>
      <c r="I25" s="48">
        <v>58548.116610355202</v>
      </c>
      <c r="J25" s="48">
        <v>58550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551</v>
      </c>
      <c r="D26" s="47">
        <v>41.923575999999997</v>
      </c>
      <c r="E26" s="47">
        <v>1632</v>
      </c>
      <c r="F26" s="47">
        <v>17</v>
      </c>
      <c r="G26" s="48">
        <v>25648</v>
      </c>
      <c r="H26" s="48">
        <v>25690</v>
      </c>
      <c r="I26" s="48">
        <v>25688.4656862745</v>
      </c>
      <c r="J26" s="48">
        <v>25690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624</v>
      </c>
      <c r="D27" s="47">
        <v>0</v>
      </c>
      <c r="E27" s="46"/>
      <c r="F27" s="46"/>
      <c r="G27" s="46"/>
      <c r="H27" s="46"/>
      <c r="I27" s="46"/>
      <c r="J27" s="48">
        <v>387500</v>
      </c>
      <c r="K27" s="47">
        <v>610</v>
      </c>
      <c r="L27" s="47">
        <v>1768</v>
      </c>
      <c r="M27" s="47">
        <v>1</v>
      </c>
      <c r="N27" s="46"/>
      <c r="O27" s="46"/>
      <c r="P27" s="48">
        <v>13</v>
      </c>
      <c r="Q27" s="46"/>
      <c r="R27" s="46"/>
      <c r="S27" s="47">
        <v>0</v>
      </c>
      <c r="T27" s="46"/>
      <c r="U27" s="46"/>
      <c r="V27" s="46"/>
      <c r="W27" s="46"/>
      <c r="X27" s="46"/>
      <c r="Y27" s="46"/>
      <c r="Z27" s="46"/>
      <c r="AA27" s="1"/>
      <c r="AB27" s="6"/>
      <c r="AC27" s="1"/>
      <c r="AD27" s="1"/>
    </row>
    <row r="28" spans="1:30" x14ac:dyDescent="0.35">
      <c r="A28" s="1"/>
      <c r="B28" s="5"/>
      <c r="C28" s="46" t="s">
        <v>553</v>
      </c>
      <c r="D28" s="47">
        <v>962.46170900000004</v>
      </c>
      <c r="E28" s="47">
        <v>42437</v>
      </c>
      <c r="F28" s="47">
        <v>139</v>
      </c>
      <c r="G28" s="48">
        <v>22620</v>
      </c>
      <c r="H28" s="48">
        <v>23018.5</v>
      </c>
      <c r="I28" s="48">
        <v>22679.777293399598</v>
      </c>
      <c r="J28" s="48">
        <v>22679</v>
      </c>
      <c r="K28" s="47">
        <v>0</v>
      </c>
      <c r="L28" s="46"/>
      <c r="M28" s="46"/>
      <c r="N28" s="46"/>
      <c r="O28" s="46"/>
      <c r="P28" s="46"/>
      <c r="Q28" s="46"/>
      <c r="R28" s="46"/>
      <c r="S28" s="47">
        <v>453.64</v>
      </c>
      <c r="T28" s="47">
        <v>20000</v>
      </c>
      <c r="U28" s="47">
        <v>1</v>
      </c>
      <c r="V28" s="48">
        <v>14</v>
      </c>
      <c r="W28" s="46"/>
      <c r="X28" s="46"/>
      <c r="Y28" s="46"/>
      <c r="Z28" s="46"/>
      <c r="AA28" s="1"/>
      <c r="AB28" s="6"/>
      <c r="AC28" s="1"/>
      <c r="AD28" s="1"/>
    </row>
    <row r="29" spans="1:30" x14ac:dyDescent="0.35">
      <c r="A29" s="1"/>
      <c r="B29" s="5"/>
      <c r="C29" s="46" t="s">
        <v>280</v>
      </c>
      <c r="D29" s="47">
        <v>1447.9457199999999</v>
      </c>
      <c r="E29" s="47">
        <v>50061</v>
      </c>
      <c r="F29" s="47">
        <v>432</v>
      </c>
      <c r="G29" s="48">
        <v>28600</v>
      </c>
      <c r="H29" s="48">
        <v>29500</v>
      </c>
      <c r="I29" s="48">
        <v>28923.6275743593</v>
      </c>
      <c r="J29" s="48">
        <v>28900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282</v>
      </c>
      <c r="D30" s="47">
        <v>1226.8776600000001</v>
      </c>
      <c r="E30" s="47">
        <v>76682</v>
      </c>
      <c r="F30" s="47">
        <v>305</v>
      </c>
      <c r="G30" s="48">
        <v>15720</v>
      </c>
      <c r="H30" s="48">
        <v>16300</v>
      </c>
      <c r="I30" s="48">
        <v>15999.5521765212</v>
      </c>
      <c r="J30" s="48">
        <v>15960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625</v>
      </c>
      <c r="D31" s="47">
        <v>0</v>
      </c>
      <c r="E31" s="46"/>
      <c r="F31" s="46"/>
      <c r="G31" s="46"/>
      <c r="H31" s="46"/>
      <c r="I31" s="46"/>
      <c r="J31" s="48">
        <v>46560</v>
      </c>
      <c r="K31" s="47">
        <v>765.5</v>
      </c>
      <c r="L31" s="47">
        <v>29810</v>
      </c>
      <c r="M31" s="47">
        <v>2</v>
      </c>
      <c r="N31" s="46"/>
      <c r="O31" s="46"/>
      <c r="P31" s="48">
        <v>12.5</v>
      </c>
      <c r="Q31" s="48">
        <v>13</v>
      </c>
      <c r="R31" s="46"/>
      <c r="S31" s="47">
        <v>0</v>
      </c>
      <c r="T31" s="46"/>
      <c r="U31" s="46"/>
      <c r="V31" s="46"/>
      <c r="W31" s="46"/>
      <c r="X31" s="46"/>
      <c r="Y31" s="46"/>
      <c r="Z31" s="46"/>
      <c r="AA31" s="1"/>
      <c r="AB31" s="6"/>
      <c r="AC31" s="1"/>
      <c r="AD31" s="1"/>
    </row>
    <row r="32" spans="1:30" x14ac:dyDescent="0.35">
      <c r="A32" s="1"/>
      <c r="B32" s="5"/>
      <c r="C32" s="46" t="s">
        <v>324</v>
      </c>
      <c r="D32" s="47">
        <v>125.32458</v>
      </c>
      <c r="E32" s="47">
        <v>395</v>
      </c>
      <c r="F32" s="47">
        <v>40</v>
      </c>
      <c r="G32" s="48">
        <v>306720</v>
      </c>
      <c r="H32" s="48">
        <v>347500</v>
      </c>
      <c r="I32" s="48">
        <v>317277.41772151901</v>
      </c>
      <c r="J32" s="48">
        <v>319120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284</v>
      </c>
      <c r="D33" s="47">
        <v>791.23437999999999</v>
      </c>
      <c r="E33" s="47">
        <v>12560</v>
      </c>
      <c r="F33" s="47">
        <v>125</v>
      </c>
      <c r="G33" s="48">
        <v>62500</v>
      </c>
      <c r="H33" s="48">
        <v>65000</v>
      </c>
      <c r="I33" s="48">
        <v>62996.3678343949</v>
      </c>
      <c r="J33" s="48">
        <v>62500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286</v>
      </c>
      <c r="D34" s="47">
        <v>4144.1831579999998</v>
      </c>
      <c r="E34" s="47">
        <v>5375142</v>
      </c>
      <c r="F34" s="47">
        <v>130</v>
      </c>
      <c r="G34" s="48">
        <v>770</v>
      </c>
      <c r="H34" s="48">
        <v>787</v>
      </c>
      <c r="I34" s="48">
        <v>770.99045160109301</v>
      </c>
      <c r="J34" s="48">
        <v>775</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319</v>
      </c>
      <c r="D35" s="47">
        <v>26.983160000000002</v>
      </c>
      <c r="E35" s="47">
        <v>2326</v>
      </c>
      <c r="F35" s="47">
        <v>45</v>
      </c>
      <c r="G35" s="48">
        <v>11640</v>
      </c>
      <c r="H35" s="48">
        <v>11660</v>
      </c>
      <c r="I35" s="48">
        <v>11600.6706792777</v>
      </c>
      <c r="J35" s="48">
        <v>11640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288</v>
      </c>
      <c r="D36" s="47">
        <v>20891.76024</v>
      </c>
      <c r="E36" s="47">
        <v>298628</v>
      </c>
      <c r="F36" s="47">
        <v>564</v>
      </c>
      <c r="G36" s="48">
        <v>69000</v>
      </c>
      <c r="H36" s="48">
        <v>70320</v>
      </c>
      <c r="I36" s="48">
        <v>69959.147300320095</v>
      </c>
      <c r="J36" s="48">
        <v>70280</v>
      </c>
      <c r="K36" s="47">
        <v>750.17759999999998</v>
      </c>
      <c r="L36" s="47">
        <v>14888</v>
      </c>
      <c r="M36" s="47">
        <v>2</v>
      </c>
      <c r="N36" s="46"/>
      <c r="O36" s="46"/>
      <c r="P36" s="48">
        <v>11.2299995422363</v>
      </c>
      <c r="Q36" s="48">
        <v>13</v>
      </c>
      <c r="R36" s="46"/>
      <c r="S36" s="47">
        <v>2086.1999999999998</v>
      </c>
      <c r="T36" s="47">
        <v>30000</v>
      </c>
      <c r="U36" s="47">
        <v>1</v>
      </c>
      <c r="V36" s="48">
        <v>13</v>
      </c>
      <c r="W36" s="46"/>
      <c r="X36" s="46"/>
      <c r="Y36" s="46"/>
      <c r="Z36" s="46"/>
      <c r="AA36" s="1"/>
      <c r="AB36" s="6"/>
      <c r="AC36" s="1"/>
      <c r="AD36" s="1"/>
    </row>
    <row r="37" spans="1:30" x14ac:dyDescent="0.35">
      <c r="A37" s="1"/>
      <c r="B37" s="5"/>
      <c r="C37" s="46" t="s">
        <v>289</v>
      </c>
      <c r="D37" s="47">
        <v>91.600520000000003</v>
      </c>
      <c r="E37" s="47">
        <v>5219</v>
      </c>
      <c r="F37" s="47">
        <v>16</v>
      </c>
      <c r="G37" s="48">
        <v>17500</v>
      </c>
      <c r="H37" s="48">
        <v>17680</v>
      </c>
      <c r="I37" s="48">
        <v>17551.354665644802</v>
      </c>
      <c r="J37" s="48">
        <v>17560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290</v>
      </c>
      <c r="D38" s="47">
        <v>3018.9130799999998</v>
      </c>
      <c r="E38" s="47">
        <v>94563</v>
      </c>
      <c r="F38" s="47">
        <v>131</v>
      </c>
      <c r="G38" s="48">
        <v>31300</v>
      </c>
      <c r="H38" s="48">
        <v>32100</v>
      </c>
      <c r="I38" s="48">
        <v>31924.8869007963</v>
      </c>
      <c r="J38" s="48">
        <v>32100</v>
      </c>
      <c r="K38" s="47">
        <v>160.5</v>
      </c>
      <c r="L38" s="47">
        <v>7272</v>
      </c>
      <c r="M38" s="47">
        <v>2</v>
      </c>
      <c r="N38" s="46"/>
      <c r="O38" s="46"/>
      <c r="P38" s="46"/>
      <c r="Q38" s="48">
        <v>12.5</v>
      </c>
      <c r="R38" s="46"/>
      <c r="S38" s="47">
        <v>0</v>
      </c>
      <c r="T38" s="46"/>
      <c r="U38" s="46"/>
      <c r="V38" s="46"/>
      <c r="W38" s="46"/>
      <c r="X38" s="46"/>
      <c r="Y38" s="46"/>
      <c r="Z38" s="46"/>
      <c r="AA38" s="1"/>
      <c r="AB38" s="6"/>
      <c r="AC38" s="1"/>
      <c r="AD38" s="1"/>
    </row>
    <row r="39" spans="1:30" x14ac:dyDescent="0.35">
      <c r="A39" s="1"/>
      <c r="B39" s="5"/>
      <c r="C39" s="46" t="s">
        <v>326</v>
      </c>
      <c r="D39" s="47">
        <v>96.288179999999997</v>
      </c>
      <c r="E39" s="47">
        <v>4020</v>
      </c>
      <c r="F39" s="47">
        <v>57</v>
      </c>
      <c r="G39" s="48">
        <v>23460</v>
      </c>
      <c r="H39" s="48">
        <v>24280</v>
      </c>
      <c r="I39" s="48">
        <v>23952.2835820896</v>
      </c>
      <c r="J39" s="48">
        <v>23960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292</v>
      </c>
      <c r="D40" s="47">
        <v>2141.4564799999998</v>
      </c>
      <c r="E40" s="47">
        <v>176647</v>
      </c>
      <c r="F40" s="47">
        <v>192</v>
      </c>
      <c r="G40" s="48">
        <v>11900</v>
      </c>
      <c r="H40" s="48">
        <v>12300</v>
      </c>
      <c r="I40" s="48">
        <v>12122.8012929741</v>
      </c>
      <c r="J40" s="48">
        <v>12100</v>
      </c>
      <c r="K40" s="47">
        <v>466.35199999999998</v>
      </c>
      <c r="L40" s="47">
        <v>56302</v>
      </c>
      <c r="M40" s="47">
        <v>2</v>
      </c>
      <c r="N40" s="46"/>
      <c r="O40" s="46"/>
      <c r="P40" s="48">
        <v>13</v>
      </c>
      <c r="Q40" s="46"/>
      <c r="R40" s="48">
        <v>13</v>
      </c>
      <c r="S40" s="47">
        <v>0</v>
      </c>
      <c r="T40" s="46"/>
      <c r="U40" s="46"/>
      <c r="V40" s="46"/>
      <c r="W40" s="46"/>
      <c r="X40" s="46"/>
      <c r="Y40" s="46"/>
      <c r="Z40" s="46"/>
      <c r="AA40" s="1"/>
      <c r="AB40" s="6"/>
      <c r="AC40" s="1"/>
      <c r="AD40" s="1"/>
    </row>
    <row r="41" spans="1:30" x14ac:dyDescent="0.35">
      <c r="A41" s="1"/>
      <c r="B41" s="5"/>
      <c r="C41" s="46" t="s">
        <v>293</v>
      </c>
      <c r="D41" s="47">
        <v>7903.2729600000002</v>
      </c>
      <c r="E41" s="47">
        <v>186117</v>
      </c>
      <c r="F41" s="47">
        <v>243</v>
      </c>
      <c r="G41" s="48">
        <v>42300</v>
      </c>
      <c r="H41" s="48">
        <v>42860</v>
      </c>
      <c r="I41" s="48">
        <v>42464.003610631997</v>
      </c>
      <c r="J41" s="48">
        <v>42600</v>
      </c>
      <c r="K41" s="47">
        <v>2102.6999999999998</v>
      </c>
      <c r="L41" s="47">
        <v>91388</v>
      </c>
      <c r="M41" s="47">
        <v>5</v>
      </c>
      <c r="N41" s="46"/>
      <c r="O41" s="48">
        <v>12</v>
      </c>
      <c r="P41" s="48">
        <v>12.515456563094499</v>
      </c>
      <c r="Q41" s="48">
        <v>9.5699996948242205</v>
      </c>
      <c r="R41" s="48">
        <v>13</v>
      </c>
      <c r="S41" s="47">
        <v>0</v>
      </c>
      <c r="T41" s="46"/>
      <c r="U41" s="46"/>
      <c r="V41" s="46"/>
      <c r="W41" s="46"/>
      <c r="X41" s="46"/>
      <c r="Y41" s="46"/>
      <c r="Z41" s="46"/>
      <c r="AA41" s="1"/>
      <c r="AB41" s="6"/>
      <c r="AC41" s="1"/>
      <c r="AD41" s="1"/>
    </row>
    <row r="42" spans="1:30" x14ac:dyDescent="0.35">
      <c r="A42" s="1"/>
      <c r="B42" s="5"/>
      <c r="C42" s="46" t="s">
        <v>294</v>
      </c>
      <c r="D42" s="47">
        <v>9.2541600000000006</v>
      </c>
      <c r="E42" s="47">
        <v>1442</v>
      </c>
      <c r="F42" s="47">
        <v>22</v>
      </c>
      <c r="G42" s="46"/>
      <c r="H42" s="46"/>
      <c r="I42" s="48">
        <v>6417.5866851595001</v>
      </c>
      <c r="J42" s="48">
        <v>6510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296</v>
      </c>
      <c r="D43" s="47">
        <v>99.078879999999998</v>
      </c>
      <c r="E43" s="47">
        <v>5585</v>
      </c>
      <c r="F43" s="47">
        <v>169</v>
      </c>
      <c r="G43" s="48">
        <v>17500</v>
      </c>
      <c r="H43" s="48">
        <v>17980</v>
      </c>
      <c r="I43" s="48">
        <v>17740.175470008999</v>
      </c>
      <c r="J43" s="48">
        <v>17680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573</v>
      </c>
      <c r="D44" s="47">
        <v>116.74697999999999</v>
      </c>
      <c r="E44" s="47">
        <v>8405</v>
      </c>
      <c r="F44" s="47">
        <v>42</v>
      </c>
      <c r="G44" s="48">
        <v>13820</v>
      </c>
      <c r="H44" s="48">
        <v>13980</v>
      </c>
      <c r="I44" s="48">
        <v>13890.182034503299</v>
      </c>
      <c r="J44" s="48">
        <v>13920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638</v>
      </c>
      <c r="D5" s="43" t="s">
        <v>639</v>
      </c>
      <c r="E5" s="43" t="s">
        <v>640</v>
      </c>
      <c r="F5" s="43" t="s">
        <v>641</v>
      </c>
      <c r="G5" s="43" t="s">
        <v>642</v>
      </c>
      <c r="H5" s="43" t="s">
        <v>643</v>
      </c>
      <c r="I5" s="1"/>
      <c r="J5" s="6"/>
      <c r="K5" s="1"/>
      <c r="L5" s="1"/>
    </row>
    <row r="6" spans="1:12" x14ac:dyDescent="0.35">
      <c r="A6" s="1"/>
      <c r="B6" s="5"/>
      <c r="C6" s="46" t="s">
        <v>516</v>
      </c>
      <c r="D6" s="46" t="s">
        <v>644</v>
      </c>
      <c r="E6" s="48">
        <v>80840</v>
      </c>
      <c r="F6" s="46">
        <v>1</v>
      </c>
      <c r="G6" s="48">
        <v>487</v>
      </c>
      <c r="H6" s="47">
        <v>39369080</v>
      </c>
      <c r="I6" s="1"/>
      <c r="J6" s="6"/>
      <c r="K6" s="1"/>
      <c r="L6" s="1"/>
    </row>
    <row r="7" spans="1:12" x14ac:dyDescent="0.35">
      <c r="A7" s="1"/>
      <c r="B7" s="5"/>
      <c r="C7" s="46" t="s">
        <v>516</v>
      </c>
      <c r="D7" s="46" t="s">
        <v>644</v>
      </c>
      <c r="E7" s="48">
        <v>83100</v>
      </c>
      <c r="F7" s="46">
        <v>12</v>
      </c>
      <c r="G7" s="48">
        <v>131</v>
      </c>
      <c r="H7" s="47">
        <v>10886100</v>
      </c>
      <c r="I7" s="1"/>
      <c r="J7" s="6"/>
      <c r="K7" s="1"/>
      <c r="L7" s="1"/>
    </row>
    <row r="8" spans="1:12" x14ac:dyDescent="0.35">
      <c r="A8" s="1"/>
      <c r="B8" s="5"/>
      <c r="C8" s="46" t="s">
        <v>516</v>
      </c>
      <c r="D8" s="46" t="s">
        <v>645</v>
      </c>
      <c r="E8" s="48">
        <v>2525</v>
      </c>
      <c r="F8" s="46">
        <v>14</v>
      </c>
      <c r="G8" s="48">
        <v>50000</v>
      </c>
      <c r="H8" s="47">
        <v>126250000</v>
      </c>
      <c r="I8" s="1"/>
      <c r="J8" s="6"/>
      <c r="K8" s="1"/>
      <c r="L8" s="1"/>
    </row>
    <row r="9" spans="1:12" x14ac:dyDescent="0.35">
      <c r="A9" s="1"/>
      <c r="B9" s="5"/>
      <c r="C9" s="46" t="s">
        <v>516</v>
      </c>
      <c r="D9" s="46" t="s">
        <v>645</v>
      </c>
      <c r="E9" s="48">
        <v>2530</v>
      </c>
      <c r="F9" s="46">
        <v>3</v>
      </c>
      <c r="G9" s="48">
        <v>118390</v>
      </c>
      <c r="H9" s="47">
        <v>299526700</v>
      </c>
      <c r="I9" s="1"/>
      <c r="J9" s="6"/>
      <c r="K9" s="1"/>
      <c r="L9" s="1"/>
    </row>
    <row r="10" spans="1:12" x14ac:dyDescent="0.35">
      <c r="A10" s="1"/>
      <c r="B10" s="5"/>
      <c r="C10" s="46" t="s">
        <v>516</v>
      </c>
      <c r="D10" s="46" t="s">
        <v>645</v>
      </c>
      <c r="E10" s="48">
        <v>2535</v>
      </c>
      <c r="F10" s="46">
        <v>42</v>
      </c>
      <c r="G10" s="48">
        <v>74772</v>
      </c>
      <c r="H10" s="47">
        <v>189547020</v>
      </c>
      <c r="I10" s="1"/>
      <c r="J10" s="6"/>
      <c r="K10" s="1"/>
      <c r="L10" s="1"/>
    </row>
    <row r="11" spans="1:12" x14ac:dyDescent="0.35">
      <c r="A11" s="1"/>
      <c r="B11" s="5"/>
      <c r="C11" s="46" t="s">
        <v>516</v>
      </c>
      <c r="D11" s="46" t="s">
        <v>645</v>
      </c>
      <c r="E11" s="48">
        <v>2545</v>
      </c>
      <c r="F11" s="46">
        <v>1</v>
      </c>
      <c r="G11" s="48">
        <v>50000</v>
      </c>
      <c r="H11" s="47">
        <v>127250000</v>
      </c>
      <c r="I11" s="1"/>
      <c r="J11" s="6"/>
      <c r="K11" s="1"/>
      <c r="L11" s="1"/>
    </row>
    <row r="12" spans="1:12" x14ac:dyDescent="0.35">
      <c r="A12" s="1"/>
      <c r="B12" s="5"/>
      <c r="C12" s="46" t="s">
        <v>516</v>
      </c>
      <c r="D12" s="46" t="s">
        <v>645</v>
      </c>
      <c r="E12" s="48">
        <v>2550</v>
      </c>
      <c r="F12" s="46">
        <v>2</v>
      </c>
      <c r="G12" s="48">
        <v>112000</v>
      </c>
      <c r="H12" s="47">
        <v>285600000</v>
      </c>
      <c r="I12" s="1"/>
      <c r="J12" s="6"/>
      <c r="K12" s="1"/>
      <c r="L12" s="1"/>
    </row>
    <row r="13" spans="1:12" x14ac:dyDescent="0.35">
      <c r="A13" s="1"/>
      <c r="B13" s="5"/>
      <c r="C13" s="46" t="s">
        <v>516</v>
      </c>
      <c r="D13" s="46" t="s">
        <v>645</v>
      </c>
      <c r="E13" s="48">
        <v>2555</v>
      </c>
      <c r="F13" s="46">
        <v>7</v>
      </c>
      <c r="G13" s="48">
        <v>106573</v>
      </c>
      <c r="H13" s="47">
        <v>272294015</v>
      </c>
      <c r="I13" s="1"/>
      <c r="J13" s="6"/>
      <c r="K13" s="1"/>
      <c r="L13" s="1"/>
    </row>
    <row r="14" spans="1:12" x14ac:dyDescent="0.35">
      <c r="A14" s="1"/>
      <c r="B14" s="5"/>
      <c r="C14" s="46" t="s">
        <v>516</v>
      </c>
      <c r="D14" s="46" t="s">
        <v>645</v>
      </c>
      <c r="E14" s="48">
        <v>2560</v>
      </c>
      <c r="F14" s="46">
        <v>1</v>
      </c>
      <c r="G14" s="48">
        <v>200</v>
      </c>
      <c r="H14" s="47">
        <v>512000</v>
      </c>
      <c r="I14" s="1"/>
      <c r="J14" s="6"/>
      <c r="K14" s="1"/>
      <c r="L14" s="1"/>
    </row>
    <row r="15" spans="1:12" x14ac:dyDescent="0.35">
      <c r="A15" s="1"/>
      <c r="B15" s="5"/>
      <c r="C15" s="46" t="s">
        <v>516</v>
      </c>
      <c r="D15" s="46" t="s">
        <v>645</v>
      </c>
      <c r="E15" s="48">
        <v>2565</v>
      </c>
      <c r="F15" s="46">
        <v>4</v>
      </c>
      <c r="G15" s="48">
        <v>8063</v>
      </c>
      <c r="H15" s="47">
        <v>20681595</v>
      </c>
      <c r="I15" s="1"/>
      <c r="J15" s="6"/>
      <c r="K15" s="1"/>
      <c r="L15" s="1"/>
    </row>
    <row r="16" spans="1:12" x14ac:dyDescent="0.35">
      <c r="A16" s="1"/>
      <c r="B16" s="5"/>
      <c r="C16" s="46" t="s">
        <v>516</v>
      </c>
      <c r="D16" s="46" t="s">
        <v>645</v>
      </c>
      <c r="E16" s="48">
        <v>2570</v>
      </c>
      <c r="F16" s="46">
        <v>3</v>
      </c>
      <c r="G16" s="48">
        <v>210000</v>
      </c>
      <c r="H16" s="47">
        <v>539700000</v>
      </c>
      <c r="I16" s="1"/>
      <c r="J16" s="6"/>
      <c r="K16" s="1"/>
      <c r="L16" s="1"/>
    </row>
    <row r="17" spans="1:12" x14ac:dyDescent="0.35">
      <c r="A17" s="1"/>
      <c r="B17" s="5"/>
      <c r="C17" s="46" t="s">
        <v>516</v>
      </c>
      <c r="D17" s="46" t="s">
        <v>645</v>
      </c>
      <c r="E17" s="48">
        <v>2575</v>
      </c>
      <c r="F17" s="46">
        <v>2</v>
      </c>
      <c r="G17" s="48">
        <v>73273</v>
      </c>
      <c r="H17" s="47">
        <v>188677975</v>
      </c>
      <c r="I17" s="1"/>
      <c r="J17" s="6"/>
      <c r="K17" s="1"/>
      <c r="L17" s="1"/>
    </row>
    <row r="18" spans="1:12" x14ac:dyDescent="0.35">
      <c r="A18" s="1"/>
      <c r="B18" s="5"/>
      <c r="C18" s="46" t="s">
        <v>516</v>
      </c>
      <c r="D18" s="46" t="s">
        <v>645</v>
      </c>
      <c r="E18" s="48">
        <v>2580</v>
      </c>
      <c r="F18" s="46">
        <v>1</v>
      </c>
      <c r="G18" s="48">
        <v>26303</v>
      </c>
      <c r="H18" s="47">
        <v>67861740</v>
      </c>
      <c r="I18" s="1"/>
      <c r="J18" s="6"/>
      <c r="K18" s="1"/>
      <c r="L18" s="1"/>
    </row>
    <row r="19" spans="1:12" x14ac:dyDescent="0.35">
      <c r="A19" s="1"/>
      <c r="B19" s="9"/>
      <c r="C19" s="46" t="s">
        <v>516</v>
      </c>
      <c r="D19" s="46" t="s">
        <v>646</v>
      </c>
      <c r="E19" s="48">
        <v>69880</v>
      </c>
      <c r="F19" s="46">
        <v>1</v>
      </c>
      <c r="G19" s="48">
        <v>700</v>
      </c>
      <c r="H19" s="47">
        <v>48916000</v>
      </c>
      <c r="I19" s="10"/>
      <c r="J19" s="11"/>
      <c r="K19" s="1"/>
      <c r="L19"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647</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x14ac:dyDescent="0.35">
      <c r="A9" s="1"/>
      <c r="B9" s="5"/>
      <c r="C9" s="14" t="s">
        <v>5</v>
      </c>
      <c r="D9" s="89"/>
      <c r="E9" s="49" t="s">
        <v>650</v>
      </c>
      <c r="F9" s="49" t="s">
        <v>642</v>
      </c>
      <c r="G9" s="49" t="s">
        <v>650</v>
      </c>
      <c r="H9" s="49" t="s">
        <v>642</v>
      </c>
      <c r="I9" s="49" t="s">
        <v>650</v>
      </c>
      <c r="J9" s="49" t="s">
        <v>642</v>
      </c>
      <c r="K9" s="49" t="s">
        <v>650</v>
      </c>
      <c r="L9" s="49" t="s">
        <v>642</v>
      </c>
      <c r="M9" s="49" t="s">
        <v>650</v>
      </c>
      <c r="N9" s="49" t="s">
        <v>642</v>
      </c>
      <c r="O9" s="49" t="s">
        <v>650</v>
      </c>
      <c r="P9" s="49" t="s">
        <v>642</v>
      </c>
      <c r="Q9" s="49" t="s">
        <v>650</v>
      </c>
      <c r="R9" s="49" t="s">
        <v>642</v>
      </c>
      <c r="S9" s="1"/>
      <c r="T9" s="1"/>
    </row>
    <row r="10" spans="1:20" x14ac:dyDescent="0.35">
      <c r="A10" s="1"/>
      <c r="B10" s="5"/>
      <c r="C10" s="25" t="s">
        <v>262</v>
      </c>
      <c r="D10" s="50">
        <v>1216431750</v>
      </c>
      <c r="E10" s="50">
        <v>4842.7251237800001</v>
      </c>
      <c r="F10" s="50">
        <v>631820</v>
      </c>
      <c r="G10" s="50">
        <v>1751.3412470400001</v>
      </c>
      <c r="H10" s="50">
        <v>191757</v>
      </c>
      <c r="I10" s="50">
        <v>4186.0745643999999</v>
      </c>
      <c r="J10" s="50">
        <v>467537</v>
      </c>
      <c r="K10" s="50">
        <v>284.29693105000001</v>
      </c>
      <c r="L10" s="50">
        <v>41128</v>
      </c>
      <c r="M10" s="50">
        <v>143.41286012</v>
      </c>
      <c r="N10" s="50">
        <v>14980</v>
      </c>
      <c r="O10" s="50">
        <v>0</v>
      </c>
      <c r="P10" s="25"/>
      <c r="Q10" s="50">
        <v>0</v>
      </c>
      <c r="R10" s="25"/>
      <c r="S10" s="1"/>
      <c r="T10" s="1"/>
    </row>
    <row r="11" spans="1:20" x14ac:dyDescent="0.35">
      <c r="A11" s="1"/>
      <c r="B11" s="5"/>
      <c r="C11" s="25" t="s">
        <v>264</v>
      </c>
      <c r="D11" s="50">
        <v>509103132</v>
      </c>
      <c r="E11" s="50">
        <v>2788.20134143</v>
      </c>
      <c r="F11" s="50">
        <v>46784</v>
      </c>
      <c r="G11" s="50">
        <v>130.68508781</v>
      </c>
      <c r="H11" s="50">
        <v>2209</v>
      </c>
      <c r="I11" s="50">
        <v>1951.3482501599999</v>
      </c>
      <c r="J11" s="50">
        <v>37292</v>
      </c>
      <c r="K11" s="50">
        <v>1879.0209748899999</v>
      </c>
      <c r="L11" s="50">
        <v>39896</v>
      </c>
      <c r="M11" s="50">
        <v>0</v>
      </c>
      <c r="N11" s="25"/>
      <c r="O11" s="50">
        <v>723.22145999999998</v>
      </c>
      <c r="P11" s="50">
        <v>8923</v>
      </c>
      <c r="Q11" s="50">
        <v>0</v>
      </c>
      <c r="R11" s="25"/>
      <c r="S11" s="1"/>
      <c r="T11" s="1"/>
    </row>
    <row r="12" spans="1:20" x14ac:dyDescent="0.35">
      <c r="A12" s="1"/>
      <c r="B12" s="5"/>
      <c r="C12" s="25" t="s">
        <v>266</v>
      </c>
      <c r="D12" s="50">
        <v>346403766</v>
      </c>
      <c r="E12" s="50">
        <v>4611.1154097199997</v>
      </c>
      <c r="F12" s="50">
        <v>395901</v>
      </c>
      <c r="G12" s="50">
        <v>7435.4291523800002</v>
      </c>
      <c r="H12" s="50">
        <v>606927</v>
      </c>
      <c r="I12" s="50">
        <v>10622.60634006</v>
      </c>
      <c r="J12" s="50">
        <v>1094695</v>
      </c>
      <c r="K12" s="50">
        <v>1948.11925888</v>
      </c>
      <c r="L12" s="50">
        <v>132193</v>
      </c>
      <c r="M12" s="50">
        <v>1317.1223333200001</v>
      </c>
      <c r="N12" s="50">
        <v>92692</v>
      </c>
      <c r="O12" s="50">
        <v>0</v>
      </c>
      <c r="P12" s="25"/>
      <c r="Q12" s="50">
        <v>0</v>
      </c>
      <c r="R12" s="25"/>
      <c r="S12" s="1"/>
      <c r="T12" s="1"/>
    </row>
    <row r="13" spans="1:20" x14ac:dyDescent="0.35">
      <c r="A13" s="1"/>
      <c r="B13" s="5"/>
      <c r="C13" s="25" t="s">
        <v>268</v>
      </c>
      <c r="D13" s="50">
        <v>41116694690</v>
      </c>
      <c r="E13" s="50">
        <v>3108.8784941099998</v>
      </c>
      <c r="F13" s="50">
        <v>1502120</v>
      </c>
      <c r="G13" s="50">
        <v>1562.0084885799999</v>
      </c>
      <c r="H13" s="50">
        <v>762220</v>
      </c>
      <c r="I13" s="50">
        <v>3986.3435151600002</v>
      </c>
      <c r="J13" s="50">
        <v>2282394</v>
      </c>
      <c r="K13" s="50">
        <v>2978.0065326099998</v>
      </c>
      <c r="L13" s="50">
        <v>1451034</v>
      </c>
      <c r="M13" s="50">
        <v>202.51558108</v>
      </c>
      <c r="N13" s="50">
        <v>100100</v>
      </c>
      <c r="O13" s="50">
        <v>0</v>
      </c>
      <c r="P13" s="25"/>
      <c r="Q13" s="50">
        <v>0</v>
      </c>
      <c r="R13" s="25"/>
      <c r="S13" s="1"/>
      <c r="T13" s="1"/>
    </row>
    <row r="14" spans="1:20" x14ac:dyDescent="0.35">
      <c r="A14" s="1"/>
      <c r="B14" s="5"/>
      <c r="C14" s="25" t="s">
        <v>272</v>
      </c>
      <c r="D14" s="50">
        <v>9181177017</v>
      </c>
      <c r="E14" s="50">
        <v>8293.8528141000006</v>
      </c>
      <c r="F14" s="50">
        <v>3421288</v>
      </c>
      <c r="G14" s="50">
        <v>3041.27632378</v>
      </c>
      <c r="H14" s="50">
        <v>1333811</v>
      </c>
      <c r="I14" s="50">
        <v>2739.1837716999999</v>
      </c>
      <c r="J14" s="50">
        <v>1172540</v>
      </c>
      <c r="K14" s="50">
        <v>4240.9170143399997</v>
      </c>
      <c r="L14" s="50">
        <v>1820501</v>
      </c>
      <c r="M14" s="50">
        <v>808.23298092000005</v>
      </c>
      <c r="N14" s="50">
        <v>369456</v>
      </c>
      <c r="O14" s="50">
        <v>0</v>
      </c>
      <c r="P14" s="25"/>
      <c r="Q14" s="50">
        <v>0</v>
      </c>
      <c r="R14" s="25"/>
      <c r="S14" s="1"/>
      <c r="T14" s="1"/>
    </row>
    <row r="15" spans="1:20" x14ac:dyDescent="0.35">
      <c r="A15" s="1"/>
      <c r="B15" s="5"/>
      <c r="C15" s="25" t="s">
        <v>276</v>
      </c>
      <c r="D15" s="50">
        <v>397003639</v>
      </c>
      <c r="E15" s="50">
        <v>61.279150360000003</v>
      </c>
      <c r="F15" s="50">
        <v>4771</v>
      </c>
      <c r="G15" s="50">
        <v>802.00409227</v>
      </c>
      <c r="H15" s="50">
        <v>57881</v>
      </c>
      <c r="I15" s="50">
        <v>1270.1491962</v>
      </c>
      <c r="J15" s="50">
        <v>101538</v>
      </c>
      <c r="K15" s="50">
        <v>374.52832066000002</v>
      </c>
      <c r="L15" s="50">
        <v>37989</v>
      </c>
      <c r="M15" s="50">
        <v>295.42425307000002</v>
      </c>
      <c r="N15" s="50">
        <v>21297</v>
      </c>
      <c r="O15" s="50">
        <v>0</v>
      </c>
      <c r="P15" s="25"/>
      <c r="Q15" s="50">
        <v>0</v>
      </c>
      <c r="R15" s="25"/>
      <c r="S15" s="1"/>
      <c r="T15" s="1"/>
    </row>
    <row r="16" spans="1:20" x14ac:dyDescent="0.35">
      <c r="A16" s="1"/>
      <c r="B16" s="5"/>
      <c r="C16" s="25" t="s">
        <v>278</v>
      </c>
      <c r="D16" s="50">
        <v>165834026</v>
      </c>
      <c r="E16" s="50">
        <v>1613.31461504</v>
      </c>
      <c r="F16" s="50">
        <v>43763</v>
      </c>
      <c r="G16" s="50">
        <v>9225.7330000000002</v>
      </c>
      <c r="H16" s="50">
        <v>259474</v>
      </c>
      <c r="I16" s="50">
        <v>24932.047908550001</v>
      </c>
      <c r="J16" s="50">
        <v>707557</v>
      </c>
      <c r="K16" s="50">
        <v>138.22233574000001</v>
      </c>
      <c r="L16" s="50">
        <v>4294</v>
      </c>
      <c r="M16" s="50">
        <v>0</v>
      </c>
      <c r="N16" s="25"/>
      <c r="O16" s="50">
        <v>0</v>
      </c>
      <c r="P16" s="25"/>
      <c r="Q16" s="50">
        <v>0</v>
      </c>
      <c r="R16" s="25"/>
      <c r="S16" s="1"/>
      <c r="T16" s="1"/>
    </row>
    <row r="17" spans="1:20" x14ac:dyDescent="0.35">
      <c r="A17" s="1"/>
      <c r="B17" s="5"/>
      <c r="C17" s="25" t="s">
        <v>624</v>
      </c>
      <c r="D17" s="50">
        <v>754048560</v>
      </c>
      <c r="E17" s="50">
        <v>4515.2172499899998</v>
      </c>
      <c r="F17" s="50">
        <v>12655</v>
      </c>
      <c r="G17" s="50">
        <v>1232.2016666699999</v>
      </c>
      <c r="H17" s="50">
        <v>3472</v>
      </c>
      <c r="I17" s="50">
        <v>4493.8417611000004</v>
      </c>
      <c r="J17" s="50">
        <v>12796</v>
      </c>
      <c r="K17" s="50">
        <v>745.81666667000002</v>
      </c>
      <c r="L17" s="50">
        <v>2082</v>
      </c>
      <c r="M17" s="50">
        <v>0</v>
      </c>
      <c r="N17" s="25"/>
      <c r="O17" s="50">
        <v>0</v>
      </c>
      <c r="P17" s="25"/>
      <c r="Q17" s="50">
        <v>0</v>
      </c>
      <c r="R17" s="25"/>
      <c r="S17" s="1"/>
      <c r="T17" s="1"/>
    </row>
    <row r="18" spans="1:20" x14ac:dyDescent="0.35">
      <c r="A18" s="1"/>
      <c r="B18" s="5"/>
      <c r="C18" s="25" t="s">
        <v>553</v>
      </c>
      <c r="D18" s="50">
        <v>361940000</v>
      </c>
      <c r="E18" s="50">
        <v>0</v>
      </c>
      <c r="F18" s="25"/>
      <c r="G18" s="50">
        <v>0</v>
      </c>
      <c r="H18" s="25"/>
      <c r="I18" s="50">
        <v>0</v>
      </c>
      <c r="J18" s="25"/>
      <c r="K18" s="50">
        <v>0</v>
      </c>
      <c r="L18" s="25"/>
      <c r="M18" s="50">
        <v>0</v>
      </c>
      <c r="N18" s="25"/>
      <c r="O18" s="50">
        <v>453.64</v>
      </c>
      <c r="P18" s="50">
        <v>20000</v>
      </c>
      <c r="Q18" s="50">
        <v>0</v>
      </c>
      <c r="R18" s="25"/>
      <c r="S18" s="1"/>
      <c r="T18" s="1"/>
    </row>
    <row r="19" spans="1:20" x14ac:dyDescent="0.35">
      <c r="A19" s="1"/>
      <c r="B19" s="5"/>
      <c r="C19" s="25" t="s">
        <v>280</v>
      </c>
      <c r="D19" s="50">
        <v>1107677894</v>
      </c>
      <c r="E19" s="50">
        <v>0</v>
      </c>
      <c r="F19" s="25"/>
      <c r="G19" s="50">
        <v>0</v>
      </c>
      <c r="H19" s="25"/>
      <c r="I19" s="50">
        <v>734.10981820999996</v>
      </c>
      <c r="J19" s="50">
        <v>38479</v>
      </c>
      <c r="K19" s="50">
        <v>0</v>
      </c>
      <c r="L19" s="25"/>
      <c r="M19" s="50">
        <v>0</v>
      </c>
      <c r="N19" s="25"/>
      <c r="O19" s="50">
        <v>0</v>
      </c>
      <c r="P19" s="25"/>
      <c r="Q19" s="50">
        <v>0</v>
      </c>
      <c r="R19" s="25"/>
      <c r="S19" s="1"/>
      <c r="T19" s="1"/>
    </row>
    <row r="20" spans="1:20" x14ac:dyDescent="0.35">
      <c r="A20" s="1"/>
      <c r="B20" s="5"/>
      <c r="C20" s="25" t="s">
        <v>282</v>
      </c>
      <c r="D20" s="50">
        <v>295780517</v>
      </c>
      <c r="E20" s="50">
        <v>5912.9686702400004</v>
      </c>
      <c r="F20" s="50">
        <v>571903</v>
      </c>
      <c r="G20" s="50">
        <v>11633.73963507</v>
      </c>
      <c r="H20" s="50">
        <v>971843</v>
      </c>
      <c r="I20" s="50">
        <v>8893.8729919800007</v>
      </c>
      <c r="J20" s="50">
        <v>782438</v>
      </c>
      <c r="K20" s="50">
        <v>0</v>
      </c>
      <c r="L20" s="25"/>
      <c r="M20" s="50">
        <v>0</v>
      </c>
      <c r="N20" s="25"/>
      <c r="O20" s="50">
        <v>39.993859999999998</v>
      </c>
      <c r="P20" s="50">
        <v>2567</v>
      </c>
      <c r="Q20" s="50">
        <v>465.6</v>
      </c>
      <c r="R20" s="50">
        <v>30000</v>
      </c>
      <c r="S20" s="1"/>
      <c r="T20" s="1"/>
    </row>
    <row r="21" spans="1:20" x14ac:dyDescent="0.35">
      <c r="A21" s="1"/>
      <c r="B21" s="5"/>
      <c r="C21" s="25" t="s">
        <v>625</v>
      </c>
      <c r="D21" s="50">
        <v>289150555</v>
      </c>
      <c r="E21" s="50">
        <v>2847.4836111099999</v>
      </c>
      <c r="F21" s="50">
        <v>107071</v>
      </c>
      <c r="G21" s="50">
        <v>237.54583332999999</v>
      </c>
      <c r="H21" s="50">
        <v>8800</v>
      </c>
      <c r="I21" s="50">
        <v>2475.8701133999998</v>
      </c>
      <c r="J21" s="50">
        <v>94703</v>
      </c>
      <c r="K21" s="50">
        <v>566.26888888999997</v>
      </c>
      <c r="L21" s="50">
        <v>21900</v>
      </c>
      <c r="M21" s="50">
        <v>0</v>
      </c>
      <c r="N21" s="25"/>
      <c r="O21" s="50">
        <v>0</v>
      </c>
      <c r="P21" s="25"/>
      <c r="Q21" s="50">
        <v>0</v>
      </c>
      <c r="R21" s="25"/>
      <c r="S21" s="1"/>
      <c r="T21" s="1"/>
    </row>
    <row r="22" spans="1:20" x14ac:dyDescent="0.35">
      <c r="A22" s="1"/>
      <c r="B22" s="5"/>
      <c r="C22" s="25" t="s">
        <v>284</v>
      </c>
      <c r="D22" s="50">
        <v>49953606</v>
      </c>
      <c r="E22" s="50">
        <v>0</v>
      </c>
      <c r="F22" s="25"/>
      <c r="G22" s="50">
        <v>425.1</v>
      </c>
      <c r="H22" s="50">
        <v>12941</v>
      </c>
      <c r="I22" s="50">
        <v>0</v>
      </c>
      <c r="J22" s="25"/>
      <c r="K22" s="50">
        <v>0</v>
      </c>
      <c r="L22" s="25"/>
      <c r="M22" s="50">
        <v>0</v>
      </c>
      <c r="N22" s="25"/>
      <c r="O22" s="50">
        <v>0</v>
      </c>
      <c r="P22" s="25"/>
      <c r="Q22" s="50">
        <v>0</v>
      </c>
      <c r="R22" s="25"/>
      <c r="S22" s="1"/>
      <c r="T22" s="1"/>
    </row>
    <row r="23" spans="1:20" x14ac:dyDescent="0.35">
      <c r="A23" s="1"/>
      <c r="B23" s="5"/>
      <c r="C23" s="25" t="s">
        <v>286</v>
      </c>
      <c r="D23" s="50">
        <v>7565862649</v>
      </c>
      <c r="E23" s="50">
        <v>2959.53524973</v>
      </c>
      <c r="F23" s="50">
        <v>7193000</v>
      </c>
      <c r="G23" s="50">
        <v>4631.44107136</v>
      </c>
      <c r="H23" s="50">
        <v>7780736</v>
      </c>
      <c r="I23" s="50">
        <v>7549.0410138899997</v>
      </c>
      <c r="J23" s="50">
        <v>12560426</v>
      </c>
      <c r="K23" s="50">
        <v>1872.38489445</v>
      </c>
      <c r="L23" s="50">
        <v>3291140</v>
      </c>
      <c r="M23" s="50">
        <v>206.27479167000001</v>
      </c>
      <c r="N23" s="50">
        <v>292000</v>
      </c>
      <c r="O23" s="50">
        <v>0</v>
      </c>
      <c r="P23" s="25"/>
      <c r="Q23" s="50">
        <v>0</v>
      </c>
      <c r="R23" s="25"/>
      <c r="S23" s="1"/>
      <c r="T23" s="1"/>
    </row>
    <row r="24" spans="1:20" x14ac:dyDescent="0.35">
      <c r="A24" s="1"/>
      <c r="B24" s="5"/>
      <c r="C24" s="25" t="s">
        <v>288</v>
      </c>
      <c r="D24" s="50">
        <v>439957804</v>
      </c>
      <c r="E24" s="50">
        <v>14035.621082309999</v>
      </c>
      <c r="F24" s="50">
        <v>312380</v>
      </c>
      <c r="G24" s="50">
        <v>9498.0590704799997</v>
      </c>
      <c r="H24" s="50">
        <v>219399</v>
      </c>
      <c r="I24" s="50">
        <v>10125.169734999999</v>
      </c>
      <c r="J24" s="50">
        <v>197501</v>
      </c>
      <c r="K24" s="50">
        <v>1318.0143934</v>
      </c>
      <c r="L24" s="50">
        <v>28306</v>
      </c>
      <c r="M24" s="50">
        <v>3638.0646995299999</v>
      </c>
      <c r="N24" s="50">
        <v>66718</v>
      </c>
      <c r="O24" s="50">
        <v>13704.899719999999</v>
      </c>
      <c r="P24" s="50">
        <v>201000</v>
      </c>
      <c r="Q24" s="50">
        <v>0</v>
      </c>
      <c r="R24" s="25"/>
      <c r="S24" s="1"/>
      <c r="T24" s="1"/>
    </row>
    <row r="25" spans="1:20" x14ac:dyDescent="0.35">
      <c r="A25" s="1"/>
      <c r="B25" s="5"/>
      <c r="C25" s="25" t="s">
        <v>290</v>
      </c>
      <c r="D25" s="50">
        <v>169443753</v>
      </c>
      <c r="E25" s="50">
        <v>4592.4457736100003</v>
      </c>
      <c r="F25" s="50">
        <v>237751</v>
      </c>
      <c r="G25" s="50">
        <v>6350.9354974799999</v>
      </c>
      <c r="H25" s="50">
        <v>321905</v>
      </c>
      <c r="I25" s="50">
        <v>313.35988193999998</v>
      </c>
      <c r="J25" s="50">
        <v>13412</v>
      </c>
      <c r="K25" s="50">
        <v>5852.6686098299997</v>
      </c>
      <c r="L25" s="50">
        <v>258726</v>
      </c>
      <c r="M25" s="50">
        <v>8235.7394256000007</v>
      </c>
      <c r="N25" s="50">
        <v>318032</v>
      </c>
      <c r="O25" s="50">
        <v>0</v>
      </c>
      <c r="P25" s="25"/>
      <c r="Q25" s="50">
        <v>0</v>
      </c>
      <c r="R25" s="25"/>
      <c r="S25" s="1"/>
      <c r="T25" s="1"/>
    </row>
    <row r="26" spans="1:20" x14ac:dyDescent="0.35">
      <c r="A26" s="1"/>
      <c r="B26" s="5"/>
      <c r="C26" s="25" t="s">
        <v>292</v>
      </c>
      <c r="D26" s="50">
        <v>287275379</v>
      </c>
      <c r="E26" s="50">
        <v>2815.4349901400001</v>
      </c>
      <c r="F26" s="50">
        <v>288097</v>
      </c>
      <c r="G26" s="50">
        <v>2738.7440968000001</v>
      </c>
      <c r="H26" s="50">
        <v>282561</v>
      </c>
      <c r="I26" s="50">
        <v>13842.55490761</v>
      </c>
      <c r="J26" s="50">
        <v>1433366</v>
      </c>
      <c r="K26" s="50">
        <v>1333.2550343600001</v>
      </c>
      <c r="L26" s="50">
        <v>144174</v>
      </c>
      <c r="M26" s="50">
        <v>1444.7662522200001</v>
      </c>
      <c r="N26" s="50">
        <v>155362</v>
      </c>
      <c r="O26" s="50">
        <v>0</v>
      </c>
      <c r="P26" s="25"/>
      <c r="Q26" s="50">
        <v>0</v>
      </c>
      <c r="R26" s="25"/>
      <c r="S26" s="1"/>
      <c r="T26" s="1"/>
    </row>
    <row r="27" spans="1:20" x14ac:dyDescent="0.35">
      <c r="A27" s="1"/>
      <c r="B27" s="5"/>
      <c r="C27" s="25" t="s">
        <v>293</v>
      </c>
      <c r="D27" s="50">
        <v>161871882</v>
      </c>
      <c r="E27" s="50">
        <v>1992.4885806</v>
      </c>
      <c r="F27" s="50">
        <v>62498</v>
      </c>
      <c r="G27" s="50">
        <v>4335.70059167</v>
      </c>
      <c r="H27" s="50">
        <v>127578</v>
      </c>
      <c r="I27" s="50">
        <v>6093.1186968900001</v>
      </c>
      <c r="J27" s="50">
        <v>211219</v>
      </c>
      <c r="K27" s="50">
        <v>2036.21498847</v>
      </c>
      <c r="L27" s="50">
        <v>84270</v>
      </c>
      <c r="M27" s="50">
        <v>2574.05406421</v>
      </c>
      <c r="N27" s="50">
        <v>80033</v>
      </c>
      <c r="O27" s="50">
        <v>0</v>
      </c>
      <c r="P27" s="25"/>
      <c r="Q27" s="50">
        <v>0</v>
      </c>
      <c r="R27" s="25"/>
      <c r="S27" s="1"/>
      <c r="T27" s="1"/>
    </row>
    <row r="28" spans="1:20" x14ac:dyDescent="0.35">
      <c r="A28" s="1"/>
      <c r="B28" s="9"/>
      <c r="C28" s="51" t="s">
        <v>609</v>
      </c>
      <c r="D28" s="52" t="s">
        <v>5</v>
      </c>
      <c r="E28" s="53">
        <v>64990.562156270003</v>
      </c>
      <c r="F28" s="53">
        <v>14831802</v>
      </c>
      <c r="G28" s="53">
        <v>65031.944854720001</v>
      </c>
      <c r="H28" s="53">
        <v>12943514</v>
      </c>
      <c r="I28" s="53">
        <v>104208.69246625</v>
      </c>
      <c r="J28" s="53">
        <v>21207893</v>
      </c>
      <c r="K28" s="53">
        <v>25567.73484424</v>
      </c>
      <c r="L28" s="53">
        <v>7357633</v>
      </c>
      <c r="M28" s="53">
        <v>18865.607241739999</v>
      </c>
      <c r="N28" s="53">
        <v>1510670</v>
      </c>
      <c r="O28" s="53">
        <v>14921.75504</v>
      </c>
      <c r="P28" s="53">
        <v>232490</v>
      </c>
      <c r="Q28" s="53">
        <v>465.6</v>
      </c>
      <c r="R28" s="53">
        <v>30000</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651</v>
      </c>
      <c r="D5" s="43" t="s">
        <v>232</v>
      </c>
      <c r="E5" s="43" t="s">
        <v>233</v>
      </c>
      <c r="F5" s="1"/>
      <c r="G5" s="6"/>
      <c r="H5" s="1"/>
      <c r="I5" s="1"/>
    </row>
    <row r="6" spans="1:9" x14ac:dyDescent="0.35">
      <c r="A6" s="1"/>
      <c r="B6" s="5"/>
      <c r="C6" s="54" t="s">
        <v>652</v>
      </c>
      <c r="D6" s="55">
        <v>3612.7153158800002</v>
      </c>
      <c r="E6" s="55">
        <v>0</v>
      </c>
      <c r="F6" s="1"/>
      <c r="G6" s="6"/>
      <c r="H6" s="1"/>
      <c r="I6" s="1"/>
    </row>
    <row r="7" spans="1:9" x14ac:dyDescent="0.35">
      <c r="A7" s="1"/>
      <c r="B7" s="5"/>
      <c r="C7" s="54" t="s">
        <v>653</v>
      </c>
      <c r="D7" s="55">
        <v>36469.718737429997</v>
      </c>
      <c r="E7" s="55">
        <v>981.61731999999995</v>
      </c>
      <c r="F7" s="1"/>
      <c r="G7" s="6"/>
      <c r="H7" s="1"/>
      <c r="I7" s="1"/>
    </row>
    <row r="8" spans="1:9" x14ac:dyDescent="0.35">
      <c r="A8" s="1"/>
      <c r="B8" s="5"/>
      <c r="C8" s="54" t="s">
        <v>654</v>
      </c>
      <c r="D8" s="55">
        <v>56741.756112019997</v>
      </c>
      <c r="E8" s="55">
        <v>14405.737719999999</v>
      </c>
      <c r="F8" s="1"/>
      <c r="G8" s="6"/>
      <c r="H8" s="1"/>
      <c r="I8" s="1"/>
    </row>
    <row r="9" spans="1:9" x14ac:dyDescent="0.35">
      <c r="A9" s="1"/>
      <c r="B9" s="5"/>
      <c r="C9" s="54" t="s">
        <v>655</v>
      </c>
      <c r="D9" s="55">
        <v>23309.133056120001</v>
      </c>
      <c r="E9" s="55">
        <v>0</v>
      </c>
      <c r="F9" s="1"/>
      <c r="G9" s="6"/>
      <c r="H9" s="1"/>
      <c r="I9" s="1"/>
    </row>
    <row r="10" spans="1:9" x14ac:dyDescent="0.35">
      <c r="A10" s="1"/>
      <c r="B10" s="5"/>
      <c r="C10" s="54" t="s">
        <v>656</v>
      </c>
      <c r="D10" s="55">
        <v>14223.33220821</v>
      </c>
      <c r="E10" s="55">
        <v>0</v>
      </c>
      <c r="F10" s="1"/>
      <c r="G10" s="6"/>
      <c r="H10" s="1"/>
      <c r="I10" s="1"/>
    </row>
    <row r="11" spans="1:9" x14ac:dyDescent="0.35">
      <c r="A11" s="1"/>
      <c r="B11" s="5"/>
      <c r="C11" s="54" t="s">
        <v>657</v>
      </c>
      <c r="D11" s="55">
        <v>2317.1887694400002</v>
      </c>
      <c r="E11" s="55">
        <v>0</v>
      </c>
      <c r="F11" s="1"/>
      <c r="G11" s="6"/>
      <c r="H11" s="1"/>
      <c r="I11" s="1"/>
    </row>
    <row r="12" spans="1:9" x14ac:dyDescent="0.35">
      <c r="A12" s="1"/>
      <c r="B12" s="5"/>
      <c r="C12" s="54" t="s">
        <v>658</v>
      </c>
      <c r="D12" s="55">
        <v>37653.126170459997</v>
      </c>
      <c r="E12" s="55">
        <v>0</v>
      </c>
      <c r="F12" s="1"/>
      <c r="G12" s="6"/>
      <c r="H12" s="1"/>
      <c r="I12" s="1"/>
    </row>
    <row r="13" spans="1:9" x14ac:dyDescent="0.35">
      <c r="A13" s="1"/>
      <c r="B13" s="5"/>
      <c r="C13" s="54" t="s">
        <v>659</v>
      </c>
      <c r="D13" s="55">
        <v>27722.18420485</v>
      </c>
      <c r="E13" s="55">
        <v>0</v>
      </c>
      <c r="F13" s="1"/>
      <c r="G13" s="6"/>
      <c r="H13" s="1"/>
      <c r="I13" s="1"/>
    </row>
    <row r="14" spans="1:9" x14ac:dyDescent="0.35">
      <c r="A14" s="1"/>
      <c r="B14" s="5"/>
      <c r="C14" s="54" t="s">
        <v>660</v>
      </c>
      <c r="D14" s="55">
        <v>28815.97233448</v>
      </c>
      <c r="E14" s="55">
        <v>0</v>
      </c>
      <c r="F14" s="1"/>
      <c r="G14" s="6"/>
      <c r="H14" s="1"/>
      <c r="I14" s="1"/>
    </row>
    <row r="15" spans="1:9" x14ac:dyDescent="0.35">
      <c r="A15" s="1"/>
      <c r="B15" s="5"/>
      <c r="C15" s="54" t="s">
        <v>661</v>
      </c>
      <c r="D15" s="55">
        <v>47799.414654330001</v>
      </c>
      <c r="E15" s="55">
        <v>0</v>
      </c>
      <c r="F15" s="1"/>
      <c r="G15" s="6"/>
      <c r="H15" s="1"/>
      <c r="I15" s="1"/>
    </row>
    <row r="16" spans="1:9" x14ac:dyDescent="0.35">
      <c r="A16" s="1"/>
      <c r="B16" s="9"/>
      <c r="C16" s="56" t="s">
        <v>609</v>
      </c>
      <c r="D16" s="57">
        <v>278664.54156321997</v>
      </c>
      <c r="E16" s="57">
        <v>15387.35504</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4D0E-502E-4730-9E38-E463CFC31F43}">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8"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1127</v>
      </c>
      <c r="D5" s="101" t="s">
        <v>1128</v>
      </c>
      <c r="E5" s="101" t="s">
        <v>1129</v>
      </c>
      <c r="F5" s="101" t="s">
        <v>1130</v>
      </c>
      <c r="G5" s="101" t="s">
        <v>1131</v>
      </c>
      <c r="H5" s="101" t="s">
        <v>1132</v>
      </c>
      <c r="I5" s="101" t="s">
        <v>1133</v>
      </c>
      <c r="J5" s="101" t="s">
        <v>1134</v>
      </c>
      <c r="K5" s="101" t="s">
        <v>1135</v>
      </c>
      <c r="L5" s="101" t="s">
        <v>1136</v>
      </c>
      <c r="M5" s="101" t="s">
        <v>1137</v>
      </c>
      <c r="N5" s="101" t="s">
        <v>1138</v>
      </c>
      <c r="O5" s="101" t="s">
        <v>1139</v>
      </c>
      <c r="P5" s="101" t="s">
        <v>1140</v>
      </c>
      <c r="Q5" s="101" t="s">
        <v>1141</v>
      </c>
      <c r="R5" s="101" t="s">
        <v>1142</v>
      </c>
      <c r="S5" s="101" t="s">
        <v>1143</v>
      </c>
      <c r="T5" s="101" t="s">
        <v>1144</v>
      </c>
      <c r="U5" s="101" t="s">
        <v>1145</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662</v>
      </c>
      <c r="D5" s="23" t="s">
        <v>643</v>
      </c>
      <c r="E5" s="23" t="s">
        <v>642</v>
      </c>
      <c r="F5" s="23" t="s">
        <v>641</v>
      </c>
      <c r="G5" s="1"/>
      <c r="H5" s="6"/>
      <c r="I5" s="1"/>
      <c r="J5" s="1"/>
    </row>
    <row r="6" spans="1:10" x14ac:dyDescent="0.35">
      <c r="A6" s="1"/>
      <c r="B6" s="5"/>
      <c r="C6" s="25" t="s">
        <v>663</v>
      </c>
      <c r="D6" s="50">
        <v>981.11850000000004</v>
      </c>
      <c r="E6" s="50">
        <v>1000000000</v>
      </c>
      <c r="F6" s="50">
        <v>4</v>
      </c>
      <c r="G6" s="1"/>
      <c r="H6" s="6"/>
      <c r="I6" s="1"/>
      <c r="J6" s="1"/>
    </row>
    <row r="7" spans="1:10" x14ac:dyDescent="0.35">
      <c r="A7" s="1"/>
      <c r="B7" s="5"/>
      <c r="C7" s="25" t="s">
        <v>664</v>
      </c>
      <c r="D7" s="50">
        <v>3308382.951531</v>
      </c>
      <c r="E7" s="50">
        <v>3197002000000</v>
      </c>
      <c r="F7" s="50">
        <v>66</v>
      </c>
      <c r="G7" s="1"/>
      <c r="H7" s="6"/>
      <c r="I7" s="1"/>
      <c r="J7" s="1"/>
    </row>
    <row r="8" spans="1:10" x14ac:dyDescent="0.35">
      <c r="A8" s="1"/>
      <c r="B8" s="5"/>
      <c r="C8" s="25" t="s">
        <v>665</v>
      </c>
      <c r="D8" s="50">
        <v>4274700.4022660004</v>
      </c>
      <c r="E8" s="50">
        <v>3801290000000</v>
      </c>
      <c r="F8" s="50">
        <v>118</v>
      </c>
      <c r="G8" s="1"/>
      <c r="H8" s="6"/>
      <c r="I8" s="1"/>
      <c r="J8" s="1"/>
    </row>
    <row r="9" spans="1:10" x14ac:dyDescent="0.35">
      <c r="A9" s="1"/>
      <c r="B9" s="5"/>
      <c r="C9" s="25" t="s">
        <v>666</v>
      </c>
      <c r="D9" s="50">
        <v>141274.55256700001</v>
      </c>
      <c r="E9" s="50">
        <v>73909285000</v>
      </c>
      <c r="F9" s="50">
        <v>18</v>
      </c>
      <c r="G9" s="1"/>
      <c r="H9" s="6"/>
      <c r="I9" s="1"/>
      <c r="J9" s="1"/>
    </row>
    <row r="10" spans="1:10" x14ac:dyDescent="0.35">
      <c r="A10" s="1"/>
      <c r="B10" s="5"/>
      <c r="C10" s="25" t="s">
        <v>667</v>
      </c>
      <c r="D10" s="50">
        <v>3766.768</v>
      </c>
      <c r="E10" s="50">
        <v>4000000000</v>
      </c>
      <c r="F10" s="50">
        <v>1</v>
      </c>
      <c r="G10" s="1"/>
      <c r="H10" s="6"/>
      <c r="I10" s="1"/>
      <c r="J10" s="1"/>
    </row>
    <row r="11" spans="1:10" x14ac:dyDescent="0.35">
      <c r="A11" s="1"/>
      <c r="B11" s="5"/>
      <c r="C11" s="25" t="s">
        <v>668</v>
      </c>
      <c r="D11" s="50">
        <v>7276.0217279999997</v>
      </c>
      <c r="E11" s="50">
        <v>7018503299</v>
      </c>
      <c r="F11" s="50">
        <v>12</v>
      </c>
      <c r="G11" s="1"/>
      <c r="H11" s="6"/>
      <c r="I11" s="1"/>
      <c r="J11" s="1"/>
    </row>
    <row r="12" spans="1:10" x14ac:dyDescent="0.35">
      <c r="A12" s="1"/>
      <c r="B12" s="5"/>
      <c r="C12" s="25" t="s">
        <v>669</v>
      </c>
      <c r="D12" s="50">
        <v>40000</v>
      </c>
      <c r="E12" s="50">
        <v>40000000000</v>
      </c>
      <c r="F12" s="50">
        <v>2</v>
      </c>
      <c r="G12" s="1"/>
      <c r="H12" s="6"/>
      <c r="I12" s="1"/>
      <c r="J12" s="1"/>
    </row>
    <row r="13" spans="1:10" x14ac:dyDescent="0.35">
      <c r="A13" s="1"/>
      <c r="B13" s="5"/>
      <c r="C13" s="25" t="s">
        <v>670</v>
      </c>
      <c r="D13" s="50">
        <v>134009.36503099999</v>
      </c>
      <c r="E13" s="50">
        <v>133105845000</v>
      </c>
      <c r="F13" s="50">
        <v>58</v>
      </c>
      <c r="G13" s="1"/>
      <c r="H13" s="6"/>
      <c r="I13" s="1"/>
      <c r="J13" s="1"/>
    </row>
    <row r="14" spans="1:10" x14ac:dyDescent="0.35">
      <c r="A14" s="1"/>
      <c r="B14" s="5"/>
      <c r="C14" s="25" t="s">
        <v>671</v>
      </c>
      <c r="D14" s="50">
        <v>1388923.2214820001</v>
      </c>
      <c r="E14" s="50">
        <v>1388923221482</v>
      </c>
      <c r="F14" s="50">
        <v>145</v>
      </c>
      <c r="G14" s="1"/>
      <c r="H14" s="6"/>
      <c r="I14" s="1"/>
      <c r="J14" s="1"/>
    </row>
    <row r="15" spans="1:10" x14ac:dyDescent="0.35">
      <c r="A15" s="1"/>
      <c r="B15" s="9"/>
      <c r="C15" s="25" t="s">
        <v>672</v>
      </c>
      <c r="D15" s="50">
        <v>3623691.9270950002</v>
      </c>
      <c r="E15" s="50">
        <v>3063121237219</v>
      </c>
      <c r="F15" s="50">
        <v>482</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3"/>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639</v>
      </c>
      <c r="D5" s="23" t="s">
        <v>673</v>
      </c>
      <c r="E5" s="23" t="s">
        <v>674</v>
      </c>
      <c r="F5" s="23" t="s">
        <v>675</v>
      </c>
      <c r="G5" s="23" t="s">
        <v>676</v>
      </c>
      <c r="H5" s="74" t="s">
        <v>677</v>
      </c>
      <c r="I5" s="76"/>
      <c r="J5" s="23" t="s">
        <v>678</v>
      </c>
      <c r="K5" s="23" t="s">
        <v>679</v>
      </c>
      <c r="L5" s="23" t="s">
        <v>680</v>
      </c>
      <c r="M5" s="23" t="s">
        <v>681</v>
      </c>
      <c r="N5" s="23" t="s">
        <v>642</v>
      </c>
      <c r="O5" s="1"/>
      <c r="P5" s="1"/>
    </row>
    <row r="6" spans="1:16" x14ac:dyDescent="0.35">
      <c r="A6" s="1"/>
      <c r="B6" s="5"/>
      <c r="C6" s="25" t="s">
        <v>682</v>
      </c>
      <c r="D6" s="25" t="s">
        <v>259</v>
      </c>
      <c r="E6" s="25" t="s">
        <v>516</v>
      </c>
      <c r="F6" s="25" t="s">
        <v>683</v>
      </c>
      <c r="G6" s="25">
        <v>365</v>
      </c>
      <c r="H6" s="90" t="s">
        <v>684</v>
      </c>
      <c r="I6" s="76"/>
      <c r="J6" s="25">
        <v>12.319100000000001</v>
      </c>
      <c r="K6" s="25" t="s">
        <v>685</v>
      </c>
      <c r="L6" s="25" t="s">
        <v>686</v>
      </c>
      <c r="M6" s="25">
        <v>100</v>
      </c>
      <c r="N6" s="25">
        <v>22050000000</v>
      </c>
      <c r="O6" s="1"/>
      <c r="P6" s="1"/>
    </row>
    <row r="7" spans="1:16" x14ac:dyDescent="0.35">
      <c r="A7" s="1"/>
      <c r="B7" s="5"/>
      <c r="C7" s="25" t="s">
        <v>682</v>
      </c>
      <c r="D7" s="25" t="s">
        <v>259</v>
      </c>
      <c r="E7" s="25" t="s">
        <v>516</v>
      </c>
      <c r="F7" s="25" t="s">
        <v>683</v>
      </c>
      <c r="G7" s="25">
        <v>365</v>
      </c>
      <c r="H7" s="90" t="s">
        <v>684</v>
      </c>
      <c r="I7" s="76"/>
      <c r="J7" s="25">
        <v>12.9</v>
      </c>
      <c r="K7" s="25" t="s">
        <v>685</v>
      </c>
      <c r="L7" s="25" t="s">
        <v>687</v>
      </c>
      <c r="M7" s="25">
        <v>100</v>
      </c>
      <c r="N7" s="25">
        <v>5000000000</v>
      </c>
      <c r="O7" s="1"/>
      <c r="P7" s="1"/>
    </row>
    <row r="8" spans="1:16" x14ac:dyDescent="0.35">
      <c r="A8" s="1"/>
      <c r="B8" s="5"/>
      <c r="C8" s="25" t="s">
        <v>682</v>
      </c>
      <c r="D8" s="25" t="s">
        <v>259</v>
      </c>
      <c r="E8" s="25" t="s">
        <v>516</v>
      </c>
      <c r="F8" s="25" t="s">
        <v>688</v>
      </c>
      <c r="G8" s="25">
        <v>549</v>
      </c>
      <c r="H8" s="90" t="s">
        <v>684</v>
      </c>
      <c r="I8" s="76"/>
      <c r="J8" s="25">
        <v>12.410399999999999</v>
      </c>
      <c r="K8" s="25" t="s">
        <v>685</v>
      </c>
      <c r="L8" s="25" t="s">
        <v>686</v>
      </c>
      <c r="M8" s="25">
        <v>100</v>
      </c>
      <c r="N8" s="25">
        <v>9135000000</v>
      </c>
      <c r="O8" s="1"/>
      <c r="P8" s="1"/>
    </row>
    <row r="9" spans="1:16" x14ac:dyDescent="0.35">
      <c r="A9" s="1"/>
      <c r="B9" s="5"/>
      <c r="C9" s="25" t="s">
        <v>682</v>
      </c>
      <c r="D9" s="25" t="s">
        <v>259</v>
      </c>
      <c r="E9" s="25" t="s">
        <v>516</v>
      </c>
      <c r="F9" s="25" t="s">
        <v>688</v>
      </c>
      <c r="G9" s="25">
        <v>549</v>
      </c>
      <c r="H9" s="90" t="s">
        <v>684</v>
      </c>
      <c r="I9" s="76"/>
      <c r="J9" s="25">
        <v>12.456</v>
      </c>
      <c r="K9" s="25" t="s">
        <v>685</v>
      </c>
      <c r="L9" s="25" t="s">
        <v>686</v>
      </c>
      <c r="M9" s="25">
        <v>100</v>
      </c>
      <c r="N9" s="25">
        <v>3000000000</v>
      </c>
      <c r="O9" s="1"/>
      <c r="P9" s="1"/>
    </row>
    <row r="10" spans="1:16" x14ac:dyDescent="0.35">
      <c r="A10" s="1"/>
      <c r="B10" s="5"/>
      <c r="C10" s="25" t="s">
        <v>682</v>
      </c>
      <c r="D10" s="25" t="s">
        <v>259</v>
      </c>
      <c r="E10" s="25" t="s">
        <v>516</v>
      </c>
      <c r="F10" s="25" t="s">
        <v>688</v>
      </c>
      <c r="G10" s="25">
        <v>549</v>
      </c>
      <c r="H10" s="90" t="s">
        <v>684</v>
      </c>
      <c r="I10" s="76"/>
      <c r="J10" s="25">
        <v>13.4138</v>
      </c>
      <c r="K10" s="25" t="s">
        <v>685</v>
      </c>
      <c r="L10" s="25" t="s">
        <v>687</v>
      </c>
      <c r="M10" s="25">
        <v>100</v>
      </c>
      <c r="N10" s="25">
        <v>600000000</v>
      </c>
      <c r="O10" s="1"/>
      <c r="P10" s="1"/>
    </row>
    <row r="11" spans="1:16" x14ac:dyDescent="0.35">
      <c r="A11" s="1"/>
      <c r="B11" s="5"/>
      <c r="C11" s="25" t="s">
        <v>682</v>
      </c>
      <c r="D11" s="25" t="s">
        <v>259</v>
      </c>
      <c r="E11" s="25" t="s">
        <v>516</v>
      </c>
      <c r="F11" s="25" t="s">
        <v>689</v>
      </c>
      <c r="G11" s="25">
        <v>731</v>
      </c>
      <c r="H11" s="90" t="s">
        <v>684</v>
      </c>
      <c r="I11" s="76"/>
      <c r="J11" s="25">
        <v>13.788500000000001</v>
      </c>
      <c r="K11" s="25" t="s">
        <v>685</v>
      </c>
      <c r="L11" s="25" t="s">
        <v>687</v>
      </c>
      <c r="M11" s="25">
        <v>100</v>
      </c>
      <c r="N11" s="25">
        <v>2365000000</v>
      </c>
      <c r="O11" s="1"/>
      <c r="P11" s="1"/>
    </row>
    <row r="12" spans="1:16" x14ac:dyDescent="0.35">
      <c r="A12" s="1"/>
      <c r="B12" s="5"/>
      <c r="C12" s="25" t="s">
        <v>690</v>
      </c>
      <c r="D12" s="25" t="s">
        <v>691</v>
      </c>
      <c r="E12" s="25" t="s">
        <v>516</v>
      </c>
      <c r="F12" s="25" t="s">
        <v>692</v>
      </c>
      <c r="G12" s="25">
        <v>184</v>
      </c>
      <c r="H12" s="90" t="s">
        <v>684</v>
      </c>
      <c r="I12" s="76"/>
      <c r="J12" s="25">
        <v>12.132</v>
      </c>
      <c r="K12" s="25" t="s">
        <v>685</v>
      </c>
      <c r="L12" s="25" t="s">
        <v>687</v>
      </c>
      <c r="M12" s="25">
        <v>100</v>
      </c>
      <c r="N12" s="25">
        <v>200300000</v>
      </c>
      <c r="O12" s="1"/>
      <c r="P12" s="1"/>
    </row>
    <row r="13" spans="1:16" x14ac:dyDescent="0.35">
      <c r="A13" s="1"/>
      <c r="B13" s="5"/>
      <c r="C13" s="25" t="s">
        <v>693</v>
      </c>
      <c r="D13" s="25" t="s">
        <v>318</v>
      </c>
      <c r="E13" s="25" t="s">
        <v>516</v>
      </c>
      <c r="F13" s="25" t="s">
        <v>694</v>
      </c>
      <c r="G13" s="25">
        <v>274</v>
      </c>
      <c r="H13" s="90" t="s">
        <v>695</v>
      </c>
      <c r="I13" s="76"/>
      <c r="J13" s="25">
        <v>0.55000000000000004</v>
      </c>
      <c r="K13" s="25" t="s">
        <v>685</v>
      </c>
      <c r="L13" s="25" t="s">
        <v>696</v>
      </c>
      <c r="M13" s="25">
        <v>100</v>
      </c>
      <c r="N13" s="25">
        <v>30000000000</v>
      </c>
      <c r="O13" s="1"/>
      <c r="P13" s="1"/>
    </row>
    <row r="14" spans="1:16" x14ac:dyDescent="0.35">
      <c r="A14" s="1"/>
      <c r="B14" s="5"/>
      <c r="C14" s="25" t="s">
        <v>697</v>
      </c>
      <c r="D14" s="25" t="s">
        <v>318</v>
      </c>
      <c r="E14" s="25" t="s">
        <v>516</v>
      </c>
      <c r="F14" s="25" t="s">
        <v>683</v>
      </c>
      <c r="G14" s="25">
        <v>365</v>
      </c>
      <c r="H14" s="90" t="s">
        <v>684</v>
      </c>
      <c r="I14" s="76"/>
      <c r="J14" s="25">
        <v>12.410399999999999</v>
      </c>
      <c r="K14" s="25" t="s">
        <v>685</v>
      </c>
      <c r="L14" s="25" t="s">
        <v>686</v>
      </c>
      <c r="M14" s="25">
        <v>100</v>
      </c>
      <c r="N14" s="25">
        <v>10000000000</v>
      </c>
      <c r="O14" s="1"/>
      <c r="P14" s="1"/>
    </row>
    <row r="15" spans="1:16" x14ac:dyDescent="0.35">
      <c r="A15" s="1"/>
      <c r="B15" s="5"/>
      <c r="C15" s="25" t="s">
        <v>697</v>
      </c>
      <c r="D15" s="25" t="s">
        <v>318</v>
      </c>
      <c r="E15" s="25" t="s">
        <v>516</v>
      </c>
      <c r="F15" s="25" t="s">
        <v>683</v>
      </c>
      <c r="G15" s="25">
        <v>365</v>
      </c>
      <c r="H15" s="90" t="s">
        <v>684</v>
      </c>
      <c r="I15" s="76"/>
      <c r="J15" s="25">
        <v>13</v>
      </c>
      <c r="K15" s="25" t="s">
        <v>685</v>
      </c>
      <c r="L15" s="25" t="s">
        <v>687</v>
      </c>
      <c r="M15" s="25">
        <v>100</v>
      </c>
      <c r="N15" s="25">
        <v>12000000000</v>
      </c>
      <c r="O15" s="1"/>
      <c r="P15" s="1"/>
    </row>
    <row r="16" spans="1:16" x14ac:dyDescent="0.35">
      <c r="A16" s="1"/>
      <c r="B16" s="5"/>
      <c r="C16" s="25" t="s">
        <v>697</v>
      </c>
      <c r="D16" s="25" t="s">
        <v>318</v>
      </c>
      <c r="E16" s="25" t="s">
        <v>516</v>
      </c>
      <c r="F16" s="25" t="s">
        <v>688</v>
      </c>
      <c r="G16" s="25">
        <v>549</v>
      </c>
      <c r="H16" s="90" t="s">
        <v>684</v>
      </c>
      <c r="I16" s="76"/>
      <c r="J16" s="25">
        <v>12.456</v>
      </c>
      <c r="K16" s="25" t="s">
        <v>685</v>
      </c>
      <c r="L16" s="25" t="s">
        <v>686</v>
      </c>
      <c r="M16" s="25">
        <v>100</v>
      </c>
      <c r="N16" s="25">
        <v>17000000000</v>
      </c>
      <c r="O16" s="1"/>
      <c r="P16" s="1"/>
    </row>
    <row r="17" spans="1:16" x14ac:dyDescent="0.35">
      <c r="A17" s="1"/>
      <c r="B17" s="5"/>
      <c r="C17" s="25" t="s">
        <v>698</v>
      </c>
      <c r="D17" s="25" t="s">
        <v>699</v>
      </c>
      <c r="E17" s="25" t="s">
        <v>516</v>
      </c>
      <c r="F17" s="25" t="s">
        <v>692</v>
      </c>
      <c r="G17" s="25">
        <v>184</v>
      </c>
      <c r="H17" s="90" t="s">
        <v>684</v>
      </c>
      <c r="I17" s="76"/>
      <c r="J17" s="25">
        <v>11.8363</v>
      </c>
      <c r="K17" s="25" t="s">
        <v>685</v>
      </c>
      <c r="L17" s="25" t="s">
        <v>696</v>
      </c>
      <c r="M17" s="25">
        <v>100</v>
      </c>
      <c r="N17" s="25">
        <v>500000000</v>
      </c>
      <c r="O17" s="1"/>
      <c r="P17" s="1"/>
    </row>
    <row r="18" spans="1:16" x14ac:dyDescent="0.35">
      <c r="A18" s="1"/>
      <c r="B18" s="5"/>
      <c r="C18" s="25" t="s">
        <v>698</v>
      </c>
      <c r="D18" s="25" t="s">
        <v>699</v>
      </c>
      <c r="E18" s="25" t="s">
        <v>516</v>
      </c>
      <c r="F18" s="25" t="s">
        <v>692</v>
      </c>
      <c r="G18" s="25">
        <v>184</v>
      </c>
      <c r="H18" s="90" t="s">
        <v>684</v>
      </c>
      <c r="I18" s="76"/>
      <c r="J18" s="25">
        <v>12.037699999999999</v>
      </c>
      <c r="K18" s="25" t="s">
        <v>685</v>
      </c>
      <c r="L18" s="25" t="s">
        <v>687</v>
      </c>
      <c r="M18" s="25">
        <v>100</v>
      </c>
      <c r="N18" s="25">
        <v>500000000</v>
      </c>
      <c r="O18" s="1"/>
      <c r="P18" s="1"/>
    </row>
    <row r="19" spans="1:16" x14ac:dyDescent="0.35">
      <c r="A19" s="1"/>
      <c r="B19" s="5"/>
      <c r="C19" s="25" t="s">
        <v>698</v>
      </c>
      <c r="D19" s="25" t="s">
        <v>699</v>
      </c>
      <c r="E19" s="25" t="s">
        <v>516</v>
      </c>
      <c r="F19" s="25" t="s">
        <v>694</v>
      </c>
      <c r="G19" s="25">
        <v>274</v>
      </c>
      <c r="H19" s="90" t="s">
        <v>684</v>
      </c>
      <c r="I19" s="76"/>
      <c r="J19" s="25">
        <v>12.993399999999999</v>
      </c>
      <c r="K19" s="25" t="s">
        <v>685</v>
      </c>
      <c r="L19" s="25" t="s">
        <v>687</v>
      </c>
      <c r="M19" s="25">
        <v>100</v>
      </c>
      <c r="N19" s="25">
        <v>1044000000</v>
      </c>
      <c r="O19" s="1"/>
      <c r="P19" s="1"/>
    </row>
    <row r="20" spans="1:16" x14ac:dyDescent="0.35">
      <c r="A20" s="1"/>
      <c r="B20" s="5"/>
      <c r="C20" s="25" t="s">
        <v>698</v>
      </c>
      <c r="D20" s="25" t="s">
        <v>699</v>
      </c>
      <c r="E20" s="25" t="s">
        <v>516</v>
      </c>
      <c r="F20" s="25" t="s">
        <v>683</v>
      </c>
      <c r="G20" s="25">
        <v>365</v>
      </c>
      <c r="H20" s="90" t="s">
        <v>684</v>
      </c>
      <c r="I20" s="76"/>
      <c r="J20" s="25">
        <v>13.1</v>
      </c>
      <c r="K20" s="25" t="s">
        <v>685</v>
      </c>
      <c r="L20" s="25" t="s">
        <v>700</v>
      </c>
      <c r="M20" s="25">
        <v>100</v>
      </c>
      <c r="N20" s="25">
        <v>1000000000</v>
      </c>
      <c r="O20" s="1"/>
      <c r="P20" s="1"/>
    </row>
    <row r="21" spans="1:16" x14ac:dyDescent="0.35">
      <c r="A21" s="1"/>
      <c r="B21" s="5"/>
      <c r="C21" s="25" t="s">
        <v>698</v>
      </c>
      <c r="D21" s="25" t="s">
        <v>699</v>
      </c>
      <c r="E21" s="25" t="s">
        <v>516</v>
      </c>
      <c r="F21" s="25" t="s">
        <v>683</v>
      </c>
      <c r="G21" s="25">
        <v>365</v>
      </c>
      <c r="H21" s="90" t="s">
        <v>684</v>
      </c>
      <c r="I21" s="76"/>
      <c r="J21" s="25">
        <v>13.4</v>
      </c>
      <c r="K21" s="25" t="s">
        <v>685</v>
      </c>
      <c r="L21" s="25" t="s">
        <v>687</v>
      </c>
      <c r="M21" s="25">
        <v>100</v>
      </c>
      <c r="N21" s="25">
        <v>301000000</v>
      </c>
      <c r="O21" s="1"/>
      <c r="P21" s="1"/>
    </row>
    <row r="22" spans="1:16" x14ac:dyDescent="0.35">
      <c r="A22" s="1"/>
      <c r="B22" s="5"/>
      <c r="C22" s="25" t="s">
        <v>701</v>
      </c>
      <c r="D22" s="25" t="s">
        <v>702</v>
      </c>
      <c r="E22" s="25" t="s">
        <v>516</v>
      </c>
      <c r="F22" s="25" t="s">
        <v>703</v>
      </c>
      <c r="G22" s="25">
        <v>243</v>
      </c>
      <c r="H22" s="90" t="s">
        <v>695</v>
      </c>
      <c r="I22" s="76"/>
      <c r="J22" s="25">
        <v>0.4</v>
      </c>
      <c r="K22" s="25" t="s">
        <v>685</v>
      </c>
      <c r="L22" s="25" t="s">
        <v>696</v>
      </c>
      <c r="M22" s="25">
        <v>100</v>
      </c>
      <c r="N22" s="25">
        <v>55000000000</v>
      </c>
      <c r="O22" s="1"/>
      <c r="P22" s="1"/>
    </row>
    <row r="23" spans="1:16" x14ac:dyDescent="0.35">
      <c r="A23" s="1"/>
      <c r="B23" s="5"/>
      <c r="C23" s="25" t="s">
        <v>701</v>
      </c>
      <c r="D23" s="25" t="s">
        <v>702</v>
      </c>
      <c r="E23" s="25" t="s">
        <v>516</v>
      </c>
      <c r="F23" s="25" t="s">
        <v>694</v>
      </c>
      <c r="G23" s="25">
        <v>274</v>
      </c>
      <c r="H23" s="90" t="s">
        <v>695</v>
      </c>
      <c r="I23" s="76"/>
      <c r="J23" s="25">
        <v>0.45</v>
      </c>
      <c r="K23" s="25" t="s">
        <v>685</v>
      </c>
      <c r="L23" s="25" t="s">
        <v>696</v>
      </c>
      <c r="M23" s="25">
        <v>100</v>
      </c>
      <c r="N23" s="25">
        <v>17000000000</v>
      </c>
      <c r="O23" s="1"/>
      <c r="P23" s="1"/>
    </row>
    <row r="24" spans="1:16" x14ac:dyDescent="0.35">
      <c r="A24" s="1"/>
      <c r="B24" s="5"/>
      <c r="C24" s="25" t="s">
        <v>701</v>
      </c>
      <c r="D24" s="25" t="s">
        <v>702</v>
      </c>
      <c r="E24" s="25" t="s">
        <v>516</v>
      </c>
      <c r="F24" s="25" t="s">
        <v>694</v>
      </c>
      <c r="G24" s="25">
        <v>274</v>
      </c>
      <c r="H24" s="90" t="s">
        <v>695</v>
      </c>
      <c r="I24" s="76"/>
      <c r="J24" s="25">
        <v>0.5</v>
      </c>
      <c r="K24" s="25" t="s">
        <v>685</v>
      </c>
      <c r="L24" s="25" t="s">
        <v>696</v>
      </c>
      <c r="M24" s="25">
        <v>100</v>
      </c>
      <c r="N24" s="25">
        <v>4000000000</v>
      </c>
      <c r="O24" s="1"/>
      <c r="P24" s="1"/>
    </row>
    <row r="25" spans="1:16" x14ac:dyDescent="0.35">
      <c r="A25" s="1"/>
      <c r="B25" s="5"/>
      <c r="C25" s="25" t="s">
        <v>701</v>
      </c>
      <c r="D25" s="25" t="s">
        <v>702</v>
      </c>
      <c r="E25" s="25" t="s">
        <v>516</v>
      </c>
      <c r="F25" s="25" t="s">
        <v>704</v>
      </c>
      <c r="G25" s="25">
        <v>427</v>
      </c>
      <c r="H25" s="90" t="s">
        <v>695</v>
      </c>
      <c r="I25" s="76"/>
      <c r="J25" s="25">
        <v>1</v>
      </c>
      <c r="K25" s="25" t="s">
        <v>685</v>
      </c>
      <c r="L25" s="25" t="s">
        <v>696</v>
      </c>
      <c r="M25" s="25">
        <v>100</v>
      </c>
      <c r="N25" s="25">
        <v>45000000000</v>
      </c>
      <c r="O25" s="1"/>
      <c r="P25" s="1"/>
    </row>
    <row r="26" spans="1:16" x14ac:dyDescent="0.35">
      <c r="A26" s="1"/>
      <c r="B26" s="5"/>
      <c r="C26" s="25" t="s">
        <v>701</v>
      </c>
      <c r="D26" s="25" t="s">
        <v>702</v>
      </c>
      <c r="E26" s="25" t="s">
        <v>516</v>
      </c>
      <c r="F26" s="25" t="s">
        <v>704</v>
      </c>
      <c r="G26" s="25">
        <v>427</v>
      </c>
      <c r="H26" s="90" t="s">
        <v>695</v>
      </c>
      <c r="I26" s="76"/>
      <c r="J26" s="25">
        <v>1.05</v>
      </c>
      <c r="K26" s="25" t="s">
        <v>685</v>
      </c>
      <c r="L26" s="25" t="s">
        <v>696</v>
      </c>
      <c r="M26" s="25">
        <v>100</v>
      </c>
      <c r="N26" s="25">
        <v>6500000000</v>
      </c>
      <c r="O26" s="1"/>
      <c r="P26" s="1"/>
    </row>
    <row r="27" spans="1:16" x14ac:dyDescent="0.35">
      <c r="A27" s="1"/>
      <c r="B27" s="5"/>
      <c r="C27" s="25" t="s">
        <v>701</v>
      </c>
      <c r="D27" s="25" t="s">
        <v>702</v>
      </c>
      <c r="E27" s="25" t="s">
        <v>516</v>
      </c>
      <c r="F27" s="25" t="s">
        <v>705</v>
      </c>
      <c r="G27" s="25">
        <v>457</v>
      </c>
      <c r="H27" s="90" t="s">
        <v>695</v>
      </c>
      <c r="I27" s="76"/>
      <c r="J27" s="25">
        <v>1.1000000000000001</v>
      </c>
      <c r="K27" s="25" t="s">
        <v>685</v>
      </c>
      <c r="L27" s="25" t="s">
        <v>696</v>
      </c>
      <c r="M27" s="25">
        <v>100</v>
      </c>
      <c r="N27" s="25">
        <v>20550000000</v>
      </c>
      <c r="O27" s="1"/>
      <c r="P27" s="1"/>
    </row>
    <row r="28" spans="1:16" x14ac:dyDescent="0.35">
      <c r="A28" s="1"/>
      <c r="B28" s="5"/>
      <c r="C28" s="25" t="s">
        <v>701</v>
      </c>
      <c r="D28" s="25" t="s">
        <v>702</v>
      </c>
      <c r="E28" s="25" t="s">
        <v>516</v>
      </c>
      <c r="F28" s="25" t="s">
        <v>705</v>
      </c>
      <c r="G28" s="25">
        <v>457</v>
      </c>
      <c r="H28" s="90" t="s">
        <v>695</v>
      </c>
      <c r="I28" s="76"/>
      <c r="J28" s="25">
        <v>1.1499999999999999</v>
      </c>
      <c r="K28" s="25" t="s">
        <v>685</v>
      </c>
      <c r="L28" s="25" t="s">
        <v>696</v>
      </c>
      <c r="M28" s="25">
        <v>100</v>
      </c>
      <c r="N28" s="25">
        <v>5000000000</v>
      </c>
      <c r="O28" s="1"/>
      <c r="P28" s="1"/>
    </row>
    <row r="29" spans="1:16" x14ac:dyDescent="0.35">
      <c r="A29" s="1"/>
      <c r="B29" s="5"/>
      <c r="C29" s="25" t="s">
        <v>701</v>
      </c>
      <c r="D29" s="25" t="s">
        <v>702</v>
      </c>
      <c r="E29" s="25" t="s">
        <v>516</v>
      </c>
      <c r="F29" s="25" t="s">
        <v>688</v>
      </c>
      <c r="G29" s="25">
        <v>549</v>
      </c>
      <c r="H29" s="90" t="s">
        <v>695</v>
      </c>
      <c r="I29" s="76"/>
      <c r="J29" s="25">
        <v>1.2</v>
      </c>
      <c r="K29" s="25" t="s">
        <v>685</v>
      </c>
      <c r="L29" s="25" t="s">
        <v>696</v>
      </c>
      <c r="M29" s="25">
        <v>100</v>
      </c>
      <c r="N29" s="25">
        <v>81000000000</v>
      </c>
      <c r="O29" s="1"/>
      <c r="P29" s="1"/>
    </row>
    <row r="30" spans="1:16" x14ac:dyDescent="0.35">
      <c r="A30" s="1"/>
      <c r="B30" s="5"/>
      <c r="C30" s="25" t="s">
        <v>701</v>
      </c>
      <c r="D30" s="25" t="s">
        <v>702</v>
      </c>
      <c r="E30" s="25" t="s">
        <v>516</v>
      </c>
      <c r="F30" s="25" t="s">
        <v>689</v>
      </c>
      <c r="G30" s="25">
        <v>731</v>
      </c>
      <c r="H30" s="90" t="s">
        <v>695</v>
      </c>
      <c r="I30" s="76"/>
      <c r="J30" s="25">
        <v>1.35</v>
      </c>
      <c r="K30" s="25" t="s">
        <v>685</v>
      </c>
      <c r="L30" s="25" t="s">
        <v>696</v>
      </c>
      <c r="M30" s="25">
        <v>100</v>
      </c>
      <c r="N30" s="25">
        <v>10000000000</v>
      </c>
      <c r="O30" s="1"/>
      <c r="P30" s="1"/>
    </row>
    <row r="31" spans="1:16" x14ac:dyDescent="0.35">
      <c r="A31" s="1"/>
      <c r="B31" s="5"/>
      <c r="C31" s="25" t="s">
        <v>706</v>
      </c>
      <c r="D31" s="25" t="s">
        <v>702</v>
      </c>
      <c r="E31" s="25" t="s">
        <v>516</v>
      </c>
      <c r="F31" s="25" t="s">
        <v>704</v>
      </c>
      <c r="G31" s="25">
        <v>427</v>
      </c>
      <c r="H31" s="90" t="s">
        <v>695</v>
      </c>
      <c r="I31" s="76"/>
      <c r="J31" s="25">
        <v>1.05</v>
      </c>
      <c r="K31" s="25" t="s">
        <v>685</v>
      </c>
      <c r="L31" s="25" t="s">
        <v>696</v>
      </c>
      <c r="M31" s="25">
        <v>100</v>
      </c>
      <c r="N31" s="25">
        <v>40000000000</v>
      </c>
      <c r="O31" s="1"/>
      <c r="P31" s="1"/>
    </row>
    <row r="32" spans="1:16" x14ac:dyDescent="0.35">
      <c r="A32" s="1"/>
      <c r="B32" s="5"/>
      <c r="C32" s="25" t="s">
        <v>707</v>
      </c>
      <c r="D32" s="25" t="s">
        <v>708</v>
      </c>
      <c r="E32" s="25" t="s">
        <v>516</v>
      </c>
      <c r="F32" s="25" t="s">
        <v>694</v>
      </c>
      <c r="G32" s="25">
        <v>274</v>
      </c>
      <c r="H32" s="90" t="s">
        <v>684</v>
      </c>
      <c r="I32" s="76"/>
      <c r="J32" s="25">
        <v>12.2735</v>
      </c>
      <c r="K32" s="25" t="s">
        <v>685</v>
      </c>
      <c r="L32" s="25" t="s">
        <v>686</v>
      </c>
      <c r="M32" s="25">
        <v>100</v>
      </c>
      <c r="N32" s="25">
        <v>10000000000</v>
      </c>
      <c r="O32" s="1"/>
      <c r="P32" s="1"/>
    </row>
    <row r="33" spans="1:16" x14ac:dyDescent="0.35">
      <c r="A33" s="1"/>
      <c r="B33" s="5"/>
      <c r="C33" s="25" t="s">
        <v>709</v>
      </c>
      <c r="D33" s="25" t="s">
        <v>710</v>
      </c>
      <c r="E33" s="25" t="s">
        <v>516</v>
      </c>
      <c r="F33" s="25" t="s">
        <v>692</v>
      </c>
      <c r="G33" s="25">
        <v>184</v>
      </c>
      <c r="H33" s="90" t="s">
        <v>684</v>
      </c>
      <c r="I33" s="76"/>
      <c r="J33" s="25">
        <v>11.770200000000001</v>
      </c>
      <c r="K33" s="25" t="s">
        <v>685</v>
      </c>
      <c r="L33" s="25" t="s">
        <v>686</v>
      </c>
      <c r="M33" s="25">
        <v>100</v>
      </c>
      <c r="N33" s="25">
        <v>282000000</v>
      </c>
      <c r="O33" s="1"/>
      <c r="P33" s="1"/>
    </row>
    <row r="34" spans="1:16" x14ac:dyDescent="0.35">
      <c r="A34" s="1"/>
      <c r="B34" s="5"/>
      <c r="C34" s="25" t="s">
        <v>709</v>
      </c>
      <c r="D34" s="25" t="s">
        <v>710</v>
      </c>
      <c r="E34" s="25" t="s">
        <v>516</v>
      </c>
      <c r="F34" s="25" t="s">
        <v>683</v>
      </c>
      <c r="G34" s="25">
        <v>365</v>
      </c>
      <c r="H34" s="90" t="s">
        <v>684</v>
      </c>
      <c r="I34" s="76"/>
      <c r="J34" s="25">
        <v>12.6838</v>
      </c>
      <c r="K34" s="25" t="s">
        <v>685</v>
      </c>
      <c r="L34" s="25" t="s">
        <v>686</v>
      </c>
      <c r="M34" s="25">
        <v>100</v>
      </c>
      <c r="N34" s="25">
        <v>211000000</v>
      </c>
      <c r="O34" s="1"/>
      <c r="P34" s="1"/>
    </row>
    <row r="35" spans="1:16" x14ac:dyDescent="0.35">
      <c r="A35" s="1"/>
      <c r="B35" s="5"/>
      <c r="C35" s="25" t="s">
        <v>711</v>
      </c>
      <c r="D35" s="25" t="s">
        <v>712</v>
      </c>
      <c r="E35" s="25" t="s">
        <v>516</v>
      </c>
      <c r="F35" s="25" t="s">
        <v>683</v>
      </c>
      <c r="G35" s="25">
        <v>365</v>
      </c>
      <c r="H35" s="90" t="s">
        <v>684</v>
      </c>
      <c r="I35" s="76"/>
      <c r="J35" s="25">
        <v>13.2</v>
      </c>
      <c r="K35" s="25" t="s">
        <v>685</v>
      </c>
      <c r="L35" s="25" t="s">
        <v>687</v>
      </c>
      <c r="M35" s="25">
        <v>100</v>
      </c>
      <c r="N35" s="25">
        <v>200000000</v>
      </c>
      <c r="O35" s="1"/>
      <c r="P35" s="1"/>
    </row>
    <row r="36" spans="1:16" x14ac:dyDescent="0.35">
      <c r="A36" s="1"/>
      <c r="B36" s="5"/>
      <c r="C36" s="25" t="s">
        <v>713</v>
      </c>
      <c r="D36" s="25" t="s">
        <v>327</v>
      </c>
      <c r="E36" s="25" t="s">
        <v>516</v>
      </c>
      <c r="F36" s="25" t="s">
        <v>683</v>
      </c>
      <c r="G36" s="25">
        <v>365</v>
      </c>
      <c r="H36" s="90" t="s">
        <v>695</v>
      </c>
      <c r="I36" s="76"/>
      <c r="J36" s="25">
        <v>0.7</v>
      </c>
      <c r="K36" s="25" t="s">
        <v>685</v>
      </c>
      <c r="L36" s="25" t="s">
        <v>696</v>
      </c>
      <c r="M36" s="25">
        <v>100</v>
      </c>
      <c r="N36" s="25">
        <v>59900000000</v>
      </c>
      <c r="O36" s="1"/>
      <c r="P36" s="1"/>
    </row>
    <row r="37" spans="1:16" x14ac:dyDescent="0.35">
      <c r="A37" s="1"/>
      <c r="B37" s="5"/>
      <c r="C37" s="25" t="s">
        <v>714</v>
      </c>
      <c r="D37" s="25" t="s">
        <v>327</v>
      </c>
      <c r="E37" s="25" t="s">
        <v>516</v>
      </c>
      <c r="F37" s="25" t="s">
        <v>688</v>
      </c>
      <c r="G37" s="25">
        <v>549</v>
      </c>
      <c r="H37" s="90" t="s">
        <v>715</v>
      </c>
      <c r="I37" s="76"/>
      <c r="J37" s="25">
        <v>6.15</v>
      </c>
      <c r="K37" s="25" t="s">
        <v>685</v>
      </c>
      <c r="L37" s="25" t="s">
        <v>686</v>
      </c>
      <c r="M37" s="25">
        <v>100</v>
      </c>
      <c r="N37" s="25">
        <v>15500000000</v>
      </c>
      <c r="O37" s="1"/>
      <c r="P37" s="1"/>
    </row>
    <row r="38" spans="1:16" x14ac:dyDescent="0.35">
      <c r="A38" s="1"/>
      <c r="B38" s="5"/>
      <c r="C38" s="25" t="s">
        <v>714</v>
      </c>
      <c r="D38" s="25" t="s">
        <v>327</v>
      </c>
      <c r="E38" s="25" t="s">
        <v>516</v>
      </c>
      <c r="F38" s="25" t="s">
        <v>689</v>
      </c>
      <c r="G38" s="25">
        <v>731</v>
      </c>
      <c r="H38" s="90" t="s">
        <v>715</v>
      </c>
      <c r="I38" s="76"/>
      <c r="J38" s="25">
        <v>6.05</v>
      </c>
      <c r="K38" s="25" t="s">
        <v>685</v>
      </c>
      <c r="L38" s="25" t="s">
        <v>686</v>
      </c>
      <c r="M38" s="25">
        <v>100</v>
      </c>
      <c r="N38" s="25">
        <v>700000000</v>
      </c>
      <c r="O38" s="1"/>
      <c r="P38" s="1"/>
    </row>
    <row r="39" spans="1:16" x14ac:dyDescent="0.35">
      <c r="A39" s="1"/>
      <c r="B39" s="5"/>
      <c r="C39" s="25" t="s">
        <v>714</v>
      </c>
      <c r="D39" s="25" t="s">
        <v>327</v>
      </c>
      <c r="E39" s="25" t="s">
        <v>516</v>
      </c>
      <c r="F39" s="25" t="s">
        <v>689</v>
      </c>
      <c r="G39" s="25">
        <v>731</v>
      </c>
      <c r="H39" s="90" t="s">
        <v>715</v>
      </c>
      <c r="I39" s="76"/>
      <c r="J39" s="25">
        <v>6.2</v>
      </c>
      <c r="K39" s="25" t="s">
        <v>685</v>
      </c>
      <c r="L39" s="25" t="s">
        <v>686</v>
      </c>
      <c r="M39" s="25">
        <v>100</v>
      </c>
      <c r="N39" s="25">
        <v>104200000000</v>
      </c>
      <c r="O39" s="1"/>
      <c r="P39" s="1"/>
    </row>
    <row r="40" spans="1:16" x14ac:dyDescent="0.35">
      <c r="A40" s="1"/>
      <c r="B40" s="5"/>
      <c r="C40" s="25" t="s">
        <v>716</v>
      </c>
      <c r="D40" s="25" t="s">
        <v>327</v>
      </c>
      <c r="E40" s="25" t="s">
        <v>516</v>
      </c>
      <c r="F40" s="25" t="s">
        <v>717</v>
      </c>
      <c r="G40" s="25">
        <v>92</v>
      </c>
      <c r="H40" s="90" t="s">
        <v>684</v>
      </c>
      <c r="I40" s="76"/>
      <c r="J40" s="25">
        <v>9.8780000000000001</v>
      </c>
      <c r="K40" s="25" t="s">
        <v>685</v>
      </c>
      <c r="L40" s="25" t="s">
        <v>687</v>
      </c>
      <c r="M40" s="25">
        <v>100</v>
      </c>
      <c r="N40" s="25">
        <v>500000000</v>
      </c>
      <c r="O40" s="1"/>
      <c r="P40" s="1"/>
    </row>
    <row r="41" spans="1:16" x14ac:dyDescent="0.35">
      <c r="A41" s="1"/>
      <c r="B41" s="5"/>
      <c r="C41" s="25" t="s">
        <v>716</v>
      </c>
      <c r="D41" s="25" t="s">
        <v>327</v>
      </c>
      <c r="E41" s="25" t="s">
        <v>516</v>
      </c>
      <c r="F41" s="25" t="s">
        <v>718</v>
      </c>
      <c r="G41" s="25">
        <v>123</v>
      </c>
      <c r="H41" s="90" t="s">
        <v>684</v>
      </c>
      <c r="I41" s="76"/>
      <c r="J41" s="25">
        <v>10.9458</v>
      </c>
      <c r="K41" s="25" t="s">
        <v>685</v>
      </c>
      <c r="L41" s="25" t="s">
        <v>687</v>
      </c>
      <c r="M41" s="25">
        <v>100</v>
      </c>
      <c r="N41" s="25">
        <v>1200000000</v>
      </c>
      <c r="O41" s="1"/>
      <c r="P41" s="1"/>
    </row>
    <row r="42" spans="1:16" x14ac:dyDescent="0.35">
      <c r="A42" s="1"/>
      <c r="B42" s="5"/>
      <c r="C42" s="25" t="s">
        <v>716</v>
      </c>
      <c r="D42" s="25" t="s">
        <v>327</v>
      </c>
      <c r="E42" s="25" t="s">
        <v>516</v>
      </c>
      <c r="F42" s="25" t="s">
        <v>718</v>
      </c>
      <c r="G42" s="25">
        <v>123</v>
      </c>
      <c r="H42" s="90" t="s">
        <v>684</v>
      </c>
      <c r="I42" s="76"/>
      <c r="J42" s="25">
        <v>11.0853</v>
      </c>
      <c r="K42" s="25" t="s">
        <v>685</v>
      </c>
      <c r="L42" s="25" t="s">
        <v>687</v>
      </c>
      <c r="M42" s="25">
        <v>100</v>
      </c>
      <c r="N42" s="25">
        <v>19519758000</v>
      </c>
      <c r="O42" s="1"/>
      <c r="P42" s="1"/>
    </row>
    <row r="43" spans="1:16" x14ac:dyDescent="0.35">
      <c r="A43" s="1"/>
      <c r="B43" s="5"/>
      <c r="C43" s="25" t="s">
        <v>716</v>
      </c>
      <c r="D43" s="25" t="s">
        <v>327</v>
      </c>
      <c r="E43" s="25" t="s">
        <v>516</v>
      </c>
      <c r="F43" s="25" t="s">
        <v>692</v>
      </c>
      <c r="G43" s="25">
        <v>184</v>
      </c>
      <c r="H43" s="90" t="s">
        <v>684</v>
      </c>
      <c r="I43" s="76"/>
      <c r="J43" s="25">
        <v>11.5656</v>
      </c>
      <c r="K43" s="25" t="s">
        <v>685</v>
      </c>
      <c r="L43" s="25" t="s">
        <v>687</v>
      </c>
      <c r="M43" s="25">
        <v>100</v>
      </c>
      <c r="N43" s="25">
        <v>500000000</v>
      </c>
      <c r="O43" s="1"/>
      <c r="P43" s="1"/>
    </row>
    <row r="44" spans="1:16" x14ac:dyDescent="0.35">
      <c r="A44" s="1"/>
      <c r="B44" s="5"/>
      <c r="C44" s="25" t="s">
        <v>716</v>
      </c>
      <c r="D44" s="25" t="s">
        <v>327</v>
      </c>
      <c r="E44" s="25" t="s">
        <v>516</v>
      </c>
      <c r="F44" s="25" t="s">
        <v>692</v>
      </c>
      <c r="G44" s="25">
        <v>184</v>
      </c>
      <c r="H44" s="90" t="s">
        <v>684</v>
      </c>
      <c r="I44" s="76"/>
      <c r="J44" s="25">
        <v>11.8018</v>
      </c>
      <c r="K44" s="25" t="s">
        <v>685</v>
      </c>
      <c r="L44" s="25" t="s">
        <v>687</v>
      </c>
      <c r="M44" s="25">
        <v>100</v>
      </c>
      <c r="N44" s="25">
        <v>240597362</v>
      </c>
      <c r="O44" s="1"/>
      <c r="P44" s="1"/>
    </row>
    <row r="45" spans="1:16" x14ac:dyDescent="0.35">
      <c r="A45" s="1"/>
      <c r="B45" s="5"/>
      <c r="C45" s="25" t="s">
        <v>716</v>
      </c>
      <c r="D45" s="25" t="s">
        <v>327</v>
      </c>
      <c r="E45" s="25" t="s">
        <v>516</v>
      </c>
      <c r="F45" s="25" t="s">
        <v>719</v>
      </c>
      <c r="G45" s="25">
        <v>215</v>
      </c>
      <c r="H45" s="90" t="s">
        <v>684</v>
      </c>
      <c r="I45" s="76"/>
      <c r="J45" s="25">
        <v>11.2385</v>
      </c>
      <c r="K45" s="25" t="s">
        <v>685</v>
      </c>
      <c r="L45" s="25" t="s">
        <v>687</v>
      </c>
      <c r="M45" s="25">
        <v>100</v>
      </c>
      <c r="N45" s="25">
        <v>100000000</v>
      </c>
      <c r="O45" s="1"/>
      <c r="P45" s="1"/>
    </row>
    <row r="46" spans="1:16" x14ac:dyDescent="0.35">
      <c r="A46" s="1"/>
      <c r="B46" s="5"/>
      <c r="C46" s="25" t="s">
        <v>716</v>
      </c>
      <c r="D46" s="25" t="s">
        <v>327</v>
      </c>
      <c r="E46" s="25" t="s">
        <v>516</v>
      </c>
      <c r="F46" s="25" t="s">
        <v>683</v>
      </c>
      <c r="G46" s="25">
        <v>365</v>
      </c>
      <c r="H46" s="90" t="s">
        <v>684</v>
      </c>
      <c r="I46" s="76"/>
      <c r="J46" s="25">
        <v>11.8619</v>
      </c>
      <c r="K46" s="25" t="s">
        <v>685</v>
      </c>
      <c r="L46" s="25" t="s">
        <v>686</v>
      </c>
      <c r="M46" s="25">
        <v>100</v>
      </c>
      <c r="N46" s="25">
        <v>800000000</v>
      </c>
      <c r="O46" s="1"/>
      <c r="P46" s="1"/>
    </row>
    <row r="47" spans="1:16" x14ac:dyDescent="0.35">
      <c r="A47" s="1"/>
      <c r="B47" s="5"/>
      <c r="C47" s="25" t="s">
        <v>716</v>
      </c>
      <c r="D47" s="25" t="s">
        <v>327</v>
      </c>
      <c r="E47" s="25" t="s">
        <v>516</v>
      </c>
      <c r="F47" s="25" t="s">
        <v>683</v>
      </c>
      <c r="G47" s="25">
        <v>365</v>
      </c>
      <c r="H47" s="90" t="s">
        <v>684</v>
      </c>
      <c r="I47" s="76"/>
      <c r="J47" s="25">
        <v>11.9534</v>
      </c>
      <c r="K47" s="25" t="s">
        <v>685</v>
      </c>
      <c r="L47" s="25" t="s">
        <v>686</v>
      </c>
      <c r="M47" s="25">
        <v>100</v>
      </c>
      <c r="N47" s="25">
        <v>250000000</v>
      </c>
      <c r="O47" s="1"/>
      <c r="P47" s="1"/>
    </row>
    <row r="48" spans="1:16" x14ac:dyDescent="0.35">
      <c r="A48" s="1"/>
      <c r="B48" s="5"/>
      <c r="C48" s="25" t="s">
        <v>716</v>
      </c>
      <c r="D48" s="25" t="s">
        <v>327</v>
      </c>
      <c r="E48" s="25" t="s">
        <v>516</v>
      </c>
      <c r="F48" s="25" t="s">
        <v>683</v>
      </c>
      <c r="G48" s="25">
        <v>365</v>
      </c>
      <c r="H48" s="90" t="s">
        <v>684</v>
      </c>
      <c r="I48" s="76"/>
      <c r="J48" s="25">
        <v>12.2735</v>
      </c>
      <c r="K48" s="25" t="s">
        <v>685</v>
      </c>
      <c r="L48" s="25" t="s">
        <v>686</v>
      </c>
      <c r="M48" s="25">
        <v>100</v>
      </c>
      <c r="N48" s="25">
        <v>500000000</v>
      </c>
      <c r="O48" s="1"/>
      <c r="P48" s="1"/>
    </row>
    <row r="49" spans="1:16" x14ac:dyDescent="0.35">
      <c r="A49" s="1"/>
      <c r="B49" s="5"/>
      <c r="C49" s="25" t="s">
        <v>716</v>
      </c>
      <c r="D49" s="25" t="s">
        <v>327</v>
      </c>
      <c r="E49" s="25" t="s">
        <v>516</v>
      </c>
      <c r="F49" s="25" t="s">
        <v>683</v>
      </c>
      <c r="G49" s="25">
        <v>365</v>
      </c>
      <c r="H49" s="90" t="s">
        <v>684</v>
      </c>
      <c r="I49" s="76"/>
      <c r="J49" s="25">
        <v>12.5</v>
      </c>
      <c r="K49" s="25" t="s">
        <v>685</v>
      </c>
      <c r="L49" s="25" t="s">
        <v>687</v>
      </c>
      <c r="M49" s="25">
        <v>100</v>
      </c>
      <c r="N49" s="25">
        <v>220000000</v>
      </c>
      <c r="O49" s="1"/>
      <c r="P49" s="1"/>
    </row>
    <row r="50" spans="1:16" x14ac:dyDescent="0.35">
      <c r="A50" s="1"/>
      <c r="B50" s="5"/>
      <c r="C50" s="25" t="s">
        <v>716</v>
      </c>
      <c r="D50" s="25" t="s">
        <v>327</v>
      </c>
      <c r="E50" s="25" t="s">
        <v>516</v>
      </c>
      <c r="F50" s="25" t="s">
        <v>683</v>
      </c>
      <c r="G50" s="25">
        <v>365</v>
      </c>
      <c r="H50" s="90" t="s">
        <v>684</v>
      </c>
      <c r="I50" s="76"/>
      <c r="J50" s="25">
        <v>12.7</v>
      </c>
      <c r="K50" s="25" t="s">
        <v>685</v>
      </c>
      <c r="L50" s="25" t="s">
        <v>687</v>
      </c>
      <c r="M50" s="25">
        <v>100</v>
      </c>
      <c r="N50" s="25">
        <v>148000000</v>
      </c>
      <c r="O50" s="1"/>
      <c r="P50" s="1"/>
    </row>
    <row r="51" spans="1:16" x14ac:dyDescent="0.35">
      <c r="A51" s="1"/>
      <c r="B51" s="5"/>
      <c r="C51" s="25" t="s">
        <v>720</v>
      </c>
      <c r="D51" s="25" t="s">
        <v>721</v>
      </c>
      <c r="E51" s="25" t="s">
        <v>516</v>
      </c>
      <c r="F51" s="25" t="s">
        <v>683</v>
      </c>
      <c r="G51" s="25">
        <v>365</v>
      </c>
      <c r="H51" s="90" t="s">
        <v>684</v>
      </c>
      <c r="I51" s="76"/>
      <c r="J51" s="25">
        <v>13</v>
      </c>
      <c r="K51" s="25" t="s">
        <v>685</v>
      </c>
      <c r="L51" s="25" t="s">
        <v>687</v>
      </c>
      <c r="M51" s="25">
        <v>100</v>
      </c>
      <c r="N51" s="25">
        <v>605370822</v>
      </c>
      <c r="O51" s="1"/>
      <c r="P51" s="1"/>
    </row>
    <row r="52" spans="1:16" x14ac:dyDescent="0.35">
      <c r="A52" s="1"/>
      <c r="B52" s="5"/>
      <c r="C52" s="25" t="s">
        <v>722</v>
      </c>
      <c r="D52" s="25" t="s">
        <v>723</v>
      </c>
      <c r="E52" s="25" t="s">
        <v>516</v>
      </c>
      <c r="F52" s="25" t="s">
        <v>694</v>
      </c>
      <c r="G52" s="25">
        <v>274</v>
      </c>
      <c r="H52" s="90" t="s">
        <v>684</v>
      </c>
      <c r="I52" s="76"/>
      <c r="J52" s="25">
        <v>12.410399999999999</v>
      </c>
      <c r="K52" s="25" t="s">
        <v>685</v>
      </c>
      <c r="L52" s="25" t="s">
        <v>686</v>
      </c>
      <c r="M52" s="25">
        <v>100</v>
      </c>
      <c r="N52" s="25">
        <v>234100000</v>
      </c>
      <c r="O52" s="1"/>
      <c r="P52" s="1"/>
    </row>
    <row r="53" spans="1:16" x14ac:dyDescent="0.35">
      <c r="A53" s="1"/>
      <c r="B53" s="5"/>
      <c r="C53" s="25" t="s">
        <v>724</v>
      </c>
      <c r="D53" s="25" t="s">
        <v>725</v>
      </c>
      <c r="E53" s="25" t="s">
        <v>516</v>
      </c>
      <c r="F53" s="25" t="s">
        <v>717</v>
      </c>
      <c r="G53" s="25">
        <v>92</v>
      </c>
      <c r="H53" s="90" t="s">
        <v>684</v>
      </c>
      <c r="I53" s="76"/>
      <c r="J53" s="25">
        <v>11.3111</v>
      </c>
      <c r="K53" s="25" t="s">
        <v>685</v>
      </c>
      <c r="L53" s="25" t="s">
        <v>686</v>
      </c>
      <c r="M53" s="25">
        <v>100</v>
      </c>
      <c r="N53" s="25">
        <v>8000000000</v>
      </c>
      <c r="O53" s="1"/>
      <c r="P53" s="1"/>
    </row>
    <row r="54" spans="1:16" x14ac:dyDescent="0.35">
      <c r="A54" s="1"/>
      <c r="B54" s="5"/>
      <c r="C54" s="25" t="s">
        <v>724</v>
      </c>
      <c r="D54" s="25" t="s">
        <v>725</v>
      </c>
      <c r="E54" s="25" t="s">
        <v>516</v>
      </c>
      <c r="F54" s="25" t="s">
        <v>726</v>
      </c>
      <c r="G54" s="25">
        <v>153</v>
      </c>
      <c r="H54" s="90" t="s">
        <v>684</v>
      </c>
      <c r="I54" s="76"/>
      <c r="J54" s="25">
        <v>11.8386</v>
      </c>
      <c r="K54" s="25" t="s">
        <v>685</v>
      </c>
      <c r="L54" s="25" t="s">
        <v>687</v>
      </c>
      <c r="M54" s="25">
        <v>100</v>
      </c>
      <c r="N54" s="25">
        <v>23500000000</v>
      </c>
      <c r="O54" s="1"/>
      <c r="P54" s="1"/>
    </row>
    <row r="55" spans="1:16" x14ac:dyDescent="0.35">
      <c r="A55" s="1"/>
      <c r="B55" s="5"/>
      <c r="C55" s="25" t="s">
        <v>724</v>
      </c>
      <c r="D55" s="25" t="s">
        <v>725</v>
      </c>
      <c r="E55" s="25" t="s">
        <v>516</v>
      </c>
      <c r="F55" s="25" t="s">
        <v>692</v>
      </c>
      <c r="G55" s="25">
        <v>184</v>
      </c>
      <c r="H55" s="90" t="s">
        <v>684</v>
      </c>
      <c r="I55" s="76"/>
      <c r="J55" s="25">
        <v>11.724399999999999</v>
      </c>
      <c r="K55" s="25" t="s">
        <v>685</v>
      </c>
      <c r="L55" s="25" t="s">
        <v>686</v>
      </c>
      <c r="M55" s="25">
        <v>100</v>
      </c>
      <c r="N55" s="25">
        <v>1100000000</v>
      </c>
      <c r="O55" s="1"/>
      <c r="P55" s="1"/>
    </row>
    <row r="56" spans="1:16" x14ac:dyDescent="0.35">
      <c r="A56" s="1"/>
      <c r="B56" s="5"/>
      <c r="C56" s="25" t="s">
        <v>724</v>
      </c>
      <c r="D56" s="25" t="s">
        <v>725</v>
      </c>
      <c r="E56" s="25" t="s">
        <v>516</v>
      </c>
      <c r="F56" s="25" t="s">
        <v>692</v>
      </c>
      <c r="G56" s="25">
        <v>184</v>
      </c>
      <c r="H56" s="90" t="s">
        <v>684</v>
      </c>
      <c r="I56" s="76"/>
      <c r="J56" s="25">
        <v>11.8619</v>
      </c>
      <c r="K56" s="25" t="s">
        <v>685</v>
      </c>
      <c r="L56" s="25" t="s">
        <v>686</v>
      </c>
      <c r="M56" s="25">
        <v>100</v>
      </c>
      <c r="N56" s="25">
        <v>500000000</v>
      </c>
      <c r="O56" s="1"/>
      <c r="P56" s="1"/>
    </row>
    <row r="57" spans="1:16" x14ac:dyDescent="0.35">
      <c r="A57" s="1"/>
      <c r="B57" s="5"/>
      <c r="C57" s="25" t="s">
        <v>724</v>
      </c>
      <c r="D57" s="25" t="s">
        <v>725</v>
      </c>
      <c r="E57" s="25" t="s">
        <v>516</v>
      </c>
      <c r="F57" s="25" t="s">
        <v>705</v>
      </c>
      <c r="G57" s="25">
        <v>457</v>
      </c>
      <c r="H57" s="90" t="s">
        <v>684</v>
      </c>
      <c r="I57" s="76"/>
      <c r="J57" s="25">
        <v>12.456</v>
      </c>
      <c r="K57" s="25" t="s">
        <v>685</v>
      </c>
      <c r="L57" s="25" t="s">
        <v>686</v>
      </c>
      <c r="M57" s="25">
        <v>100</v>
      </c>
      <c r="N57" s="25">
        <v>15000000000</v>
      </c>
      <c r="O57" s="1"/>
      <c r="P57" s="1"/>
    </row>
    <row r="58" spans="1:16" x14ac:dyDescent="0.35">
      <c r="A58" s="1"/>
      <c r="B58" s="5"/>
      <c r="C58" s="25" t="s">
        <v>724</v>
      </c>
      <c r="D58" s="25" t="s">
        <v>725</v>
      </c>
      <c r="E58" s="25" t="s">
        <v>516</v>
      </c>
      <c r="F58" s="25" t="s">
        <v>688</v>
      </c>
      <c r="G58" s="25">
        <v>549</v>
      </c>
      <c r="H58" s="90" t="s">
        <v>684</v>
      </c>
      <c r="I58" s="76"/>
      <c r="J58" s="25">
        <v>12.364800000000001</v>
      </c>
      <c r="K58" s="25" t="s">
        <v>685</v>
      </c>
      <c r="L58" s="25" t="s">
        <v>686</v>
      </c>
      <c r="M58" s="25">
        <v>100</v>
      </c>
      <c r="N58" s="25">
        <v>1000000000</v>
      </c>
      <c r="O58" s="1"/>
      <c r="P58" s="1"/>
    </row>
    <row r="59" spans="1:16" x14ac:dyDescent="0.35">
      <c r="A59" s="1"/>
      <c r="B59" s="5"/>
      <c r="C59" s="25" t="s">
        <v>724</v>
      </c>
      <c r="D59" s="25" t="s">
        <v>725</v>
      </c>
      <c r="E59" s="25" t="s">
        <v>516</v>
      </c>
      <c r="F59" s="25" t="s">
        <v>688</v>
      </c>
      <c r="G59" s="25">
        <v>549</v>
      </c>
      <c r="H59" s="90" t="s">
        <v>684</v>
      </c>
      <c r="I59" s="76"/>
      <c r="J59" s="25">
        <v>12.5016</v>
      </c>
      <c r="K59" s="25" t="s">
        <v>685</v>
      </c>
      <c r="L59" s="25" t="s">
        <v>686</v>
      </c>
      <c r="M59" s="25">
        <v>100</v>
      </c>
      <c r="N59" s="25">
        <v>20000000000</v>
      </c>
      <c r="O59" s="1"/>
      <c r="P59" s="1"/>
    </row>
    <row r="60" spans="1:16" x14ac:dyDescent="0.35">
      <c r="A60" s="1"/>
      <c r="B60" s="5"/>
      <c r="C60" s="25" t="s">
        <v>727</v>
      </c>
      <c r="D60" s="25" t="s">
        <v>728</v>
      </c>
      <c r="E60" s="25" t="s">
        <v>516</v>
      </c>
      <c r="F60" s="25" t="s">
        <v>683</v>
      </c>
      <c r="G60" s="25">
        <v>365</v>
      </c>
      <c r="H60" s="90" t="s">
        <v>684</v>
      </c>
      <c r="I60" s="76"/>
      <c r="J60" s="25">
        <v>12.0449</v>
      </c>
      <c r="K60" s="25" t="s">
        <v>685</v>
      </c>
      <c r="L60" s="25" t="s">
        <v>686</v>
      </c>
      <c r="M60" s="25">
        <v>100</v>
      </c>
      <c r="N60" s="25">
        <v>26000000</v>
      </c>
      <c r="O60" s="1"/>
      <c r="P60" s="1"/>
    </row>
    <row r="61" spans="1:16" x14ac:dyDescent="0.35">
      <c r="A61" s="1"/>
      <c r="B61" s="5"/>
      <c r="C61" s="25" t="s">
        <v>729</v>
      </c>
      <c r="D61" s="25" t="s">
        <v>730</v>
      </c>
      <c r="E61" s="25" t="s">
        <v>516</v>
      </c>
      <c r="F61" s="25" t="s">
        <v>717</v>
      </c>
      <c r="G61" s="25">
        <v>92</v>
      </c>
      <c r="H61" s="90" t="s">
        <v>684</v>
      </c>
      <c r="I61" s="76"/>
      <c r="J61" s="25">
        <v>10.0174</v>
      </c>
      <c r="K61" s="25" t="s">
        <v>685</v>
      </c>
      <c r="L61" s="25" t="s">
        <v>687</v>
      </c>
      <c r="M61" s="25">
        <v>100</v>
      </c>
      <c r="N61" s="25">
        <v>43017743</v>
      </c>
      <c r="O61" s="1"/>
      <c r="P61" s="1"/>
    </row>
    <row r="62" spans="1:16" x14ac:dyDescent="0.35">
      <c r="A62" s="1"/>
      <c r="B62" s="5"/>
      <c r="C62" s="25" t="s">
        <v>729</v>
      </c>
      <c r="D62" s="25" t="s">
        <v>730</v>
      </c>
      <c r="E62" s="25" t="s">
        <v>516</v>
      </c>
      <c r="F62" s="25" t="s">
        <v>717</v>
      </c>
      <c r="G62" s="25">
        <v>92</v>
      </c>
      <c r="H62" s="90" t="s">
        <v>684</v>
      </c>
      <c r="I62" s="76"/>
      <c r="J62" s="25">
        <v>10.063800000000001</v>
      </c>
      <c r="K62" s="25" t="s">
        <v>685</v>
      </c>
      <c r="L62" s="25" t="s">
        <v>687</v>
      </c>
      <c r="M62" s="25">
        <v>100</v>
      </c>
      <c r="N62" s="25">
        <v>4691557465</v>
      </c>
      <c r="O62" s="1"/>
      <c r="P62" s="1"/>
    </row>
    <row r="63" spans="1:16" x14ac:dyDescent="0.35">
      <c r="A63" s="1"/>
      <c r="B63" s="5"/>
      <c r="C63" s="25" t="s">
        <v>729</v>
      </c>
      <c r="D63" s="25" t="s">
        <v>730</v>
      </c>
      <c r="E63" s="25" t="s">
        <v>516</v>
      </c>
      <c r="F63" s="25" t="s">
        <v>718</v>
      </c>
      <c r="G63" s="25">
        <v>123</v>
      </c>
      <c r="H63" s="90" t="s">
        <v>684</v>
      </c>
      <c r="I63" s="76"/>
      <c r="J63" s="25">
        <v>10.199299999999999</v>
      </c>
      <c r="K63" s="25" t="s">
        <v>685</v>
      </c>
      <c r="L63" s="25" t="s">
        <v>687</v>
      </c>
      <c r="M63" s="25">
        <v>100</v>
      </c>
      <c r="N63" s="25">
        <v>200000000</v>
      </c>
      <c r="O63" s="1"/>
      <c r="P63" s="1"/>
    </row>
    <row r="64" spans="1:16" x14ac:dyDescent="0.35">
      <c r="A64" s="1"/>
      <c r="B64" s="5"/>
      <c r="C64" s="25" t="s">
        <v>729</v>
      </c>
      <c r="D64" s="25" t="s">
        <v>730</v>
      </c>
      <c r="E64" s="25" t="s">
        <v>516</v>
      </c>
      <c r="F64" s="25" t="s">
        <v>731</v>
      </c>
      <c r="G64" s="25">
        <v>154</v>
      </c>
      <c r="H64" s="90" t="s">
        <v>684</v>
      </c>
      <c r="I64" s="76"/>
      <c r="J64" s="25">
        <v>10.5265</v>
      </c>
      <c r="K64" s="25" t="s">
        <v>685</v>
      </c>
      <c r="L64" s="25" t="s">
        <v>687</v>
      </c>
      <c r="M64" s="25">
        <v>100</v>
      </c>
      <c r="N64" s="25">
        <v>537161274</v>
      </c>
      <c r="O64" s="1"/>
      <c r="P64" s="1"/>
    </row>
    <row r="65" spans="1:16" x14ac:dyDescent="0.35">
      <c r="A65" s="1"/>
      <c r="B65" s="5"/>
      <c r="C65" s="25" t="s">
        <v>729</v>
      </c>
      <c r="D65" s="25" t="s">
        <v>730</v>
      </c>
      <c r="E65" s="25" t="s">
        <v>516</v>
      </c>
      <c r="F65" s="25" t="s">
        <v>692</v>
      </c>
      <c r="G65" s="25">
        <v>184</v>
      </c>
      <c r="H65" s="90" t="s">
        <v>684</v>
      </c>
      <c r="I65" s="76"/>
      <c r="J65" s="25">
        <v>10.902799999999999</v>
      </c>
      <c r="K65" s="25" t="s">
        <v>685</v>
      </c>
      <c r="L65" s="25" t="s">
        <v>687</v>
      </c>
      <c r="M65" s="25">
        <v>100</v>
      </c>
      <c r="N65" s="25">
        <v>56772311</v>
      </c>
      <c r="O65" s="1"/>
      <c r="P65" s="1"/>
    </row>
    <row r="66" spans="1:16" x14ac:dyDescent="0.35">
      <c r="A66" s="1"/>
      <c r="B66" s="5"/>
      <c r="C66" s="25" t="s">
        <v>729</v>
      </c>
      <c r="D66" s="25" t="s">
        <v>730</v>
      </c>
      <c r="E66" s="25" t="s">
        <v>516</v>
      </c>
      <c r="F66" s="25" t="s">
        <v>692</v>
      </c>
      <c r="G66" s="25">
        <v>184</v>
      </c>
      <c r="H66" s="90" t="s">
        <v>684</v>
      </c>
      <c r="I66" s="76"/>
      <c r="J66" s="25">
        <v>11.139799999999999</v>
      </c>
      <c r="K66" s="25" t="s">
        <v>685</v>
      </c>
      <c r="L66" s="25" t="s">
        <v>687</v>
      </c>
      <c r="M66" s="25">
        <v>100</v>
      </c>
      <c r="N66" s="25">
        <v>6740610631</v>
      </c>
      <c r="O66" s="1"/>
      <c r="P66" s="1"/>
    </row>
    <row r="67" spans="1:16" x14ac:dyDescent="0.35">
      <c r="A67" s="1"/>
      <c r="B67" s="5"/>
      <c r="C67" s="25" t="s">
        <v>729</v>
      </c>
      <c r="D67" s="25" t="s">
        <v>730</v>
      </c>
      <c r="E67" s="25" t="s">
        <v>516</v>
      </c>
      <c r="F67" s="25" t="s">
        <v>732</v>
      </c>
      <c r="G67" s="25">
        <v>217</v>
      </c>
      <c r="H67" s="90" t="s">
        <v>684</v>
      </c>
      <c r="I67" s="76"/>
      <c r="J67" s="25">
        <v>11.293200000000001</v>
      </c>
      <c r="K67" s="25" t="s">
        <v>685</v>
      </c>
      <c r="L67" s="25" t="s">
        <v>687</v>
      </c>
      <c r="M67" s="25">
        <v>100</v>
      </c>
      <c r="N67" s="25">
        <v>591537484</v>
      </c>
      <c r="O67" s="1"/>
      <c r="P67" s="1"/>
    </row>
    <row r="68" spans="1:16" x14ac:dyDescent="0.35">
      <c r="A68" s="1"/>
      <c r="B68" s="5"/>
      <c r="C68" s="25" t="s">
        <v>729</v>
      </c>
      <c r="D68" s="25" t="s">
        <v>730</v>
      </c>
      <c r="E68" s="25" t="s">
        <v>516</v>
      </c>
      <c r="F68" s="25" t="s">
        <v>733</v>
      </c>
      <c r="G68" s="25">
        <v>245</v>
      </c>
      <c r="H68" s="90" t="s">
        <v>684</v>
      </c>
      <c r="I68" s="76"/>
      <c r="J68" s="25">
        <v>11.4383</v>
      </c>
      <c r="K68" s="25" t="s">
        <v>685</v>
      </c>
      <c r="L68" s="25" t="s">
        <v>687</v>
      </c>
      <c r="M68" s="25">
        <v>100</v>
      </c>
      <c r="N68" s="25">
        <v>340340015</v>
      </c>
      <c r="O68" s="1"/>
      <c r="P68" s="1"/>
    </row>
    <row r="69" spans="1:16" x14ac:dyDescent="0.35">
      <c r="A69" s="1"/>
      <c r="B69" s="5"/>
      <c r="C69" s="25" t="s">
        <v>729</v>
      </c>
      <c r="D69" s="25" t="s">
        <v>730</v>
      </c>
      <c r="E69" s="25" t="s">
        <v>516</v>
      </c>
      <c r="F69" s="25" t="s">
        <v>694</v>
      </c>
      <c r="G69" s="25">
        <v>274</v>
      </c>
      <c r="H69" s="90" t="s">
        <v>684</v>
      </c>
      <c r="I69" s="76"/>
      <c r="J69" s="25">
        <v>11.5367</v>
      </c>
      <c r="K69" s="25" t="s">
        <v>685</v>
      </c>
      <c r="L69" s="25" t="s">
        <v>687</v>
      </c>
      <c r="M69" s="25">
        <v>100</v>
      </c>
      <c r="N69" s="25">
        <v>21212058</v>
      </c>
      <c r="O69" s="1"/>
      <c r="P69" s="1"/>
    </row>
    <row r="70" spans="1:16" x14ac:dyDescent="0.35">
      <c r="A70" s="1"/>
      <c r="B70" s="5"/>
      <c r="C70" s="25" t="s">
        <v>729</v>
      </c>
      <c r="D70" s="25" t="s">
        <v>730</v>
      </c>
      <c r="E70" s="25" t="s">
        <v>516</v>
      </c>
      <c r="F70" s="25" t="s">
        <v>683</v>
      </c>
      <c r="G70" s="25">
        <v>365</v>
      </c>
      <c r="H70" s="90" t="s">
        <v>684</v>
      </c>
      <c r="I70" s="76"/>
      <c r="J70" s="25">
        <v>11.770200000000001</v>
      </c>
      <c r="K70" s="25" t="s">
        <v>685</v>
      </c>
      <c r="L70" s="25" t="s">
        <v>686</v>
      </c>
      <c r="M70" s="25">
        <v>100</v>
      </c>
      <c r="N70" s="25">
        <v>2302852023</v>
      </c>
      <c r="O70" s="1"/>
      <c r="P70" s="1"/>
    </row>
    <row r="71" spans="1:16" x14ac:dyDescent="0.35">
      <c r="A71" s="1"/>
      <c r="B71" s="5"/>
      <c r="C71" s="25" t="s">
        <v>729</v>
      </c>
      <c r="D71" s="25" t="s">
        <v>730</v>
      </c>
      <c r="E71" s="25" t="s">
        <v>516</v>
      </c>
      <c r="F71" s="25" t="s">
        <v>683</v>
      </c>
      <c r="G71" s="25">
        <v>365</v>
      </c>
      <c r="H71" s="90" t="s">
        <v>684</v>
      </c>
      <c r="I71" s="76"/>
      <c r="J71" s="25">
        <v>12</v>
      </c>
      <c r="K71" s="25" t="s">
        <v>685</v>
      </c>
      <c r="L71" s="25" t="s">
        <v>687</v>
      </c>
      <c r="M71" s="25">
        <v>100</v>
      </c>
      <c r="N71" s="25">
        <v>46408294</v>
      </c>
      <c r="O71" s="1"/>
      <c r="P71" s="1"/>
    </row>
    <row r="72" spans="1:16" x14ac:dyDescent="0.35">
      <c r="A72" s="1"/>
      <c r="B72" s="5"/>
      <c r="C72" s="25" t="s">
        <v>729</v>
      </c>
      <c r="D72" s="25" t="s">
        <v>730</v>
      </c>
      <c r="E72" s="25" t="s">
        <v>516</v>
      </c>
      <c r="F72" s="25" t="s">
        <v>688</v>
      </c>
      <c r="G72" s="25">
        <v>549</v>
      </c>
      <c r="H72" s="90" t="s">
        <v>684</v>
      </c>
      <c r="I72" s="76"/>
      <c r="J72" s="25">
        <v>12.6708</v>
      </c>
      <c r="K72" s="25" t="s">
        <v>685</v>
      </c>
      <c r="L72" s="25" t="s">
        <v>687</v>
      </c>
      <c r="M72" s="25">
        <v>100</v>
      </c>
      <c r="N72" s="25">
        <v>12674000</v>
      </c>
      <c r="O72" s="1"/>
      <c r="P72" s="1"/>
    </row>
    <row r="73" spans="1:16" x14ac:dyDescent="0.35">
      <c r="A73" s="1"/>
      <c r="B73" s="9"/>
      <c r="C73" s="25" t="s">
        <v>734</v>
      </c>
      <c r="D73" s="25" t="s">
        <v>735</v>
      </c>
      <c r="E73" s="25" t="s">
        <v>516</v>
      </c>
      <c r="F73" s="25" t="s">
        <v>683</v>
      </c>
      <c r="G73" s="25">
        <v>365</v>
      </c>
      <c r="H73" s="90" t="s">
        <v>736</v>
      </c>
      <c r="I73" s="76"/>
      <c r="J73" s="25">
        <v>11.77</v>
      </c>
      <c r="K73" s="25" t="s">
        <v>685</v>
      </c>
      <c r="L73" s="25" t="s">
        <v>686</v>
      </c>
      <c r="M73" s="25">
        <v>100</v>
      </c>
      <c r="N73" s="25">
        <v>729656952000</v>
      </c>
      <c r="O73" s="1"/>
      <c r="P73" s="1"/>
    </row>
  </sheetData>
  <mergeCells count="70">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7"/>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737</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738</v>
      </c>
      <c r="E9" s="23" t="s">
        <v>739</v>
      </c>
      <c r="F9" s="23" t="s">
        <v>675</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740</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741</v>
      </c>
      <c r="H14" s="75"/>
      <c r="I14" s="75"/>
      <c r="J14" s="75"/>
      <c r="K14" s="75"/>
      <c r="L14" s="75"/>
      <c r="M14" s="75"/>
      <c r="N14" s="75"/>
      <c r="O14" s="75"/>
      <c r="P14" s="76"/>
      <c r="Q14" s="74" t="s">
        <v>742</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743</v>
      </c>
      <c r="J15" s="75"/>
      <c r="K15" s="75"/>
      <c r="L15" s="76"/>
      <c r="M15" s="92" t="s">
        <v>744</v>
      </c>
      <c r="N15" s="75"/>
      <c r="O15" s="75"/>
      <c r="P15" s="76"/>
      <c r="Q15" s="62" t="s">
        <v>5</v>
      </c>
      <c r="R15" s="62" t="s">
        <v>5</v>
      </c>
      <c r="S15" s="92" t="s">
        <v>743</v>
      </c>
      <c r="T15" s="75"/>
      <c r="U15" s="75"/>
      <c r="V15" s="76"/>
      <c r="W15" s="92" t="s">
        <v>744</v>
      </c>
      <c r="X15" s="75"/>
      <c r="Y15" s="75"/>
      <c r="Z15" s="76"/>
      <c r="AA15" s="1"/>
      <c r="AB15" s="1"/>
      <c r="AC15" s="1"/>
    </row>
    <row r="16" spans="1:29" x14ac:dyDescent="0.35">
      <c r="A16" s="1"/>
      <c r="B16" s="5"/>
      <c r="C16" s="23" t="s">
        <v>328</v>
      </c>
      <c r="D16" s="23" t="s">
        <v>738</v>
      </c>
      <c r="E16" s="23" t="s">
        <v>739</v>
      </c>
      <c r="F16" s="23" t="s">
        <v>675</v>
      </c>
      <c r="G16" s="23" t="s">
        <v>643</v>
      </c>
      <c r="H16" s="23" t="s">
        <v>641</v>
      </c>
      <c r="I16" s="23" t="s">
        <v>745</v>
      </c>
      <c r="J16" s="23" t="s">
        <v>746</v>
      </c>
      <c r="K16" s="23" t="s">
        <v>747</v>
      </c>
      <c r="L16" s="23" t="s">
        <v>748</v>
      </c>
      <c r="M16" s="23" t="s">
        <v>745</v>
      </c>
      <c r="N16" s="23" t="s">
        <v>746</v>
      </c>
      <c r="O16" s="23" t="s">
        <v>747</v>
      </c>
      <c r="P16" s="23" t="s">
        <v>748</v>
      </c>
      <c r="Q16" s="23" t="s">
        <v>643</v>
      </c>
      <c r="R16" s="23" t="s">
        <v>641</v>
      </c>
      <c r="S16" s="23" t="s">
        <v>745</v>
      </c>
      <c r="T16" s="23" t="s">
        <v>746</v>
      </c>
      <c r="U16" s="23" t="s">
        <v>747</v>
      </c>
      <c r="V16" s="23" t="s">
        <v>748</v>
      </c>
      <c r="W16" s="23" t="s">
        <v>745</v>
      </c>
      <c r="X16" s="23" t="s">
        <v>746</v>
      </c>
      <c r="Y16" s="23" t="s">
        <v>747</v>
      </c>
      <c r="Z16" s="23" t="s">
        <v>748</v>
      </c>
      <c r="AA16" s="1"/>
      <c r="AB16" s="1"/>
      <c r="AC16" s="1"/>
    </row>
    <row r="17" spans="1:29" x14ac:dyDescent="0.35">
      <c r="A17" s="1"/>
      <c r="B17" s="5"/>
      <c r="C17" s="25" t="s">
        <v>749</v>
      </c>
      <c r="D17" s="25" t="s">
        <v>750</v>
      </c>
      <c r="E17" s="25" t="s">
        <v>751</v>
      </c>
      <c r="F17" s="25" t="s">
        <v>752</v>
      </c>
      <c r="G17" s="50">
        <v>0</v>
      </c>
      <c r="H17" s="25"/>
      <c r="I17" s="25"/>
      <c r="J17" s="25"/>
      <c r="K17" s="25"/>
      <c r="L17" s="25"/>
      <c r="M17" s="25"/>
      <c r="N17" s="25"/>
      <c r="O17" s="25"/>
      <c r="P17" s="25"/>
      <c r="Q17" s="50">
        <v>501.85700000000003</v>
      </c>
      <c r="R17" s="50">
        <v>1</v>
      </c>
      <c r="S17" s="37">
        <v>12.201000213623001</v>
      </c>
      <c r="T17" s="37">
        <v>12.201000213623001</v>
      </c>
      <c r="U17" s="37">
        <v>12.201000213623001</v>
      </c>
      <c r="V17" s="37">
        <v>12.201000213623001</v>
      </c>
      <c r="W17" s="37">
        <v>100.37100219726599</v>
      </c>
      <c r="X17" s="37">
        <v>100.37100219726599</v>
      </c>
      <c r="Y17" s="37">
        <v>100.37100219726599</v>
      </c>
      <c r="Z17" s="37">
        <v>100.40299987793</v>
      </c>
      <c r="AA17" s="1"/>
      <c r="AB17" s="1"/>
      <c r="AC17" s="1"/>
    </row>
    <row r="18" spans="1:29" x14ac:dyDescent="0.35">
      <c r="A18" s="1"/>
      <c r="B18" s="5"/>
      <c r="C18" s="25" t="s">
        <v>753</v>
      </c>
      <c r="D18" s="25" t="s">
        <v>754</v>
      </c>
      <c r="E18" s="25" t="s">
        <v>755</v>
      </c>
      <c r="F18" s="25" t="s">
        <v>756</v>
      </c>
      <c r="G18" s="50">
        <v>0</v>
      </c>
      <c r="H18" s="25"/>
      <c r="I18" s="25"/>
      <c r="J18" s="25"/>
      <c r="K18" s="25"/>
      <c r="L18" s="25"/>
      <c r="M18" s="25"/>
      <c r="N18" s="25"/>
      <c r="O18" s="25"/>
      <c r="P18" s="25"/>
      <c r="Q18" s="50">
        <v>1017.135</v>
      </c>
      <c r="R18" s="50">
        <v>1</v>
      </c>
      <c r="S18" s="37">
        <v>12.5</v>
      </c>
      <c r="T18" s="37">
        <v>12.5</v>
      </c>
      <c r="U18" s="37">
        <v>12.5</v>
      </c>
      <c r="V18" s="37">
        <v>12.5</v>
      </c>
      <c r="W18" s="37">
        <v>101.712997436523</v>
      </c>
      <c r="X18" s="37">
        <v>101.712997436523</v>
      </c>
      <c r="Y18" s="37">
        <v>101.712997436523</v>
      </c>
      <c r="Z18" s="37">
        <v>102.17400360107401</v>
      </c>
      <c r="AA18" s="1"/>
      <c r="AB18" s="1"/>
      <c r="AC18" s="1"/>
    </row>
    <row r="19" spans="1:29" x14ac:dyDescent="0.35">
      <c r="A19" s="1"/>
      <c r="B19" s="5"/>
      <c r="C19" s="25" t="s">
        <v>757</v>
      </c>
      <c r="D19" s="25" t="s">
        <v>758</v>
      </c>
      <c r="E19" s="25" t="s">
        <v>759</v>
      </c>
      <c r="F19" s="25" t="s">
        <v>760</v>
      </c>
      <c r="G19" s="50">
        <v>2526.3000000000002</v>
      </c>
      <c r="H19" s="50">
        <v>1</v>
      </c>
      <c r="I19" s="37">
        <v>11.75</v>
      </c>
      <c r="J19" s="37">
        <v>11.75</v>
      </c>
      <c r="K19" s="37">
        <v>11.75</v>
      </c>
      <c r="L19" s="37">
        <v>11.75</v>
      </c>
      <c r="M19" s="37">
        <v>101.052001953125</v>
      </c>
      <c r="N19" s="37">
        <v>101.052001953125</v>
      </c>
      <c r="O19" s="37">
        <v>101.052001953125</v>
      </c>
      <c r="P19" s="37">
        <v>101.052001953125</v>
      </c>
      <c r="Q19" s="50">
        <v>0</v>
      </c>
      <c r="R19" s="25"/>
      <c r="S19" s="25"/>
      <c r="T19" s="25"/>
      <c r="U19" s="25"/>
      <c r="V19" s="25"/>
      <c r="W19" s="25"/>
      <c r="X19" s="25"/>
      <c r="Y19" s="25"/>
      <c r="Z19" s="25"/>
      <c r="AA19" s="1"/>
      <c r="AB19" s="1"/>
      <c r="AC19" s="1"/>
    </row>
    <row r="20" spans="1:29" x14ac:dyDescent="0.35">
      <c r="A20" s="1"/>
      <c r="B20" s="5"/>
      <c r="C20" s="25" t="s">
        <v>682</v>
      </c>
      <c r="D20" s="25" t="s">
        <v>761</v>
      </c>
      <c r="E20" s="25" t="s">
        <v>762</v>
      </c>
      <c r="F20" s="25" t="s">
        <v>763</v>
      </c>
      <c r="G20" s="50">
        <v>1029.94</v>
      </c>
      <c r="H20" s="50">
        <v>1</v>
      </c>
      <c r="I20" s="37">
        <v>13.1000003814697</v>
      </c>
      <c r="J20" s="37">
        <v>13.1000003814697</v>
      </c>
      <c r="K20" s="37">
        <v>13.1000003814697</v>
      </c>
      <c r="L20" s="37">
        <v>13.1000003814697</v>
      </c>
      <c r="M20" s="37">
        <v>102.994003295898</v>
      </c>
      <c r="N20" s="37">
        <v>102.994003295898</v>
      </c>
      <c r="O20" s="37">
        <v>102.994003295898</v>
      </c>
      <c r="P20" s="37">
        <v>102.994003295898</v>
      </c>
      <c r="Q20" s="50">
        <v>0</v>
      </c>
      <c r="R20" s="25"/>
      <c r="S20" s="25"/>
      <c r="T20" s="25"/>
      <c r="U20" s="25"/>
      <c r="V20" s="25"/>
      <c r="W20" s="25"/>
      <c r="X20" s="25"/>
      <c r="Y20" s="25"/>
      <c r="Z20" s="25"/>
      <c r="AA20" s="1"/>
      <c r="AB20" s="1"/>
      <c r="AC20" s="1"/>
    </row>
    <row r="21" spans="1:29" x14ac:dyDescent="0.35">
      <c r="A21" s="1"/>
      <c r="B21" s="5"/>
      <c r="C21" s="25" t="s">
        <v>682</v>
      </c>
      <c r="D21" s="25" t="s">
        <v>761</v>
      </c>
      <c r="E21" s="25" t="s">
        <v>764</v>
      </c>
      <c r="F21" s="25" t="s">
        <v>765</v>
      </c>
      <c r="G21" s="50">
        <v>0</v>
      </c>
      <c r="H21" s="25"/>
      <c r="I21" s="25"/>
      <c r="J21" s="25"/>
      <c r="K21" s="25"/>
      <c r="L21" s="25"/>
      <c r="M21" s="25"/>
      <c r="N21" s="25"/>
      <c r="O21" s="25"/>
      <c r="P21" s="25"/>
      <c r="Q21" s="50">
        <v>6399.9958569999999</v>
      </c>
      <c r="R21" s="50">
        <v>1</v>
      </c>
      <c r="S21" s="37">
        <v>11.8999996185303</v>
      </c>
      <c r="T21" s="37">
        <v>11.8999996185303</v>
      </c>
      <c r="U21" s="37">
        <v>11.8999996185303</v>
      </c>
      <c r="V21" s="37">
        <v>11.8999996185303</v>
      </c>
      <c r="W21" s="37">
        <v>98.305999755859403</v>
      </c>
      <c r="X21" s="37">
        <v>98.305999755859403</v>
      </c>
      <c r="Y21" s="37">
        <v>98.305999755859403</v>
      </c>
      <c r="Z21" s="37">
        <v>98.305999755859403</v>
      </c>
      <c r="AA21" s="1"/>
      <c r="AB21" s="1"/>
      <c r="AC21" s="1"/>
    </row>
    <row r="22" spans="1:29" x14ac:dyDescent="0.35">
      <c r="A22" s="1"/>
      <c r="B22" s="5"/>
      <c r="C22" s="25" t="s">
        <v>682</v>
      </c>
      <c r="D22" s="25" t="s">
        <v>761</v>
      </c>
      <c r="E22" s="25" t="s">
        <v>766</v>
      </c>
      <c r="F22" s="25" t="s">
        <v>767</v>
      </c>
      <c r="G22" s="50">
        <v>0</v>
      </c>
      <c r="H22" s="25"/>
      <c r="I22" s="25"/>
      <c r="J22" s="25"/>
      <c r="K22" s="25"/>
      <c r="L22" s="25"/>
      <c r="M22" s="25"/>
      <c r="N22" s="25"/>
      <c r="O22" s="25"/>
      <c r="P22" s="25"/>
      <c r="Q22" s="50">
        <v>5040.18</v>
      </c>
      <c r="R22" s="50">
        <v>1</v>
      </c>
      <c r="S22" s="37">
        <v>12.3999996185303</v>
      </c>
      <c r="T22" s="37">
        <v>12.3999996185303</v>
      </c>
      <c r="U22" s="37">
        <v>12.3999996185303</v>
      </c>
      <c r="V22" s="37">
        <v>12.3999996185303</v>
      </c>
      <c r="W22" s="37">
        <v>100.80300140380901</v>
      </c>
      <c r="X22" s="37">
        <v>100.80300140380901</v>
      </c>
      <c r="Y22" s="37">
        <v>100.80300140380901</v>
      </c>
      <c r="Z22" s="37">
        <v>100.80300140380901</v>
      </c>
      <c r="AA22" s="1"/>
      <c r="AB22" s="1"/>
      <c r="AC22" s="1"/>
    </row>
    <row r="23" spans="1:29" x14ac:dyDescent="0.35">
      <c r="A23" s="1"/>
      <c r="B23" s="5"/>
      <c r="C23" s="25" t="s">
        <v>682</v>
      </c>
      <c r="D23" s="25" t="s">
        <v>761</v>
      </c>
      <c r="E23" s="25" t="s">
        <v>768</v>
      </c>
      <c r="F23" s="25" t="s">
        <v>769</v>
      </c>
      <c r="G23" s="50">
        <v>0</v>
      </c>
      <c r="H23" s="25"/>
      <c r="I23" s="25"/>
      <c r="J23" s="25"/>
      <c r="K23" s="25"/>
      <c r="L23" s="25"/>
      <c r="M23" s="25"/>
      <c r="N23" s="25"/>
      <c r="O23" s="25"/>
      <c r="P23" s="25"/>
      <c r="Q23" s="50">
        <v>3251.413982</v>
      </c>
      <c r="R23" s="50">
        <v>2</v>
      </c>
      <c r="S23" s="37">
        <v>11.300000190734901</v>
      </c>
      <c r="T23" s="37">
        <v>11.8999996185303</v>
      </c>
      <c r="U23" s="37">
        <v>11.3344005813781</v>
      </c>
      <c r="V23" s="37">
        <v>11.300000190734901</v>
      </c>
      <c r="W23" s="37">
        <v>99.480003356933594</v>
      </c>
      <c r="X23" s="37">
        <v>99.480003356933594</v>
      </c>
      <c r="Y23" s="37">
        <v>99.480003356933594</v>
      </c>
      <c r="Z23" s="37">
        <v>99.480003356933594</v>
      </c>
      <c r="AA23" s="1"/>
      <c r="AB23" s="1"/>
      <c r="AC23" s="1"/>
    </row>
    <row r="24" spans="1:29" x14ac:dyDescent="0.35">
      <c r="A24" s="1"/>
      <c r="B24" s="5"/>
      <c r="C24" s="25" t="s">
        <v>682</v>
      </c>
      <c r="D24" s="25" t="s">
        <v>761</v>
      </c>
      <c r="E24" s="25" t="s">
        <v>768</v>
      </c>
      <c r="F24" s="25" t="s">
        <v>770</v>
      </c>
      <c r="G24" s="50">
        <v>0</v>
      </c>
      <c r="H24" s="25"/>
      <c r="I24" s="25"/>
      <c r="J24" s="25"/>
      <c r="K24" s="25"/>
      <c r="L24" s="25"/>
      <c r="M24" s="25"/>
      <c r="N24" s="25"/>
      <c r="O24" s="25"/>
      <c r="P24" s="25"/>
      <c r="Q24" s="50">
        <v>1483.6845000000001</v>
      </c>
      <c r="R24" s="50">
        <v>1</v>
      </c>
      <c r="S24" s="37">
        <v>12.25</v>
      </c>
      <c r="T24" s="37">
        <v>12.25</v>
      </c>
      <c r="U24" s="37">
        <v>12.25</v>
      </c>
      <c r="V24" s="37">
        <v>12.25</v>
      </c>
      <c r="W24" s="37">
        <v>98.912002563476605</v>
      </c>
      <c r="X24" s="37">
        <v>98.912002563476605</v>
      </c>
      <c r="Y24" s="37">
        <v>98.912002563476605</v>
      </c>
      <c r="Z24" s="37">
        <v>98.912002563476605</v>
      </c>
      <c r="AA24" s="1"/>
      <c r="AB24" s="1"/>
      <c r="AC24" s="1"/>
    </row>
    <row r="25" spans="1:29" x14ac:dyDescent="0.35">
      <c r="A25" s="1"/>
      <c r="B25" s="5"/>
      <c r="C25" s="25" t="s">
        <v>682</v>
      </c>
      <c r="D25" s="25" t="s">
        <v>761</v>
      </c>
      <c r="E25" s="25" t="s">
        <v>771</v>
      </c>
      <c r="F25" s="25" t="s">
        <v>772</v>
      </c>
      <c r="G25" s="50">
        <v>0</v>
      </c>
      <c r="H25" s="25"/>
      <c r="I25" s="25"/>
      <c r="J25" s="25"/>
      <c r="K25" s="25"/>
      <c r="L25" s="25"/>
      <c r="M25" s="25"/>
      <c r="N25" s="25"/>
      <c r="O25" s="25"/>
      <c r="P25" s="25"/>
      <c r="Q25" s="50">
        <v>2994.99</v>
      </c>
      <c r="R25" s="50">
        <v>1</v>
      </c>
      <c r="S25" s="37">
        <v>12.3999996185303</v>
      </c>
      <c r="T25" s="37">
        <v>12.3999996185303</v>
      </c>
      <c r="U25" s="37">
        <v>12.3999996185303</v>
      </c>
      <c r="V25" s="37">
        <v>12.3999996185303</v>
      </c>
      <c r="W25" s="37">
        <v>99.833000183105497</v>
      </c>
      <c r="X25" s="37">
        <v>99.833000183105497</v>
      </c>
      <c r="Y25" s="37">
        <v>99.833000183105497</v>
      </c>
      <c r="Z25" s="37">
        <v>99.833000183105497</v>
      </c>
      <c r="AA25" s="1"/>
      <c r="AB25" s="1"/>
      <c r="AC25" s="1"/>
    </row>
    <row r="26" spans="1:29" x14ac:dyDescent="0.35">
      <c r="A26" s="1"/>
      <c r="B26" s="5"/>
      <c r="C26" s="25" t="s">
        <v>682</v>
      </c>
      <c r="D26" s="25" t="s">
        <v>761</v>
      </c>
      <c r="E26" s="25" t="s">
        <v>498</v>
      </c>
      <c r="F26" s="25" t="s">
        <v>773</v>
      </c>
      <c r="G26" s="50">
        <v>0</v>
      </c>
      <c r="H26" s="25"/>
      <c r="I26" s="25"/>
      <c r="J26" s="25"/>
      <c r="K26" s="25"/>
      <c r="L26" s="25"/>
      <c r="M26" s="25"/>
      <c r="N26" s="25"/>
      <c r="O26" s="25"/>
      <c r="P26" s="25"/>
      <c r="Q26" s="50">
        <v>1015.221</v>
      </c>
      <c r="R26" s="50">
        <v>1</v>
      </c>
      <c r="S26" s="37">
        <v>12.25</v>
      </c>
      <c r="T26" s="37">
        <v>12.25</v>
      </c>
      <c r="U26" s="37">
        <v>12.25</v>
      </c>
      <c r="V26" s="37">
        <v>12.25</v>
      </c>
      <c r="W26" s="37">
        <v>101.522003173828</v>
      </c>
      <c r="X26" s="37">
        <v>101.522003173828</v>
      </c>
      <c r="Y26" s="37">
        <v>101.522003173828</v>
      </c>
      <c r="Z26" s="37">
        <v>101.522003173828</v>
      </c>
      <c r="AA26" s="1"/>
      <c r="AB26" s="1"/>
      <c r="AC26" s="1"/>
    </row>
    <row r="27" spans="1:29" x14ac:dyDescent="0.35">
      <c r="A27" s="1"/>
      <c r="B27" s="5"/>
      <c r="C27" s="25" t="s">
        <v>682</v>
      </c>
      <c r="D27" s="25" t="s">
        <v>761</v>
      </c>
      <c r="E27" s="25" t="s">
        <v>501</v>
      </c>
      <c r="F27" s="25" t="s">
        <v>774</v>
      </c>
      <c r="G27" s="50">
        <v>0</v>
      </c>
      <c r="H27" s="25"/>
      <c r="I27" s="25"/>
      <c r="J27" s="25"/>
      <c r="K27" s="25"/>
      <c r="L27" s="25"/>
      <c r="M27" s="25"/>
      <c r="N27" s="25"/>
      <c r="O27" s="25"/>
      <c r="P27" s="25"/>
      <c r="Q27" s="50">
        <v>4539.3525</v>
      </c>
      <c r="R27" s="50">
        <v>1</v>
      </c>
      <c r="S27" s="37">
        <v>12.1000003814697</v>
      </c>
      <c r="T27" s="37">
        <v>12.1000003814697</v>
      </c>
      <c r="U27" s="37">
        <v>12.1000003814697</v>
      </c>
      <c r="V27" s="37">
        <v>12.1000003814697</v>
      </c>
      <c r="W27" s="37">
        <v>100.87400054931599</v>
      </c>
      <c r="X27" s="37">
        <v>100.87400054931599</v>
      </c>
      <c r="Y27" s="37">
        <v>100.87400054931599</v>
      </c>
      <c r="Z27" s="37">
        <v>100.87400054931599</v>
      </c>
      <c r="AA27" s="1"/>
      <c r="AB27" s="1"/>
      <c r="AC27" s="1"/>
    </row>
    <row r="28" spans="1:29" x14ac:dyDescent="0.35">
      <c r="A28" s="1"/>
      <c r="B28" s="5"/>
      <c r="C28" s="25" t="s">
        <v>682</v>
      </c>
      <c r="D28" s="25" t="s">
        <v>761</v>
      </c>
      <c r="E28" s="25" t="s">
        <v>501</v>
      </c>
      <c r="F28" s="25" t="s">
        <v>775</v>
      </c>
      <c r="G28" s="50">
        <v>0</v>
      </c>
      <c r="H28" s="25"/>
      <c r="I28" s="25"/>
      <c r="J28" s="25"/>
      <c r="K28" s="25"/>
      <c r="L28" s="25"/>
      <c r="M28" s="25"/>
      <c r="N28" s="25"/>
      <c r="O28" s="25"/>
      <c r="P28" s="25"/>
      <c r="Q28" s="50">
        <v>145.186128</v>
      </c>
      <c r="R28" s="50">
        <v>1</v>
      </c>
      <c r="S28" s="37">
        <v>11.5</v>
      </c>
      <c r="T28" s="37">
        <v>11.5</v>
      </c>
      <c r="U28" s="37">
        <v>11.5</v>
      </c>
      <c r="V28" s="37">
        <v>11.5</v>
      </c>
      <c r="W28" s="37">
        <v>100.822998046875</v>
      </c>
      <c r="X28" s="37">
        <v>100.822998046875</v>
      </c>
      <c r="Y28" s="37">
        <v>100.822998046875</v>
      </c>
      <c r="Z28" s="37">
        <v>100.822998046875</v>
      </c>
      <c r="AA28" s="1"/>
      <c r="AB28" s="1"/>
      <c r="AC28" s="1"/>
    </row>
    <row r="29" spans="1:29" x14ac:dyDescent="0.35">
      <c r="A29" s="1"/>
      <c r="B29" s="5"/>
      <c r="C29" s="25" t="s">
        <v>682</v>
      </c>
      <c r="D29" s="25" t="s">
        <v>761</v>
      </c>
      <c r="E29" s="25" t="s">
        <v>511</v>
      </c>
      <c r="F29" s="25" t="s">
        <v>776</v>
      </c>
      <c r="G29" s="50">
        <v>0</v>
      </c>
      <c r="H29" s="25"/>
      <c r="I29" s="25"/>
      <c r="J29" s="25"/>
      <c r="K29" s="25"/>
      <c r="L29" s="25"/>
      <c r="M29" s="25"/>
      <c r="N29" s="25"/>
      <c r="O29" s="25"/>
      <c r="P29" s="25"/>
      <c r="Q29" s="50">
        <v>5015.3649999999998</v>
      </c>
      <c r="R29" s="50">
        <v>1</v>
      </c>
      <c r="S29" s="37">
        <v>12.001000404357899</v>
      </c>
      <c r="T29" s="37">
        <v>12.001000404357899</v>
      </c>
      <c r="U29" s="37">
        <v>12.001000404357899</v>
      </c>
      <c r="V29" s="37">
        <v>12.001000404357899</v>
      </c>
      <c r="W29" s="37">
        <v>100.306999206543</v>
      </c>
      <c r="X29" s="37">
        <v>100.306999206543</v>
      </c>
      <c r="Y29" s="37">
        <v>100.306999206543</v>
      </c>
      <c r="Z29" s="37">
        <v>100.306999206543</v>
      </c>
      <c r="AA29" s="1"/>
      <c r="AB29" s="1"/>
      <c r="AC29" s="1"/>
    </row>
    <row r="30" spans="1:29" x14ac:dyDescent="0.35">
      <c r="A30" s="1"/>
      <c r="B30" s="5"/>
      <c r="C30" s="25" t="s">
        <v>777</v>
      </c>
      <c r="D30" s="25" t="s">
        <v>761</v>
      </c>
      <c r="E30" s="25" t="s">
        <v>778</v>
      </c>
      <c r="F30" s="25" t="s">
        <v>779</v>
      </c>
      <c r="G30" s="50">
        <v>0</v>
      </c>
      <c r="H30" s="25"/>
      <c r="I30" s="25"/>
      <c r="J30" s="25"/>
      <c r="K30" s="25"/>
      <c r="L30" s="25"/>
      <c r="M30" s="25"/>
      <c r="N30" s="25"/>
      <c r="O30" s="25"/>
      <c r="P30" s="25"/>
      <c r="Q30" s="50">
        <v>2219.3820000000001</v>
      </c>
      <c r="R30" s="50">
        <v>1</v>
      </c>
      <c r="S30" s="37">
        <v>12.25</v>
      </c>
      <c r="T30" s="37">
        <v>12.25</v>
      </c>
      <c r="U30" s="37">
        <v>12.25</v>
      </c>
      <c r="V30" s="37">
        <v>12.25</v>
      </c>
      <c r="W30" s="37">
        <v>110.96900177002</v>
      </c>
      <c r="X30" s="37">
        <v>110.96900177002</v>
      </c>
      <c r="Y30" s="37">
        <v>110.96900177002</v>
      </c>
      <c r="Z30" s="37">
        <v>110.96900177002</v>
      </c>
      <c r="AA30" s="1"/>
      <c r="AB30" s="1"/>
      <c r="AC30" s="1"/>
    </row>
    <row r="31" spans="1:29" x14ac:dyDescent="0.35">
      <c r="A31" s="1"/>
      <c r="B31" s="5"/>
      <c r="C31" s="25" t="s">
        <v>777</v>
      </c>
      <c r="D31" s="25" t="s">
        <v>761</v>
      </c>
      <c r="E31" s="25" t="s">
        <v>780</v>
      </c>
      <c r="F31" s="25" t="s">
        <v>781</v>
      </c>
      <c r="G31" s="50">
        <v>0</v>
      </c>
      <c r="H31" s="25"/>
      <c r="I31" s="25"/>
      <c r="J31" s="25"/>
      <c r="K31" s="25"/>
      <c r="L31" s="25"/>
      <c r="M31" s="25"/>
      <c r="N31" s="25"/>
      <c r="O31" s="25"/>
      <c r="P31" s="25"/>
      <c r="Q31" s="50">
        <v>2096.654</v>
      </c>
      <c r="R31" s="50">
        <v>1</v>
      </c>
      <c r="S31" s="37">
        <v>12.25</v>
      </c>
      <c r="T31" s="37">
        <v>12.25</v>
      </c>
      <c r="U31" s="37">
        <v>12.25</v>
      </c>
      <c r="V31" s="37">
        <v>12.25</v>
      </c>
      <c r="W31" s="37">
        <v>104.832000732422</v>
      </c>
      <c r="X31" s="37">
        <v>104.832000732422</v>
      </c>
      <c r="Y31" s="37">
        <v>104.832000732422</v>
      </c>
      <c r="Z31" s="37">
        <v>104.832000732422</v>
      </c>
      <c r="AA31" s="1"/>
      <c r="AB31" s="1"/>
      <c r="AC31" s="1"/>
    </row>
    <row r="32" spans="1:29" x14ac:dyDescent="0.35">
      <c r="A32" s="1"/>
      <c r="B32" s="5"/>
      <c r="C32" s="25" t="s">
        <v>782</v>
      </c>
      <c r="D32" s="25" t="s">
        <v>761</v>
      </c>
      <c r="E32" s="25" t="s">
        <v>783</v>
      </c>
      <c r="F32" s="25" t="s">
        <v>784</v>
      </c>
      <c r="G32" s="50">
        <v>906.77099999999996</v>
      </c>
      <c r="H32" s="50">
        <v>5</v>
      </c>
      <c r="I32" s="37">
        <v>12.300000190734901</v>
      </c>
      <c r="J32" s="37">
        <v>13</v>
      </c>
      <c r="K32" s="37">
        <v>12.575000127156599</v>
      </c>
      <c r="L32" s="37">
        <v>13</v>
      </c>
      <c r="M32" s="37">
        <v>99.523002624511705</v>
      </c>
      <c r="N32" s="37">
        <v>101.56500244140599</v>
      </c>
      <c r="O32" s="37">
        <v>100.752334594727</v>
      </c>
      <c r="P32" s="37">
        <v>99.523002624511705</v>
      </c>
      <c r="Q32" s="50">
        <v>0</v>
      </c>
      <c r="R32" s="25"/>
      <c r="S32" s="25"/>
      <c r="T32" s="25"/>
      <c r="U32" s="25"/>
      <c r="V32" s="25"/>
      <c r="W32" s="25"/>
      <c r="X32" s="25"/>
      <c r="Y32" s="25"/>
      <c r="Z32" s="25"/>
      <c r="AA32" s="1"/>
      <c r="AB32" s="1"/>
      <c r="AC32" s="1"/>
    </row>
    <row r="33" spans="1:29" x14ac:dyDescent="0.35">
      <c r="A33" s="1"/>
      <c r="B33" s="5"/>
      <c r="C33" s="25" t="s">
        <v>782</v>
      </c>
      <c r="D33" s="25" t="s">
        <v>761</v>
      </c>
      <c r="E33" s="25" t="s">
        <v>785</v>
      </c>
      <c r="F33" s="25" t="s">
        <v>786</v>
      </c>
      <c r="G33" s="50">
        <v>0</v>
      </c>
      <c r="H33" s="25"/>
      <c r="I33" s="25"/>
      <c r="J33" s="25"/>
      <c r="K33" s="25"/>
      <c r="L33" s="25"/>
      <c r="M33" s="25"/>
      <c r="N33" s="25"/>
      <c r="O33" s="25"/>
      <c r="P33" s="25"/>
      <c r="Q33" s="50">
        <v>1494.7650000000001</v>
      </c>
      <c r="R33" s="50">
        <v>1</v>
      </c>
      <c r="S33" s="37">
        <v>12.25</v>
      </c>
      <c r="T33" s="37">
        <v>12.25</v>
      </c>
      <c r="U33" s="37">
        <v>12.25</v>
      </c>
      <c r="V33" s="37">
        <v>12.25</v>
      </c>
      <c r="W33" s="37">
        <v>99.6510009765625</v>
      </c>
      <c r="X33" s="37">
        <v>99.6510009765625</v>
      </c>
      <c r="Y33" s="37">
        <v>99.6510009765625</v>
      </c>
      <c r="Z33" s="37">
        <v>99.6510009765625</v>
      </c>
      <c r="AA33" s="1"/>
      <c r="AB33" s="1"/>
      <c r="AC33" s="1"/>
    </row>
    <row r="34" spans="1:29" x14ac:dyDescent="0.35">
      <c r="A34" s="1"/>
      <c r="B34" s="5"/>
      <c r="C34" s="25" t="s">
        <v>782</v>
      </c>
      <c r="D34" s="25" t="s">
        <v>761</v>
      </c>
      <c r="E34" s="25" t="s">
        <v>787</v>
      </c>
      <c r="F34" s="25" t="s">
        <v>788</v>
      </c>
      <c r="G34" s="50">
        <v>0</v>
      </c>
      <c r="H34" s="25"/>
      <c r="I34" s="25"/>
      <c r="J34" s="25"/>
      <c r="K34" s="25"/>
      <c r="L34" s="25"/>
      <c r="M34" s="25"/>
      <c r="N34" s="25"/>
      <c r="O34" s="25"/>
      <c r="P34" s="25"/>
      <c r="Q34" s="50">
        <v>3084.585</v>
      </c>
      <c r="R34" s="50">
        <v>1</v>
      </c>
      <c r="S34" s="37">
        <v>12.001000404357899</v>
      </c>
      <c r="T34" s="37">
        <v>12.001000404357899</v>
      </c>
      <c r="U34" s="37">
        <v>12.001000404357899</v>
      </c>
      <c r="V34" s="37">
        <v>12.001000404357899</v>
      </c>
      <c r="W34" s="37">
        <v>102.81900024414099</v>
      </c>
      <c r="X34" s="37">
        <v>102.81900024414099</v>
      </c>
      <c r="Y34" s="37">
        <v>102.81900024414099</v>
      </c>
      <c r="Z34" s="37">
        <v>102.81900024414099</v>
      </c>
      <c r="AA34" s="1"/>
      <c r="AB34" s="1"/>
      <c r="AC34" s="1"/>
    </row>
    <row r="35" spans="1:29" x14ac:dyDescent="0.35">
      <c r="A35" s="1"/>
      <c r="B35" s="5"/>
      <c r="C35" s="25" t="s">
        <v>782</v>
      </c>
      <c r="D35" s="25" t="s">
        <v>761</v>
      </c>
      <c r="E35" s="25" t="s">
        <v>789</v>
      </c>
      <c r="F35" s="25" t="s">
        <v>790</v>
      </c>
      <c r="G35" s="50">
        <v>60.885658999999997</v>
      </c>
      <c r="H35" s="50">
        <v>1</v>
      </c>
      <c r="I35" s="37">
        <v>14</v>
      </c>
      <c r="J35" s="37">
        <v>14</v>
      </c>
      <c r="K35" s="37">
        <v>14</v>
      </c>
      <c r="L35" s="37">
        <v>14</v>
      </c>
      <c r="M35" s="37">
        <v>100.015998840332</v>
      </c>
      <c r="N35" s="37">
        <v>100.015998840332</v>
      </c>
      <c r="O35" s="37">
        <v>100.015998840332</v>
      </c>
      <c r="P35" s="37">
        <v>100.015998840332</v>
      </c>
      <c r="Q35" s="50">
        <v>0</v>
      </c>
      <c r="R35" s="25"/>
      <c r="S35" s="25"/>
      <c r="T35" s="25"/>
      <c r="U35" s="25"/>
      <c r="V35" s="25"/>
      <c r="W35" s="25"/>
      <c r="X35" s="25"/>
      <c r="Y35" s="25"/>
      <c r="Z35" s="25"/>
      <c r="AA35" s="1"/>
      <c r="AB35" s="1"/>
      <c r="AC35" s="1"/>
    </row>
    <row r="36" spans="1:29" x14ac:dyDescent="0.35">
      <c r="A36" s="1"/>
      <c r="B36" s="5"/>
      <c r="C36" s="25" t="s">
        <v>791</v>
      </c>
      <c r="D36" s="25" t="s">
        <v>761</v>
      </c>
      <c r="E36" s="25" t="s">
        <v>792</v>
      </c>
      <c r="F36" s="25" t="s">
        <v>786</v>
      </c>
      <c r="G36" s="50">
        <v>0</v>
      </c>
      <c r="H36" s="25"/>
      <c r="I36" s="25"/>
      <c r="J36" s="25"/>
      <c r="K36" s="25"/>
      <c r="L36" s="25"/>
      <c r="M36" s="25"/>
      <c r="N36" s="25"/>
      <c r="O36" s="25"/>
      <c r="P36" s="25"/>
      <c r="Q36" s="50">
        <v>1020.5839999999999</v>
      </c>
      <c r="R36" s="50">
        <v>1</v>
      </c>
      <c r="S36" s="37">
        <v>12.25</v>
      </c>
      <c r="T36" s="37">
        <v>12.25</v>
      </c>
      <c r="U36" s="37">
        <v>12.25</v>
      </c>
      <c r="V36" s="37">
        <v>12.25</v>
      </c>
      <c r="W36" s="37">
        <v>102.057998657227</v>
      </c>
      <c r="X36" s="37">
        <v>102.057998657227</v>
      </c>
      <c r="Y36" s="37">
        <v>102.057998657227</v>
      </c>
      <c r="Z36" s="37">
        <v>102.057998657227</v>
      </c>
      <c r="AA36" s="1"/>
      <c r="AB36" s="1"/>
      <c r="AC36" s="1"/>
    </row>
    <row r="37" spans="1:29" x14ac:dyDescent="0.35">
      <c r="A37" s="1"/>
      <c r="B37" s="5"/>
      <c r="C37" s="25" t="s">
        <v>791</v>
      </c>
      <c r="D37" s="25" t="s">
        <v>761</v>
      </c>
      <c r="E37" s="25" t="s">
        <v>793</v>
      </c>
      <c r="F37" s="25" t="s">
        <v>794</v>
      </c>
      <c r="G37" s="50">
        <v>1018.31</v>
      </c>
      <c r="H37" s="50">
        <v>1</v>
      </c>
      <c r="I37" s="37">
        <v>12.949999809265099</v>
      </c>
      <c r="J37" s="37">
        <v>12.949999809265099</v>
      </c>
      <c r="K37" s="37">
        <v>12.949999809265099</v>
      </c>
      <c r="L37" s="37">
        <v>12.949999809265099</v>
      </c>
      <c r="M37" s="37">
        <v>101.831001281738</v>
      </c>
      <c r="N37" s="37">
        <v>101.831001281738</v>
      </c>
      <c r="O37" s="37">
        <v>101.831001281738</v>
      </c>
      <c r="P37" s="37">
        <v>101.831001281738</v>
      </c>
      <c r="Q37" s="50">
        <v>0</v>
      </c>
      <c r="R37" s="25"/>
      <c r="S37" s="25"/>
      <c r="T37" s="25"/>
      <c r="U37" s="25"/>
      <c r="V37" s="25"/>
      <c r="W37" s="25"/>
      <c r="X37" s="25"/>
      <c r="Y37" s="25"/>
      <c r="Z37" s="25"/>
      <c r="AA37" s="1"/>
      <c r="AB37" s="1"/>
      <c r="AC37" s="1"/>
    </row>
    <row r="38" spans="1:29" x14ac:dyDescent="0.35">
      <c r="A38" s="1"/>
      <c r="B38" s="5"/>
      <c r="C38" s="25" t="s">
        <v>791</v>
      </c>
      <c r="D38" s="25" t="s">
        <v>761</v>
      </c>
      <c r="E38" s="25" t="s">
        <v>795</v>
      </c>
      <c r="F38" s="25" t="s">
        <v>796</v>
      </c>
      <c r="G38" s="50">
        <v>0</v>
      </c>
      <c r="H38" s="25"/>
      <c r="I38" s="25"/>
      <c r="J38" s="25"/>
      <c r="K38" s="25"/>
      <c r="L38" s="25"/>
      <c r="M38" s="25"/>
      <c r="N38" s="25"/>
      <c r="O38" s="25"/>
      <c r="P38" s="25"/>
      <c r="Q38" s="50">
        <v>499.99677000000003</v>
      </c>
      <c r="R38" s="50">
        <v>1</v>
      </c>
      <c r="S38" s="37">
        <v>11.8999996185303</v>
      </c>
      <c r="T38" s="37">
        <v>11.8999996185303</v>
      </c>
      <c r="U38" s="37">
        <v>11.8999996185303</v>
      </c>
      <c r="V38" s="37">
        <v>11.8999996185303</v>
      </c>
      <c r="W38" s="37">
        <v>96.666000366210895</v>
      </c>
      <c r="X38" s="37">
        <v>96.666000366210895</v>
      </c>
      <c r="Y38" s="37">
        <v>96.666000366210895</v>
      </c>
      <c r="Z38" s="37">
        <v>96.666000366210895</v>
      </c>
      <c r="AA38" s="1"/>
      <c r="AB38" s="1"/>
      <c r="AC38" s="1"/>
    </row>
    <row r="39" spans="1:29" x14ac:dyDescent="0.35">
      <c r="A39" s="1"/>
      <c r="B39" s="5"/>
      <c r="C39" s="25" t="s">
        <v>791</v>
      </c>
      <c r="D39" s="25" t="s">
        <v>761</v>
      </c>
      <c r="E39" s="25" t="s">
        <v>797</v>
      </c>
      <c r="F39" s="25" t="s">
        <v>798</v>
      </c>
      <c r="G39" s="50">
        <v>0</v>
      </c>
      <c r="H39" s="25"/>
      <c r="I39" s="25"/>
      <c r="J39" s="25"/>
      <c r="K39" s="25"/>
      <c r="L39" s="25"/>
      <c r="M39" s="25"/>
      <c r="N39" s="25"/>
      <c r="O39" s="25"/>
      <c r="P39" s="25"/>
      <c r="Q39" s="50">
        <v>5011.92</v>
      </c>
      <c r="R39" s="50">
        <v>1</v>
      </c>
      <c r="S39" s="37">
        <v>12.3999996185303</v>
      </c>
      <c r="T39" s="37">
        <v>12.3999996185303</v>
      </c>
      <c r="U39" s="37">
        <v>12.3999996185303</v>
      </c>
      <c r="V39" s="37">
        <v>12.3999996185303</v>
      </c>
      <c r="W39" s="37">
        <v>100.237998962402</v>
      </c>
      <c r="X39" s="37">
        <v>100.237998962402</v>
      </c>
      <c r="Y39" s="37">
        <v>100.237998962402</v>
      </c>
      <c r="Z39" s="37">
        <v>100.237998962402</v>
      </c>
      <c r="AA39" s="1"/>
      <c r="AB39" s="1"/>
      <c r="AC39" s="1"/>
    </row>
    <row r="40" spans="1:29" x14ac:dyDescent="0.35">
      <c r="A40" s="1"/>
      <c r="B40" s="5"/>
      <c r="C40" s="25" t="s">
        <v>791</v>
      </c>
      <c r="D40" s="25" t="s">
        <v>761</v>
      </c>
      <c r="E40" s="25" t="s">
        <v>799</v>
      </c>
      <c r="F40" s="25" t="s">
        <v>800</v>
      </c>
      <c r="G40" s="50">
        <v>0</v>
      </c>
      <c r="H40" s="25"/>
      <c r="I40" s="25"/>
      <c r="J40" s="25"/>
      <c r="K40" s="25"/>
      <c r="L40" s="25"/>
      <c r="M40" s="25"/>
      <c r="N40" s="25"/>
      <c r="O40" s="25"/>
      <c r="P40" s="25"/>
      <c r="Q40" s="50">
        <v>2008.0820000000001</v>
      </c>
      <c r="R40" s="50">
        <v>1</v>
      </c>
      <c r="S40" s="37">
        <v>12.25</v>
      </c>
      <c r="T40" s="37">
        <v>12.25</v>
      </c>
      <c r="U40" s="37">
        <v>12.25</v>
      </c>
      <c r="V40" s="37">
        <v>12.25</v>
      </c>
      <c r="W40" s="37">
        <v>100.403999328613</v>
      </c>
      <c r="X40" s="37">
        <v>100.403999328613</v>
      </c>
      <c r="Y40" s="37">
        <v>100.403999328613</v>
      </c>
      <c r="Z40" s="37">
        <v>100.403999328613</v>
      </c>
      <c r="AA40" s="1"/>
      <c r="AB40" s="1"/>
      <c r="AC40" s="1"/>
    </row>
    <row r="41" spans="1:29" x14ac:dyDescent="0.35">
      <c r="A41" s="1"/>
      <c r="B41" s="5"/>
      <c r="C41" s="25" t="s">
        <v>791</v>
      </c>
      <c r="D41" s="25" t="s">
        <v>761</v>
      </c>
      <c r="E41" s="25" t="s">
        <v>801</v>
      </c>
      <c r="F41" s="25" t="s">
        <v>802</v>
      </c>
      <c r="G41" s="50">
        <v>0</v>
      </c>
      <c r="H41" s="25"/>
      <c r="I41" s="25"/>
      <c r="J41" s="25"/>
      <c r="K41" s="25"/>
      <c r="L41" s="25"/>
      <c r="M41" s="25"/>
      <c r="N41" s="25"/>
      <c r="O41" s="25"/>
      <c r="P41" s="25"/>
      <c r="Q41" s="50">
        <v>2288.179482</v>
      </c>
      <c r="R41" s="50">
        <v>3</v>
      </c>
      <c r="S41" s="37">
        <v>11.8999996185303</v>
      </c>
      <c r="T41" s="37">
        <v>11.8999996185303</v>
      </c>
      <c r="U41" s="37">
        <v>11.8999996185303</v>
      </c>
      <c r="V41" s="37">
        <v>11.8999996185303</v>
      </c>
      <c r="W41" s="37">
        <v>98.472999572753906</v>
      </c>
      <c r="X41" s="37">
        <v>98.472999572753906</v>
      </c>
      <c r="Y41" s="37">
        <v>98.472999572753906</v>
      </c>
      <c r="Z41" s="37">
        <v>98.472999572753906</v>
      </c>
      <c r="AA41" s="1"/>
      <c r="AB41" s="1"/>
      <c r="AC41" s="1"/>
    </row>
    <row r="42" spans="1:29" x14ac:dyDescent="0.35">
      <c r="A42" s="1"/>
      <c r="B42" s="5"/>
      <c r="C42" s="25" t="s">
        <v>791</v>
      </c>
      <c r="D42" s="25" t="s">
        <v>761</v>
      </c>
      <c r="E42" s="25" t="s">
        <v>803</v>
      </c>
      <c r="F42" s="25" t="s">
        <v>804</v>
      </c>
      <c r="G42" s="50">
        <v>0</v>
      </c>
      <c r="H42" s="25"/>
      <c r="I42" s="25"/>
      <c r="J42" s="25"/>
      <c r="K42" s="25"/>
      <c r="L42" s="25"/>
      <c r="M42" s="25"/>
      <c r="N42" s="25"/>
      <c r="O42" s="25"/>
      <c r="P42" s="25"/>
      <c r="Q42" s="50">
        <v>4929</v>
      </c>
      <c r="R42" s="50">
        <v>1</v>
      </c>
      <c r="S42" s="37">
        <v>12.001000404357899</v>
      </c>
      <c r="T42" s="37">
        <v>12.001000404357899</v>
      </c>
      <c r="U42" s="37">
        <v>12.001000404357899</v>
      </c>
      <c r="V42" s="37">
        <v>12.001000404357899</v>
      </c>
      <c r="W42" s="37">
        <v>98.580001831054702</v>
      </c>
      <c r="X42" s="37">
        <v>98.580001831054702</v>
      </c>
      <c r="Y42" s="37">
        <v>98.580001831054702</v>
      </c>
      <c r="Z42" s="37">
        <v>98.580001831054702</v>
      </c>
      <c r="AA42" s="1"/>
      <c r="AB42" s="1"/>
      <c r="AC42" s="1"/>
    </row>
    <row r="43" spans="1:29" x14ac:dyDescent="0.35">
      <c r="A43" s="1"/>
      <c r="B43" s="5"/>
      <c r="C43" s="25" t="s">
        <v>791</v>
      </c>
      <c r="D43" s="25" t="s">
        <v>761</v>
      </c>
      <c r="E43" s="25" t="s">
        <v>805</v>
      </c>
      <c r="F43" s="25" t="s">
        <v>806</v>
      </c>
      <c r="G43" s="50">
        <v>0</v>
      </c>
      <c r="H43" s="25"/>
      <c r="I43" s="25"/>
      <c r="J43" s="25"/>
      <c r="K43" s="25"/>
      <c r="L43" s="25"/>
      <c r="M43" s="25"/>
      <c r="N43" s="25"/>
      <c r="O43" s="25"/>
      <c r="P43" s="25"/>
      <c r="Q43" s="50">
        <v>4983.625</v>
      </c>
      <c r="R43" s="50">
        <v>1</v>
      </c>
      <c r="S43" s="37">
        <v>12.300000190734901</v>
      </c>
      <c r="T43" s="37">
        <v>12.300000190734901</v>
      </c>
      <c r="U43" s="37">
        <v>12.300000190734901</v>
      </c>
      <c r="V43" s="37">
        <v>12.300000190734901</v>
      </c>
      <c r="W43" s="37">
        <v>99.6719970703125</v>
      </c>
      <c r="X43" s="37">
        <v>99.6719970703125</v>
      </c>
      <c r="Y43" s="37">
        <v>99.6719970703125</v>
      </c>
      <c r="Z43" s="37">
        <v>99.6719970703125</v>
      </c>
      <c r="AA43" s="1"/>
      <c r="AB43" s="1"/>
      <c r="AC43" s="1"/>
    </row>
    <row r="44" spans="1:29" x14ac:dyDescent="0.35">
      <c r="A44" s="1"/>
      <c r="B44" s="5"/>
      <c r="C44" s="25" t="s">
        <v>807</v>
      </c>
      <c r="D44" s="25" t="s">
        <v>761</v>
      </c>
      <c r="E44" s="25" t="s">
        <v>808</v>
      </c>
      <c r="F44" s="25" t="s">
        <v>809</v>
      </c>
      <c r="G44" s="50">
        <v>0</v>
      </c>
      <c r="H44" s="25"/>
      <c r="I44" s="25"/>
      <c r="J44" s="25"/>
      <c r="K44" s="25"/>
      <c r="L44" s="25"/>
      <c r="M44" s="25"/>
      <c r="N44" s="25"/>
      <c r="O44" s="25"/>
      <c r="P44" s="25"/>
      <c r="Q44" s="50">
        <v>1551.320823</v>
      </c>
      <c r="R44" s="50">
        <v>2</v>
      </c>
      <c r="S44" s="37">
        <v>11.8999996185303</v>
      </c>
      <c r="T44" s="37">
        <v>11.8999996185303</v>
      </c>
      <c r="U44" s="37">
        <v>11.8999996185303</v>
      </c>
      <c r="V44" s="37">
        <v>11.8999996185303</v>
      </c>
      <c r="W44" s="37">
        <v>102.352996826172</v>
      </c>
      <c r="X44" s="37">
        <v>102.352996826172</v>
      </c>
      <c r="Y44" s="37">
        <v>102.352996826172</v>
      </c>
      <c r="Z44" s="37">
        <v>102.352996826172</v>
      </c>
      <c r="AA44" s="1"/>
      <c r="AB44" s="1"/>
      <c r="AC44" s="1"/>
    </row>
    <row r="45" spans="1:29" x14ac:dyDescent="0.35">
      <c r="A45" s="1"/>
      <c r="B45" s="5"/>
      <c r="C45" s="25" t="s">
        <v>807</v>
      </c>
      <c r="D45" s="25" t="s">
        <v>761</v>
      </c>
      <c r="E45" s="25" t="s">
        <v>810</v>
      </c>
      <c r="F45" s="25" t="s">
        <v>811</v>
      </c>
      <c r="G45" s="50">
        <v>0</v>
      </c>
      <c r="H45" s="25"/>
      <c r="I45" s="25"/>
      <c r="J45" s="25"/>
      <c r="K45" s="25"/>
      <c r="L45" s="25"/>
      <c r="M45" s="25"/>
      <c r="N45" s="25"/>
      <c r="O45" s="25"/>
      <c r="P45" s="25"/>
      <c r="Q45" s="50">
        <v>1000.061</v>
      </c>
      <c r="R45" s="50">
        <v>1</v>
      </c>
      <c r="S45" s="37">
        <v>12.25</v>
      </c>
      <c r="T45" s="37">
        <v>12.25</v>
      </c>
      <c r="U45" s="37">
        <v>12.25</v>
      </c>
      <c r="V45" s="37">
        <v>12.25</v>
      </c>
      <c r="W45" s="37">
        <v>100.005996704102</v>
      </c>
      <c r="X45" s="37">
        <v>100.005996704102</v>
      </c>
      <c r="Y45" s="37">
        <v>100.005996704102</v>
      </c>
      <c r="Z45" s="37">
        <v>100.005996704102</v>
      </c>
      <c r="AA45" s="1"/>
      <c r="AB45" s="1"/>
      <c r="AC45" s="1"/>
    </row>
    <row r="46" spans="1:29" x14ac:dyDescent="0.35">
      <c r="A46" s="1"/>
      <c r="B46" s="5"/>
      <c r="C46" s="25" t="s">
        <v>807</v>
      </c>
      <c r="D46" s="25" t="s">
        <v>761</v>
      </c>
      <c r="E46" s="25" t="s">
        <v>812</v>
      </c>
      <c r="F46" s="25" t="s">
        <v>813</v>
      </c>
      <c r="G46" s="50">
        <v>0</v>
      </c>
      <c r="H46" s="25"/>
      <c r="I46" s="25"/>
      <c r="J46" s="25"/>
      <c r="K46" s="25"/>
      <c r="L46" s="25"/>
      <c r="M46" s="25"/>
      <c r="N46" s="25"/>
      <c r="O46" s="25"/>
      <c r="P46" s="25"/>
      <c r="Q46" s="50">
        <v>2914.5329999999999</v>
      </c>
      <c r="R46" s="50">
        <v>1</v>
      </c>
      <c r="S46" s="37">
        <v>12.1000003814697</v>
      </c>
      <c r="T46" s="37">
        <v>12.1000003814697</v>
      </c>
      <c r="U46" s="37">
        <v>12.1000003814697</v>
      </c>
      <c r="V46" s="37">
        <v>12.1000003814697</v>
      </c>
      <c r="W46" s="37">
        <v>97.1510009765625</v>
      </c>
      <c r="X46" s="37">
        <v>97.1510009765625</v>
      </c>
      <c r="Y46" s="37">
        <v>97.1510009765625</v>
      </c>
      <c r="Z46" s="37">
        <v>97.1510009765625</v>
      </c>
      <c r="AA46" s="1"/>
      <c r="AB46" s="1"/>
      <c r="AC46" s="1"/>
    </row>
    <row r="47" spans="1:29" x14ac:dyDescent="0.35">
      <c r="A47" s="1"/>
      <c r="B47" s="5"/>
      <c r="C47" s="25" t="s">
        <v>807</v>
      </c>
      <c r="D47" s="25" t="s">
        <v>761</v>
      </c>
      <c r="E47" s="25" t="s">
        <v>814</v>
      </c>
      <c r="F47" s="25" t="s">
        <v>815</v>
      </c>
      <c r="G47" s="50">
        <v>0</v>
      </c>
      <c r="H47" s="25"/>
      <c r="I47" s="25"/>
      <c r="J47" s="25"/>
      <c r="K47" s="25"/>
      <c r="L47" s="25"/>
      <c r="M47" s="25"/>
      <c r="N47" s="25"/>
      <c r="O47" s="25"/>
      <c r="P47" s="25"/>
      <c r="Q47" s="50">
        <v>2119.0340000000001</v>
      </c>
      <c r="R47" s="50">
        <v>1</v>
      </c>
      <c r="S47" s="37">
        <v>12.25</v>
      </c>
      <c r="T47" s="37">
        <v>12.25</v>
      </c>
      <c r="U47" s="37">
        <v>12.25</v>
      </c>
      <c r="V47" s="37">
        <v>12.25</v>
      </c>
      <c r="W47" s="37">
        <v>105.95099639892599</v>
      </c>
      <c r="X47" s="37">
        <v>105.95099639892599</v>
      </c>
      <c r="Y47" s="37">
        <v>105.95099639892599</v>
      </c>
      <c r="Z47" s="37">
        <v>105.95099639892599</v>
      </c>
      <c r="AA47" s="1"/>
      <c r="AB47" s="1"/>
      <c r="AC47" s="1"/>
    </row>
    <row r="48" spans="1:29" x14ac:dyDescent="0.35">
      <c r="A48" s="1"/>
      <c r="B48" s="5"/>
      <c r="C48" s="25" t="s">
        <v>707</v>
      </c>
      <c r="D48" s="25" t="s">
        <v>761</v>
      </c>
      <c r="E48" s="25" t="s">
        <v>816</v>
      </c>
      <c r="F48" s="25" t="s">
        <v>817</v>
      </c>
      <c r="G48" s="50">
        <v>0</v>
      </c>
      <c r="H48" s="25"/>
      <c r="I48" s="25"/>
      <c r="J48" s="25"/>
      <c r="K48" s="25"/>
      <c r="L48" s="25"/>
      <c r="M48" s="25"/>
      <c r="N48" s="25"/>
      <c r="O48" s="25"/>
      <c r="P48" s="25"/>
      <c r="Q48" s="50">
        <v>2004.5619999999999</v>
      </c>
      <c r="R48" s="50">
        <v>1</v>
      </c>
      <c r="S48" s="37">
        <v>12.25</v>
      </c>
      <c r="T48" s="37">
        <v>12.25</v>
      </c>
      <c r="U48" s="37">
        <v>12.25</v>
      </c>
      <c r="V48" s="37">
        <v>12.25</v>
      </c>
      <c r="W48" s="37">
        <v>100.227996826172</v>
      </c>
      <c r="X48" s="37">
        <v>100.227996826172</v>
      </c>
      <c r="Y48" s="37">
        <v>100.227996826172</v>
      </c>
      <c r="Z48" s="37">
        <v>100.227996826172</v>
      </c>
      <c r="AA48" s="1"/>
      <c r="AB48" s="1"/>
      <c r="AC48" s="1"/>
    </row>
    <row r="49" spans="1:29" x14ac:dyDescent="0.35">
      <c r="A49" s="1"/>
      <c r="B49" s="5"/>
      <c r="C49" s="25" t="s">
        <v>707</v>
      </c>
      <c r="D49" s="25" t="s">
        <v>761</v>
      </c>
      <c r="E49" s="25" t="s">
        <v>818</v>
      </c>
      <c r="F49" s="25" t="s">
        <v>819</v>
      </c>
      <c r="G49" s="50">
        <v>468.29192</v>
      </c>
      <c r="H49" s="50">
        <v>1</v>
      </c>
      <c r="I49" s="37">
        <v>13.5</v>
      </c>
      <c r="J49" s="37">
        <v>13.5</v>
      </c>
      <c r="K49" s="37">
        <v>13.5</v>
      </c>
      <c r="L49" s="37">
        <v>13.5</v>
      </c>
      <c r="M49" s="37">
        <v>103.148002624512</v>
      </c>
      <c r="N49" s="37">
        <v>103.148002624512</v>
      </c>
      <c r="O49" s="37">
        <v>103.148002624512</v>
      </c>
      <c r="P49" s="37">
        <v>103.148002624512</v>
      </c>
      <c r="Q49" s="50">
        <v>468.29146600000001</v>
      </c>
      <c r="R49" s="50">
        <v>1</v>
      </c>
      <c r="S49" s="37">
        <v>12.3500003814697</v>
      </c>
      <c r="T49" s="37">
        <v>12.3500003814697</v>
      </c>
      <c r="U49" s="37">
        <v>12.3500003814697</v>
      </c>
      <c r="V49" s="37">
        <v>12.3500003814697</v>
      </c>
      <c r="W49" s="37">
        <v>103.147003173828</v>
      </c>
      <c r="X49" s="37">
        <v>103.147003173828</v>
      </c>
      <c r="Y49" s="37">
        <v>103.147003173828</v>
      </c>
      <c r="Z49" s="37">
        <v>103.147003173828</v>
      </c>
      <c r="AA49" s="1"/>
      <c r="AB49" s="1"/>
      <c r="AC49" s="1"/>
    </row>
    <row r="50" spans="1:29" x14ac:dyDescent="0.35">
      <c r="A50" s="1"/>
      <c r="B50" s="5"/>
      <c r="C50" s="25" t="s">
        <v>714</v>
      </c>
      <c r="D50" s="25" t="s">
        <v>761</v>
      </c>
      <c r="E50" s="25" t="s">
        <v>820</v>
      </c>
      <c r="F50" s="25" t="s">
        <v>821</v>
      </c>
      <c r="G50" s="50">
        <v>0</v>
      </c>
      <c r="H50" s="25"/>
      <c r="I50" s="25"/>
      <c r="J50" s="25"/>
      <c r="K50" s="25"/>
      <c r="L50" s="25"/>
      <c r="M50" s="25"/>
      <c r="N50" s="25"/>
      <c r="O50" s="25"/>
      <c r="P50" s="25"/>
      <c r="Q50" s="50">
        <v>2998.4250000000002</v>
      </c>
      <c r="R50" s="50">
        <v>1</v>
      </c>
      <c r="S50" s="37">
        <v>12.25</v>
      </c>
      <c r="T50" s="37">
        <v>12.25</v>
      </c>
      <c r="U50" s="37">
        <v>12.25</v>
      </c>
      <c r="V50" s="37">
        <v>12.25</v>
      </c>
      <c r="W50" s="37">
        <v>99.946998596191406</v>
      </c>
      <c r="X50" s="37">
        <v>99.946998596191406</v>
      </c>
      <c r="Y50" s="37">
        <v>99.946998596191406</v>
      </c>
      <c r="Z50" s="37">
        <v>99.946998596191406</v>
      </c>
      <c r="AA50" s="1"/>
      <c r="AB50" s="1"/>
      <c r="AC50" s="1"/>
    </row>
    <row r="51" spans="1:29" x14ac:dyDescent="0.35">
      <c r="A51" s="1"/>
      <c r="B51" s="5"/>
      <c r="C51" s="25" t="s">
        <v>714</v>
      </c>
      <c r="D51" s="25" t="s">
        <v>761</v>
      </c>
      <c r="E51" s="25" t="s">
        <v>505</v>
      </c>
      <c r="F51" s="25" t="s">
        <v>822</v>
      </c>
      <c r="G51" s="50">
        <v>0</v>
      </c>
      <c r="H51" s="25"/>
      <c r="I51" s="25"/>
      <c r="J51" s="25"/>
      <c r="K51" s="25"/>
      <c r="L51" s="25"/>
      <c r="M51" s="25"/>
      <c r="N51" s="25"/>
      <c r="O51" s="25"/>
      <c r="P51" s="25"/>
      <c r="Q51" s="50">
        <v>504.38400000000001</v>
      </c>
      <c r="R51" s="50">
        <v>1</v>
      </c>
      <c r="S51" s="37">
        <v>12.1000003814697</v>
      </c>
      <c r="T51" s="37">
        <v>12.1000003814697</v>
      </c>
      <c r="U51" s="37">
        <v>12.1000003814697</v>
      </c>
      <c r="V51" s="37">
        <v>12.1000003814697</v>
      </c>
      <c r="W51" s="37">
        <v>100.87599945068401</v>
      </c>
      <c r="X51" s="37">
        <v>100.87599945068401</v>
      </c>
      <c r="Y51" s="37">
        <v>100.87599945068401</v>
      </c>
      <c r="Z51" s="37">
        <v>100.87599945068401</v>
      </c>
      <c r="AA51" s="1"/>
      <c r="AB51" s="1"/>
      <c r="AC51" s="1"/>
    </row>
    <row r="52" spans="1:29" x14ac:dyDescent="0.35">
      <c r="A52" s="1"/>
      <c r="B52" s="5"/>
      <c r="C52" s="25" t="s">
        <v>716</v>
      </c>
      <c r="D52" s="25" t="s">
        <v>761</v>
      </c>
      <c r="E52" s="25" t="s">
        <v>823</v>
      </c>
      <c r="F52" s="25" t="s">
        <v>824</v>
      </c>
      <c r="G52" s="50">
        <v>0</v>
      </c>
      <c r="H52" s="25"/>
      <c r="I52" s="25"/>
      <c r="J52" s="25"/>
      <c r="K52" s="25"/>
      <c r="L52" s="25"/>
      <c r="M52" s="25"/>
      <c r="N52" s="25"/>
      <c r="O52" s="25"/>
      <c r="P52" s="25"/>
      <c r="Q52" s="50">
        <v>953.43899999999996</v>
      </c>
      <c r="R52" s="50">
        <v>1</v>
      </c>
      <c r="S52" s="37">
        <v>12.1000003814697</v>
      </c>
      <c r="T52" s="37">
        <v>12.1000003814697</v>
      </c>
      <c r="U52" s="37">
        <v>12.1000003814697</v>
      </c>
      <c r="V52" s="37">
        <v>12.1000003814697</v>
      </c>
      <c r="W52" s="37">
        <v>95.343002319335895</v>
      </c>
      <c r="X52" s="37">
        <v>95.343002319335895</v>
      </c>
      <c r="Y52" s="37">
        <v>95.343002319335895</v>
      </c>
      <c r="Z52" s="37">
        <v>95.343002319335895</v>
      </c>
      <c r="AA52" s="1"/>
      <c r="AB52" s="1"/>
      <c r="AC52" s="1"/>
    </row>
    <row r="53" spans="1:29" x14ac:dyDescent="0.35">
      <c r="A53" s="1"/>
      <c r="B53" s="5"/>
      <c r="C53" s="25" t="s">
        <v>716</v>
      </c>
      <c r="D53" s="25" t="s">
        <v>761</v>
      </c>
      <c r="E53" s="25" t="s">
        <v>825</v>
      </c>
      <c r="F53" s="25" t="s">
        <v>826</v>
      </c>
      <c r="G53" s="50">
        <v>0</v>
      </c>
      <c r="H53" s="25"/>
      <c r="I53" s="25"/>
      <c r="J53" s="25"/>
      <c r="K53" s="25"/>
      <c r="L53" s="25"/>
      <c r="M53" s="25"/>
      <c r="N53" s="25"/>
      <c r="O53" s="25"/>
      <c r="P53" s="25"/>
      <c r="Q53" s="50">
        <v>1965.53</v>
      </c>
      <c r="R53" s="50">
        <v>1</v>
      </c>
      <c r="S53" s="37">
        <v>12.001000404357899</v>
      </c>
      <c r="T53" s="37">
        <v>12.001000404357899</v>
      </c>
      <c r="U53" s="37">
        <v>12.001000404357899</v>
      </c>
      <c r="V53" s="37">
        <v>12.001000404357899</v>
      </c>
      <c r="W53" s="37">
        <v>98.2760009765625</v>
      </c>
      <c r="X53" s="37">
        <v>98.2760009765625</v>
      </c>
      <c r="Y53" s="37">
        <v>98.2760009765625</v>
      </c>
      <c r="Z53" s="37">
        <v>98.2760009765625</v>
      </c>
      <c r="AA53" s="1"/>
      <c r="AB53" s="1"/>
      <c r="AC53" s="1"/>
    </row>
    <row r="54" spans="1:29" x14ac:dyDescent="0.35">
      <c r="A54" s="1"/>
      <c r="B54" s="5"/>
      <c r="C54" s="25" t="s">
        <v>716</v>
      </c>
      <c r="D54" s="25" t="s">
        <v>761</v>
      </c>
      <c r="E54" s="25" t="s">
        <v>827</v>
      </c>
      <c r="F54" s="25" t="s">
        <v>828</v>
      </c>
      <c r="G54" s="50">
        <v>0</v>
      </c>
      <c r="H54" s="25"/>
      <c r="I54" s="25"/>
      <c r="J54" s="25"/>
      <c r="K54" s="25"/>
      <c r="L54" s="25"/>
      <c r="M54" s="25"/>
      <c r="N54" s="25"/>
      <c r="O54" s="25"/>
      <c r="P54" s="25"/>
      <c r="Q54" s="50">
        <v>1500.9839999999999</v>
      </c>
      <c r="R54" s="50">
        <v>1</v>
      </c>
      <c r="S54" s="37">
        <v>12.25</v>
      </c>
      <c r="T54" s="37">
        <v>12.25</v>
      </c>
      <c r="U54" s="37">
        <v>12.25</v>
      </c>
      <c r="V54" s="37">
        <v>12.25</v>
      </c>
      <c r="W54" s="37">
        <v>100.06500244140599</v>
      </c>
      <c r="X54" s="37">
        <v>100.06500244140599</v>
      </c>
      <c r="Y54" s="37">
        <v>100.06500244140599</v>
      </c>
      <c r="Z54" s="37">
        <v>100.06500244140599</v>
      </c>
      <c r="AA54" s="1"/>
      <c r="AB54" s="1"/>
      <c r="AC54" s="1"/>
    </row>
    <row r="55" spans="1:29" x14ac:dyDescent="0.35">
      <c r="A55" s="1"/>
      <c r="B55" s="5"/>
      <c r="C55" s="25" t="s">
        <v>716</v>
      </c>
      <c r="D55" s="25" t="s">
        <v>761</v>
      </c>
      <c r="E55" s="25" t="s">
        <v>507</v>
      </c>
      <c r="F55" s="25" t="s">
        <v>829</v>
      </c>
      <c r="G55" s="50">
        <v>0</v>
      </c>
      <c r="H55" s="25"/>
      <c r="I55" s="25"/>
      <c r="J55" s="25"/>
      <c r="K55" s="25"/>
      <c r="L55" s="25"/>
      <c r="M55" s="25"/>
      <c r="N55" s="25"/>
      <c r="O55" s="25"/>
      <c r="P55" s="25"/>
      <c r="Q55" s="50">
        <v>8051.0720000000001</v>
      </c>
      <c r="R55" s="50">
        <v>1</v>
      </c>
      <c r="S55" s="37">
        <v>12.25</v>
      </c>
      <c r="T55" s="37">
        <v>12.25</v>
      </c>
      <c r="U55" s="37">
        <v>12.25</v>
      </c>
      <c r="V55" s="37">
        <v>12.25</v>
      </c>
      <c r="W55" s="37">
        <v>100.63800048828099</v>
      </c>
      <c r="X55" s="37">
        <v>100.63800048828099</v>
      </c>
      <c r="Y55" s="37">
        <v>100.63800048828099</v>
      </c>
      <c r="Z55" s="37">
        <v>100.63800048828099</v>
      </c>
      <c r="AA55" s="1"/>
      <c r="AB55" s="1"/>
      <c r="AC55" s="1"/>
    </row>
    <row r="56" spans="1:29" x14ac:dyDescent="0.35">
      <c r="A56" s="1"/>
      <c r="B56" s="5"/>
      <c r="C56" s="25" t="s">
        <v>830</v>
      </c>
      <c r="D56" s="25" t="s">
        <v>831</v>
      </c>
      <c r="E56" s="25" t="s">
        <v>505</v>
      </c>
      <c r="F56" s="25" t="s">
        <v>832</v>
      </c>
      <c r="G56" s="50">
        <v>0</v>
      </c>
      <c r="H56" s="25"/>
      <c r="I56" s="25"/>
      <c r="J56" s="25"/>
      <c r="K56" s="25"/>
      <c r="L56" s="25"/>
      <c r="M56" s="25"/>
      <c r="N56" s="25"/>
      <c r="O56" s="25"/>
      <c r="P56" s="25"/>
      <c r="Q56" s="50">
        <v>2014.3440000000001</v>
      </c>
      <c r="R56" s="50">
        <v>1</v>
      </c>
      <c r="S56" s="37">
        <v>12.300000190734901</v>
      </c>
      <c r="T56" s="37">
        <v>12.300000190734901</v>
      </c>
      <c r="U56" s="37">
        <v>12.300000190734901</v>
      </c>
      <c r="V56" s="37">
        <v>12.300000190734901</v>
      </c>
      <c r="W56" s="37">
        <v>100.717002868652</v>
      </c>
      <c r="X56" s="37">
        <v>100.717002868652</v>
      </c>
      <c r="Y56" s="37">
        <v>100.717002868652</v>
      </c>
      <c r="Z56" s="37">
        <v>100.717002868652</v>
      </c>
      <c r="AA56" s="1"/>
      <c r="AB56" s="1"/>
      <c r="AC56" s="1"/>
    </row>
    <row r="57" spans="1:29" x14ac:dyDescent="0.35">
      <c r="A57" s="1"/>
      <c r="B57" s="5"/>
      <c r="C57" s="25" t="s">
        <v>833</v>
      </c>
      <c r="D57" s="25" t="s">
        <v>831</v>
      </c>
      <c r="E57" s="25" t="s">
        <v>834</v>
      </c>
      <c r="F57" s="25" t="s">
        <v>835</v>
      </c>
      <c r="G57" s="50">
        <v>0</v>
      </c>
      <c r="H57" s="25"/>
      <c r="I57" s="25"/>
      <c r="J57" s="25"/>
      <c r="K57" s="25"/>
      <c r="L57" s="25"/>
      <c r="M57" s="25"/>
      <c r="N57" s="25"/>
      <c r="O57" s="25"/>
      <c r="P57" s="25"/>
      <c r="Q57" s="50">
        <v>971.18499999999995</v>
      </c>
      <c r="R57" s="50">
        <v>1</v>
      </c>
      <c r="S57" s="37">
        <v>12.3500003814697</v>
      </c>
      <c r="T57" s="37">
        <v>12.3500003814697</v>
      </c>
      <c r="U57" s="37">
        <v>12.3500003814697</v>
      </c>
      <c r="V57" s="37">
        <v>12.3500003814697</v>
      </c>
      <c r="W57" s="37">
        <v>97.117996215820298</v>
      </c>
      <c r="X57" s="37">
        <v>97.117996215820298</v>
      </c>
      <c r="Y57" s="37">
        <v>97.117996215820298</v>
      </c>
      <c r="Z57" s="37">
        <v>97.117996215820298</v>
      </c>
      <c r="AA57" s="1"/>
      <c r="AB57" s="1"/>
      <c r="AC57" s="1"/>
    </row>
    <row r="58" spans="1:29" x14ac:dyDescent="0.35">
      <c r="A58" s="1"/>
      <c r="B58" s="5"/>
      <c r="C58" s="25" t="s">
        <v>833</v>
      </c>
      <c r="D58" s="25" t="s">
        <v>831</v>
      </c>
      <c r="E58" s="25" t="s">
        <v>836</v>
      </c>
      <c r="F58" s="25" t="s">
        <v>837</v>
      </c>
      <c r="G58" s="50">
        <v>0</v>
      </c>
      <c r="H58" s="25"/>
      <c r="I58" s="25"/>
      <c r="J58" s="25"/>
      <c r="K58" s="25"/>
      <c r="L58" s="25"/>
      <c r="M58" s="25"/>
      <c r="N58" s="25"/>
      <c r="O58" s="25"/>
      <c r="P58" s="25"/>
      <c r="Q58" s="50">
        <v>5080.7299999999996</v>
      </c>
      <c r="R58" s="50">
        <v>1</v>
      </c>
      <c r="S58" s="37">
        <v>11.8999996185303</v>
      </c>
      <c r="T58" s="37">
        <v>11.8999996185303</v>
      </c>
      <c r="U58" s="37">
        <v>11.8999996185303</v>
      </c>
      <c r="V58" s="37">
        <v>11.8999996185303</v>
      </c>
      <c r="W58" s="37">
        <v>101.61399841308599</v>
      </c>
      <c r="X58" s="37">
        <v>101.61399841308599</v>
      </c>
      <c r="Y58" s="37">
        <v>101.61399841308599</v>
      </c>
      <c r="Z58" s="37">
        <v>101.61399841308599</v>
      </c>
      <c r="AA58" s="1"/>
      <c r="AB58" s="1"/>
      <c r="AC58" s="1"/>
    </row>
    <row r="59" spans="1:29" x14ac:dyDescent="0.35">
      <c r="A59" s="1"/>
      <c r="B59" s="5"/>
      <c r="C59" s="25" t="s">
        <v>833</v>
      </c>
      <c r="D59" s="25" t="s">
        <v>831</v>
      </c>
      <c r="E59" s="25" t="s">
        <v>838</v>
      </c>
      <c r="F59" s="25" t="s">
        <v>839</v>
      </c>
      <c r="G59" s="50">
        <v>0</v>
      </c>
      <c r="H59" s="25"/>
      <c r="I59" s="25"/>
      <c r="J59" s="25"/>
      <c r="K59" s="25"/>
      <c r="L59" s="25"/>
      <c r="M59" s="25"/>
      <c r="N59" s="25"/>
      <c r="O59" s="25"/>
      <c r="P59" s="25"/>
      <c r="Q59" s="50">
        <v>5021.75</v>
      </c>
      <c r="R59" s="50">
        <v>1</v>
      </c>
      <c r="S59" s="37">
        <v>11.8999996185303</v>
      </c>
      <c r="T59" s="37">
        <v>11.8999996185303</v>
      </c>
      <c r="U59" s="37">
        <v>11.8999996185303</v>
      </c>
      <c r="V59" s="37">
        <v>11.8999996185303</v>
      </c>
      <c r="W59" s="37">
        <v>100.43499755859401</v>
      </c>
      <c r="X59" s="37">
        <v>100.43499755859401</v>
      </c>
      <c r="Y59" s="37">
        <v>100.43499755859401</v>
      </c>
      <c r="Z59" s="37">
        <v>100.43499755859401</v>
      </c>
      <c r="AA59" s="1"/>
      <c r="AB59" s="1"/>
      <c r="AC59" s="1"/>
    </row>
    <row r="60" spans="1:29" x14ac:dyDescent="0.35">
      <c r="A60" s="1"/>
      <c r="B60" s="5"/>
      <c r="C60" s="25" t="s">
        <v>833</v>
      </c>
      <c r="D60" s="25" t="s">
        <v>831</v>
      </c>
      <c r="E60" s="25" t="s">
        <v>840</v>
      </c>
      <c r="F60" s="25" t="s">
        <v>841</v>
      </c>
      <c r="G60" s="50">
        <v>0</v>
      </c>
      <c r="H60" s="25"/>
      <c r="I60" s="25"/>
      <c r="J60" s="25"/>
      <c r="K60" s="25"/>
      <c r="L60" s="25"/>
      <c r="M60" s="25"/>
      <c r="N60" s="25"/>
      <c r="O60" s="25"/>
      <c r="P60" s="25"/>
      <c r="Q60" s="50">
        <v>2024.99</v>
      </c>
      <c r="R60" s="50">
        <v>1</v>
      </c>
      <c r="S60" s="37">
        <v>12.25</v>
      </c>
      <c r="T60" s="37">
        <v>12.25</v>
      </c>
      <c r="U60" s="37">
        <v>12.25</v>
      </c>
      <c r="V60" s="37">
        <v>12.25</v>
      </c>
      <c r="W60" s="37">
        <v>101.24900054931599</v>
      </c>
      <c r="X60" s="37">
        <v>101.24900054931599</v>
      </c>
      <c r="Y60" s="37">
        <v>101.24900054931599</v>
      </c>
      <c r="Z60" s="37">
        <v>101.24900054931599</v>
      </c>
      <c r="AA60" s="1"/>
      <c r="AB60" s="1"/>
      <c r="AC60" s="1"/>
    </row>
    <row r="61" spans="1:29" x14ac:dyDescent="0.35">
      <c r="A61" s="1"/>
      <c r="B61" s="5"/>
      <c r="C61" s="25" t="s">
        <v>833</v>
      </c>
      <c r="D61" s="25" t="s">
        <v>831</v>
      </c>
      <c r="E61" s="25" t="s">
        <v>842</v>
      </c>
      <c r="F61" s="25" t="s">
        <v>843</v>
      </c>
      <c r="G61" s="50">
        <v>0</v>
      </c>
      <c r="H61" s="25"/>
      <c r="I61" s="25"/>
      <c r="J61" s="25"/>
      <c r="K61" s="25"/>
      <c r="L61" s="25"/>
      <c r="M61" s="25"/>
      <c r="N61" s="25"/>
      <c r="O61" s="25"/>
      <c r="P61" s="25"/>
      <c r="Q61" s="50">
        <v>520.01649999999995</v>
      </c>
      <c r="R61" s="50">
        <v>1</v>
      </c>
      <c r="S61" s="37">
        <v>12.1499996185303</v>
      </c>
      <c r="T61" s="37">
        <v>12.1499996185303</v>
      </c>
      <c r="U61" s="37">
        <v>12.1499996185303</v>
      </c>
      <c r="V61" s="37">
        <v>12.1499996185303</v>
      </c>
      <c r="W61" s="37">
        <v>104.00299835205099</v>
      </c>
      <c r="X61" s="37">
        <v>104.00299835205099</v>
      </c>
      <c r="Y61" s="37">
        <v>104.00299835205099</v>
      </c>
      <c r="Z61" s="37">
        <v>104.00299835205099</v>
      </c>
      <c r="AA61" s="1"/>
      <c r="AB61" s="1"/>
      <c r="AC61" s="1"/>
    </row>
    <row r="62" spans="1:29" x14ac:dyDescent="0.35">
      <c r="A62" s="1"/>
      <c r="B62" s="5"/>
      <c r="C62" s="25" t="s">
        <v>833</v>
      </c>
      <c r="D62" s="25" t="s">
        <v>831</v>
      </c>
      <c r="E62" s="25" t="s">
        <v>501</v>
      </c>
      <c r="F62" s="25" t="s">
        <v>775</v>
      </c>
      <c r="G62" s="50">
        <v>0</v>
      </c>
      <c r="H62" s="25"/>
      <c r="I62" s="25"/>
      <c r="J62" s="25"/>
      <c r="K62" s="25"/>
      <c r="L62" s="25"/>
      <c r="M62" s="25"/>
      <c r="N62" s="25"/>
      <c r="O62" s="25"/>
      <c r="P62" s="25"/>
      <c r="Q62" s="50">
        <v>3039.36</v>
      </c>
      <c r="R62" s="50">
        <v>1</v>
      </c>
      <c r="S62" s="37">
        <v>12.001000404357899</v>
      </c>
      <c r="T62" s="37">
        <v>12.001000404357899</v>
      </c>
      <c r="U62" s="37">
        <v>12.001000404357899</v>
      </c>
      <c r="V62" s="37">
        <v>12.001000404357899</v>
      </c>
      <c r="W62" s="37">
        <v>101.31199645996099</v>
      </c>
      <c r="X62" s="37">
        <v>101.31199645996099</v>
      </c>
      <c r="Y62" s="37">
        <v>101.31199645996099</v>
      </c>
      <c r="Z62" s="37">
        <v>101.31199645996099</v>
      </c>
      <c r="AA62" s="1"/>
      <c r="AB62" s="1"/>
      <c r="AC62" s="1"/>
    </row>
    <row r="63" spans="1:29" x14ac:dyDescent="0.35">
      <c r="A63" s="1"/>
      <c r="B63" s="5"/>
      <c r="C63" s="25" t="s">
        <v>844</v>
      </c>
      <c r="D63" s="25" t="s">
        <v>831</v>
      </c>
      <c r="E63" s="25" t="s">
        <v>845</v>
      </c>
      <c r="F63" s="25" t="s">
        <v>846</v>
      </c>
      <c r="G63" s="50">
        <v>0</v>
      </c>
      <c r="H63" s="25"/>
      <c r="I63" s="25"/>
      <c r="J63" s="25"/>
      <c r="K63" s="25"/>
      <c r="L63" s="25"/>
      <c r="M63" s="25"/>
      <c r="N63" s="25"/>
      <c r="O63" s="25"/>
      <c r="P63" s="25"/>
      <c r="Q63" s="50">
        <v>4639.8869999999997</v>
      </c>
      <c r="R63" s="50">
        <v>1</v>
      </c>
      <c r="S63" s="37">
        <v>12.1000003814697</v>
      </c>
      <c r="T63" s="37">
        <v>12.1000003814697</v>
      </c>
      <c r="U63" s="37">
        <v>12.1000003814697</v>
      </c>
      <c r="V63" s="37">
        <v>12.1000003814697</v>
      </c>
      <c r="W63" s="37">
        <v>103.10800170898401</v>
      </c>
      <c r="X63" s="37">
        <v>103.10800170898401</v>
      </c>
      <c r="Y63" s="37">
        <v>103.10800170898401</v>
      </c>
      <c r="Z63" s="37">
        <v>103.10800170898401</v>
      </c>
      <c r="AA63" s="1"/>
      <c r="AB63" s="1"/>
      <c r="AC63" s="1"/>
    </row>
    <row r="64" spans="1:29" x14ac:dyDescent="0.35">
      <c r="A64" s="1"/>
      <c r="B64" s="5"/>
      <c r="C64" s="25" t="s">
        <v>844</v>
      </c>
      <c r="D64" s="25" t="s">
        <v>831</v>
      </c>
      <c r="E64" s="25" t="s">
        <v>847</v>
      </c>
      <c r="F64" s="25" t="s">
        <v>848</v>
      </c>
      <c r="G64" s="50">
        <v>0</v>
      </c>
      <c r="H64" s="25"/>
      <c r="I64" s="25"/>
      <c r="J64" s="25"/>
      <c r="K64" s="25"/>
      <c r="L64" s="25"/>
      <c r="M64" s="25"/>
      <c r="N64" s="25"/>
      <c r="O64" s="25"/>
      <c r="P64" s="25"/>
      <c r="Q64" s="50">
        <v>1030.327</v>
      </c>
      <c r="R64" s="50">
        <v>1</v>
      </c>
      <c r="S64" s="37">
        <v>12.1000003814697</v>
      </c>
      <c r="T64" s="37">
        <v>12.1000003814697</v>
      </c>
      <c r="U64" s="37">
        <v>12.1000003814697</v>
      </c>
      <c r="V64" s="37">
        <v>12.1000003814697</v>
      </c>
      <c r="W64" s="37">
        <v>103.03199768066401</v>
      </c>
      <c r="X64" s="37">
        <v>103.03199768066401</v>
      </c>
      <c r="Y64" s="37">
        <v>103.03199768066401</v>
      </c>
      <c r="Z64" s="37">
        <v>103.03199768066401</v>
      </c>
      <c r="AA64" s="1"/>
      <c r="AB64" s="1"/>
      <c r="AC64" s="1"/>
    </row>
    <row r="65" spans="1:29" x14ac:dyDescent="0.35">
      <c r="A65" s="1"/>
      <c r="B65" s="5"/>
      <c r="C65" s="25" t="s">
        <v>724</v>
      </c>
      <c r="D65" s="25" t="s">
        <v>761</v>
      </c>
      <c r="E65" s="25" t="s">
        <v>494</v>
      </c>
      <c r="F65" s="25" t="s">
        <v>849</v>
      </c>
      <c r="G65" s="50">
        <v>0</v>
      </c>
      <c r="H65" s="25"/>
      <c r="I65" s="25"/>
      <c r="J65" s="25"/>
      <c r="K65" s="25"/>
      <c r="L65" s="25"/>
      <c r="M65" s="25"/>
      <c r="N65" s="25"/>
      <c r="O65" s="25"/>
      <c r="P65" s="25"/>
      <c r="Q65" s="50">
        <v>9295.1596339999996</v>
      </c>
      <c r="R65" s="50">
        <v>2</v>
      </c>
      <c r="S65" s="37">
        <v>10</v>
      </c>
      <c r="T65" s="37">
        <v>11.8999996185303</v>
      </c>
      <c r="U65" s="37">
        <v>10.654103675869701</v>
      </c>
      <c r="V65" s="37">
        <v>11.8999996185303</v>
      </c>
      <c r="W65" s="37">
        <v>101.58599853515599</v>
      </c>
      <c r="X65" s="37">
        <v>101.58599853515599</v>
      </c>
      <c r="Y65" s="37">
        <v>101.58599853515599</v>
      </c>
      <c r="Z65" s="37">
        <v>101.58599853515599</v>
      </c>
      <c r="AA65" s="1"/>
      <c r="AB65" s="1"/>
      <c r="AC65" s="1"/>
    </row>
    <row r="66" spans="1:29" x14ac:dyDescent="0.35">
      <c r="A66" s="1"/>
      <c r="B66" s="5"/>
      <c r="C66" s="25" t="s">
        <v>724</v>
      </c>
      <c r="D66" s="25" t="s">
        <v>761</v>
      </c>
      <c r="E66" s="25" t="s">
        <v>496</v>
      </c>
      <c r="F66" s="25" t="s">
        <v>850</v>
      </c>
      <c r="G66" s="50">
        <v>0</v>
      </c>
      <c r="H66" s="25"/>
      <c r="I66" s="25"/>
      <c r="J66" s="25"/>
      <c r="K66" s="25"/>
      <c r="L66" s="25"/>
      <c r="M66" s="25"/>
      <c r="N66" s="25"/>
      <c r="O66" s="25"/>
      <c r="P66" s="25"/>
      <c r="Q66" s="50">
        <v>2023.2539999999999</v>
      </c>
      <c r="R66" s="50">
        <v>1</v>
      </c>
      <c r="S66" s="37">
        <v>12.1000003814697</v>
      </c>
      <c r="T66" s="37">
        <v>12.1000003814697</v>
      </c>
      <c r="U66" s="37">
        <v>12.1000003814697</v>
      </c>
      <c r="V66" s="37">
        <v>12.1000003814697</v>
      </c>
      <c r="W66" s="37">
        <v>101.162002563477</v>
      </c>
      <c r="X66" s="37">
        <v>101.162002563477</v>
      </c>
      <c r="Y66" s="37">
        <v>101.162002563477</v>
      </c>
      <c r="Z66" s="37">
        <v>101.162002563477</v>
      </c>
      <c r="AA66" s="1"/>
      <c r="AB66" s="1"/>
      <c r="AC66" s="1"/>
    </row>
    <row r="67" spans="1:29" x14ac:dyDescent="0.35">
      <c r="A67" s="1"/>
      <c r="B67" s="5"/>
      <c r="C67" s="25" t="s">
        <v>724</v>
      </c>
      <c r="D67" s="25" t="s">
        <v>761</v>
      </c>
      <c r="E67" s="25" t="s">
        <v>512</v>
      </c>
      <c r="F67" s="25" t="s">
        <v>851</v>
      </c>
      <c r="G67" s="50">
        <v>0</v>
      </c>
      <c r="H67" s="25"/>
      <c r="I67" s="25"/>
      <c r="J67" s="25"/>
      <c r="K67" s="25"/>
      <c r="L67" s="25"/>
      <c r="M67" s="25"/>
      <c r="N67" s="25"/>
      <c r="O67" s="25"/>
      <c r="P67" s="25"/>
      <c r="Q67" s="50">
        <v>5010.42</v>
      </c>
      <c r="R67" s="50">
        <v>1</v>
      </c>
      <c r="S67" s="37">
        <v>12.1000003814697</v>
      </c>
      <c r="T67" s="37">
        <v>12.1000003814697</v>
      </c>
      <c r="U67" s="37">
        <v>12.1000003814697</v>
      </c>
      <c r="V67" s="37">
        <v>12.1000003814697</v>
      </c>
      <c r="W67" s="37">
        <v>100.208000183105</v>
      </c>
      <c r="X67" s="37">
        <v>100.208000183105</v>
      </c>
      <c r="Y67" s="37">
        <v>100.208000183105</v>
      </c>
      <c r="Z67" s="37">
        <v>100.208000183105</v>
      </c>
      <c r="AA67" s="1"/>
      <c r="AB67" s="1"/>
      <c r="AC67" s="1"/>
    </row>
    <row r="68" spans="1:29" x14ac:dyDescent="0.35">
      <c r="A68" s="1"/>
      <c r="B68" s="5"/>
      <c r="C68" s="25" t="s">
        <v>852</v>
      </c>
      <c r="D68" s="25" t="s">
        <v>761</v>
      </c>
      <c r="E68" s="25" t="s">
        <v>853</v>
      </c>
      <c r="F68" s="25" t="s">
        <v>854</v>
      </c>
      <c r="G68" s="50">
        <v>0</v>
      </c>
      <c r="H68" s="25"/>
      <c r="I68" s="25"/>
      <c r="J68" s="25"/>
      <c r="K68" s="25"/>
      <c r="L68" s="25"/>
      <c r="M68" s="25"/>
      <c r="N68" s="25"/>
      <c r="O68" s="25"/>
      <c r="P68" s="25"/>
      <c r="Q68" s="50">
        <v>2897.5144749999999</v>
      </c>
      <c r="R68" s="50">
        <v>1</v>
      </c>
      <c r="S68" s="37">
        <v>11.8999996185303</v>
      </c>
      <c r="T68" s="37">
        <v>11.8999996185303</v>
      </c>
      <c r="U68" s="37">
        <v>11.8999996185303</v>
      </c>
      <c r="V68" s="37">
        <v>11.8999996185303</v>
      </c>
      <c r="W68" s="37">
        <v>100.19100189209</v>
      </c>
      <c r="X68" s="37">
        <v>100.19100189209</v>
      </c>
      <c r="Y68" s="37">
        <v>100.19100189209</v>
      </c>
      <c r="Z68" s="37">
        <v>100.19100189209</v>
      </c>
      <c r="AA68" s="1"/>
      <c r="AB68" s="1"/>
      <c r="AC68" s="1"/>
    </row>
    <row r="69" spans="1:29" x14ac:dyDescent="0.35">
      <c r="A69" s="1"/>
      <c r="B69" s="5"/>
      <c r="C69" s="25" t="s">
        <v>852</v>
      </c>
      <c r="D69" s="25" t="s">
        <v>761</v>
      </c>
      <c r="E69" s="25" t="s">
        <v>498</v>
      </c>
      <c r="F69" s="25" t="s">
        <v>773</v>
      </c>
      <c r="G69" s="50">
        <v>0</v>
      </c>
      <c r="H69" s="25"/>
      <c r="I69" s="25"/>
      <c r="J69" s="25"/>
      <c r="K69" s="25"/>
      <c r="L69" s="25"/>
      <c r="M69" s="25"/>
      <c r="N69" s="25"/>
      <c r="O69" s="25"/>
      <c r="P69" s="25"/>
      <c r="Q69" s="50">
        <v>3036.549</v>
      </c>
      <c r="R69" s="50">
        <v>1</v>
      </c>
      <c r="S69" s="37">
        <v>12.1000003814697</v>
      </c>
      <c r="T69" s="37">
        <v>12.1000003814697</v>
      </c>
      <c r="U69" s="37">
        <v>12.1000003814697</v>
      </c>
      <c r="V69" s="37">
        <v>12.1000003814697</v>
      </c>
      <c r="W69" s="37">
        <v>101.21800231933599</v>
      </c>
      <c r="X69" s="37">
        <v>101.21800231933599</v>
      </c>
      <c r="Y69" s="37">
        <v>101.21800231933599</v>
      </c>
      <c r="Z69" s="37">
        <v>101.21800231933599</v>
      </c>
      <c r="AA69" s="1"/>
      <c r="AB69" s="1"/>
      <c r="AC69" s="1"/>
    </row>
    <row r="70" spans="1:29" x14ac:dyDescent="0.35">
      <c r="A70" s="1"/>
      <c r="B70" s="5"/>
      <c r="C70" s="25" t="s">
        <v>852</v>
      </c>
      <c r="D70" s="25" t="s">
        <v>761</v>
      </c>
      <c r="E70" s="25" t="s">
        <v>500</v>
      </c>
      <c r="F70" s="25" t="s">
        <v>855</v>
      </c>
      <c r="G70" s="50">
        <v>0</v>
      </c>
      <c r="H70" s="25"/>
      <c r="I70" s="25"/>
      <c r="J70" s="25"/>
      <c r="K70" s="25"/>
      <c r="L70" s="25"/>
      <c r="M70" s="25"/>
      <c r="N70" s="25"/>
      <c r="O70" s="25"/>
      <c r="P70" s="25"/>
      <c r="Q70" s="50">
        <v>4456.2201999999997</v>
      </c>
      <c r="R70" s="50">
        <v>6</v>
      </c>
      <c r="S70" s="37">
        <v>11.8999996185303</v>
      </c>
      <c r="T70" s="37">
        <v>11.8999996185303</v>
      </c>
      <c r="U70" s="37">
        <v>11.8999996185303</v>
      </c>
      <c r="V70" s="37">
        <v>11.8999996185303</v>
      </c>
      <c r="W70" s="37">
        <v>101.01100158691401</v>
      </c>
      <c r="X70" s="37">
        <v>101.01100158691401</v>
      </c>
      <c r="Y70" s="37">
        <v>101.01100158691401</v>
      </c>
      <c r="Z70" s="37">
        <v>101.01100158691401</v>
      </c>
      <c r="AA70" s="1"/>
      <c r="AB70" s="1"/>
      <c r="AC70" s="1"/>
    </row>
    <row r="71" spans="1:29" x14ac:dyDescent="0.35">
      <c r="A71" s="1"/>
      <c r="B71" s="5"/>
      <c r="C71" s="25" t="s">
        <v>852</v>
      </c>
      <c r="D71" s="25" t="s">
        <v>761</v>
      </c>
      <c r="E71" s="25" t="s">
        <v>504</v>
      </c>
      <c r="F71" s="25" t="s">
        <v>856</v>
      </c>
      <c r="G71" s="50">
        <v>0</v>
      </c>
      <c r="H71" s="25"/>
      <c r="I71" s="25"/>
      <c r="J71" s="25"/>
      <c r="K71" s="25"/>
      <c r="L71" s="25"/>
      <c r="M71" s="25"/>
      <c r="N71" s="25"/>
      <c r="O71" s="25"/>
      <c r="P71" s="25"/>
      <c r="Q71" s="50">
        <v>5035.0249999999996</v>
      </c>
      <c r="R71" s="50">
        <v>1</v>
      </c>
      <c r="S71" s="37">
        <v>12.25</v>
      </c>
      <c r="T71" s="37">
        <v>12.25</v>
      </c>
      <c r="U71" s="37">
        <v>12.25</v>
      </c>
      <c r="V71" s="37">
        <v>12.25</v>
      </c>
      <c r="W71" s="37">
        <v>100.699996948242</v>
      </c>
      <c r="X71" s="37">
        <v>100.699996948242</v>
      </c>
      <c r="Y71" s="37">
        <v>100.699996948242</v>
      </c>
      <c r="Z71" s="37">
        <v>100.699996948242</v>
      </c>
      <c r="AA71" s="1"/>
      <c r="AB71" s="1"/>
      <c r="AC71" s="1"/>
    </row>
    <row r="72" spans="1:29" x14ac:dyDescent="0.35">
      <c r="A72" s="1"/>
      <c r="B72" s="5"/>
      <c r="C72" s="25" t="s">
        <v>857</v>
      </c>
      <c r="D72" s="25" t="s">
        <v>858</v>
      </c>
      <c r="E72" s="25" t="s">
        <v>859</v>
      </c>
      <c r="F72" s="25" t="s">
        <v>860</v>
      </c>
      <c r="G72" s="50">
        <v>169.32614899999999</v>
      </c>
      <c r="H72" s="50">
        <v>3</v>
      </c>
      <c r="I72" s="37">
        <v>0</v>
      </c>
      <c r="J72" s="37">
        <v>0</v>
      </c>
      <c r="K72" s="37">
        <v>0</v>
      </c>
      <c r="L72" s="37">
        <v>0</v>
      </c>
      <c r="M72" s="37">
        <v>39.5</v>
      </c>
      <c r="N72" s="37">
        <v>39.5</v>
      </c>
      <c r="O72" s="37">
        <v>39.5</v>
      </c>
      <c r="P72" s="37">
        <v>39.5</v>
      </c>
      <c r="Q72" s="50">
        <v>0</v>
      </c>
      <c r="R72" s="25"/>
      <c r="S72" s="25"/>
      <c r="T72" s="25"/>
      <c r="U72" s="25"/>
      <c r="V72" s="25"/>
      <c r="W72" s="25"/>
      <c r="X72" s="25"/>
      <c r="Y72" s="25"/>
      <c r="Z72" s="25"/>
      <c r="AA72" s="1"/>
      <c r="AB72" s="1"/>
      <c r="AC72" s="1"/>
    </row>
    <row r="73" spans="1:29" x14ac:dyDescent="0.35">
      <c r="A73" s="1"/>
      <c r="B73" s="5"/>
      <c r="C73" s="25" t="s">
        <v>861</v>
      </c>
      <c r="D73" s="25" t="s">
        <v>862</v>
      </c>
      <c r="E73" s="25" t="s">
        <v>863</v>
      </c>
      <c r="F73" s="25" t="s">
        <v>864</v>
      </c>
      <c r="G73" s="50">
        <v>88541.698000000004</v>
      </c>
      <c r="H73" s="50">
        <v>10</v>
      </c>
      <c r="I73" s="37">
        <v>12.569999694824199</v>
      </c>
      <c r="J73" s="37">
        <v>12.760999679565399</v>
      </c>
      <c r="K73" s="37">
        <v>12.6725529153296</v>
      </c>
      <c r="L73" s="37">
        <v>12.7299995422363</v>
      </c>
      <c r="M73" s="37">
        <v>94.155998229980497</v>
      </c>
      <c r="N73" s="37">
        <v>94.236000061035199</v>
      </c>
      <c r="O73" s="37">
        <v>94.193068240551199</v>
      </c>
      <c r="P73" s="37">
        <v>94.168998718261705</v>
      </c>
      <c r="Q73" s="50">
        <v>0</v>
      </c>
      <c r="R73" s="25"/>
      <c r="S73" s="25"/>
      <c r="T73" s="25"/>
      <c r="U73" s="25"/>
      <c r="V73" s="25"/>
      <c r="W73" s="25"/>
      <c r="X73" s="25"/>
      <c r="Y73" s="25"/>
      <c r="Z73" s="25"/>
      <c r="AA73" s="1"/>
      <c r="AB73" s="1"/>
      <c r="AC73" s="1"/>
    </row>
    <row r="74" spans="1:29" x14ac:dyDescent="0.35">
      <c r="A74" s="1"/>
      <c r="B74" s="5"/>
      <c r="C74" s="25" t="s">
        <v>333</v>
      </c>
      <c r="D74" s="25" t="s">
        <v>862</v>
      </c>
      <c r="E74" s="25" t="s">
        <v>865</v>
      </c>
      <c r="F74" s="25" t="s">
        <v>866</v>
      </c>
      <c r="G74" s="50">
        <v>0</v>
      </c>
      <c r="H74" s="25"/>
      <c r="I74" s="25"/>
      <c r="J74" s="25"/>
      <c r="K74" s="25"/>
      <c r="L74" s="25"/>
      <c r="M74" s="25"/>
      <c r="N74" s="25"/>
      <c r="O74" s="25"/>
      <c r="P74" s="25"/>
      <c r="Q74" s="50">
        <v>3279356.4803399998</v>
      </c>
      <c r="R74" s="50">
        <v>66</v>
      </c>
      <c r="S74" s="37">
        <v>8.75</v>
      </c>
      <c r="T74" s="37">
        <v>12.199999809265099</v>
      </c>
      <c r="U74" s="37">
        <v>11.943568272688101</v>
      </c>
      <c r="V74" s="37">
        <v>12</v>
      </c>
      <c r="W74" s="37">
        <v>106.01000213623</v>
      </c>
      <c r="X74" s="37">
        <v>106.458000183105</v>
      </c>
      <c r="Y74" s="37">
        <v>106.35877482250601</v>
      </c>
      <c r="Z74" s="37">
        <v>106.31600189209</v>
      </c>
      <c r="AA74" s="1"/>
      <c r="AB74" s="1"/>
      <c r="AC74" s="1"/>
    </row>
    <row r="75" spans="1:29" x14ac:dyDescent="0.35">
      <c r="A75" s="1"/>
      <c r="B75" s="5"/>
      <c r="C75" s="25" t="s">
        <v>337</v>
      </c>
      <c r="D75" s="25" t="s">
        <v>862</v>
      </c>
      <c r="E75" s="25" t="s">
        <v>867</v>
      </c>
      <c r="F75" s="25" t="s">
        <v>868</v>
      </c>
      <c r="G75" s="50">
        <v>527501.57695300004</v>
      </c>
      <c r="H75" s="50">
        <v>31</v>
      </c>
      <c r="I75" s="37">
        <v>12.564999580383301</v>
      </c>
      <c r="J75" s="37">
        <v>12.6450004577637</v>
      </c>
      <c r="K75" s="37">
        <v>12.61163318831</v>
      </c>
      <c r="L75" s="37">
        <v>12.6000003814697</v>
      </c>
      <c r="M75" s="37">
        <v>104.557998657227</v>
      </c>
      <c r="N75" s="37">
        <v>104.84700012207</v>
      </c>
      <c r="O75" s="37">
        <v>104.65184955431801</v>
      </c>
      <c r="P75" s="37">
        <v>104.681999206543</v>
      </c>
      <c r="Q75" s="50">
        <v>457789.02</v>
      </c>
      <c r="R75" s="50">
        <v>11</v>
      </c>
      <c r="S75" s="37">
        <v>12</v>
      </c>
      <c r="T75" s="37">
        <v>12.3999996185303</v>
      </c>
      <c r="U75" s="37">
        <v>12.0167047950168</v>
      </c>
      <c r="V75" s="37">
        <v>12</v>
      </c>
      <c r="W75" s="37">
        <v>104.709999084473</v>
      </c>
      <c r="X75" s="37">
        <v>104.764999389648</v>
      </c>
      <c r="Y75" s="37">
        <v>104.75721262357899</v>
      </c>
      <c r="Z75" s="37">
        <v>104.709999084473</v>
      </c>
      <c r="AA75" s="1"/>
      <c r="AB75" s="1"/>
      <c r="AC75" s="1"/>
    </row>
    <row r="76" spans="1:29" x14ac:dyDescent="0.35">
      <c r="A76" s="1"/>
      <c r="B76" s="5"/>
      <c r="C76" s="25" t="s">
        <v>341</v>
      </c>
      <c r="D76" s="25" t="s">
        <v>862</v>
      </c>
      <c r="E76" s="25" t="s">
        <v>869</v>
      </c>
      <c r="F76" s="25" t="s">
        <v>870</v>
      </c>
      <c r="G76" s="50">
        <v>0</v>
      </c>
      <c r="H76" s="25"/>
      <c r="I76" s="25"/>
      <c r="J76" s="25"/>
      <c r="K76" s="25"/>
      <c r="L76" s="25"/>
      <c r="M76" s="25"/>
      <c r="N76" s="25"/>
      <c r="O76" s="25"/>
      <c r="P76" s="25"/>
      <c r="Q76" s="50">
        <v>315162.24394900003</v>
      </c>
      <c r="R76" s="50">
        <v>18</v>
      </c>
      <c r="S76" s="37">
        <v>10.5</v>
      </c>
      <c r="T76" s="37">
        <v>12.003999710083001</v>
      </c>
      <c r="U76" s="37">
        <v>11.950108644288701</v>
      </c>
      <c r="V76" s="37">
        <v>12</v>
      </c>
      <c r="W76" s="37">
        <v>96.725997924804702</v>
      </c>
      <c r="X76" s="37">
        <v>96.926002502441406</v>
      </c>
      <c r="Y76" s="37">
        <v>96.847679984475903</v>
      </c>
      <c r="Z76" s="37">
        <v>96.862998962402301</v>
      </c>
      <c r="AA76" s="1"/>
      <c r="AB76" s="1"/>
      <c r="AC76" s="1"/>
    </row>
    <row r="77" spans="1:29" x14ac:dyDescent="0.35">
      <c r="A77" s="1"/>
      <c r="B77" s="5"/>
      <c r="C77" s="25" t="s">
        <v>345</v>
      </c>
      <c r="D77" s="25" t="s">
        <v>862</v>
      </c>
      <c r="E77" s="25" t="s">
        <v>871</v>
      </c>
      <c r="F77" s="25" t="s">
        <v>872</v>
      </c>
      <c r="G77" s="50">
        <v>117994.5845</v>
      </c>
      <c r="H77" s="50">
        <v>6</v>
      </c>
      <c r="I77" s="37">
        <v>12.3400001525879</v>
      </c>
      <c r="J77" s="37">
        <v>12.439999580383301</v>
      </c>
      <c r="K77" s="37">
        <v>12.395337756418201</v>
      </c>
      <c r="L77" s="37">
        <v>12.3599996566772</v>
      </c>
      <c r="M77" s="37">
        <v>83.8489990234375</v>
      </c>
      <c r="N77" s="37">
        <v>84.146003723144503</v>
      </c>
      <c r="O77" s="37">
        <v>83.981012799137403</v>
      </c>
      <c r="P77" s="37">
        <v>84.085998535156307</v>
      </c>
      <c r="Q77" s="50">
        <v>125714.7905</v>
      </c>
      <c r="R77" s="50">
        <v>6</v>
      </c>
      <c r="S77" s="37">
        <v>11.8500003814697</v>
      </c>
      <c r="T77" s="37">
        <v>12</v>
      </c>
      <c r="U77" s="37">
        <v>11.8871239531399</v>
      </c>
      <c r="V77" s="37">
        <v>12</v>
      </c>
      <c r="W77" s="37">
        <v>84.027000427246094</v>
      </c>
      <c r="X77" s="37">
        <v>84.115997314453097</v>
      </c>
      <c r="Y77" s="37">
        <v>84.089261389895</v>
      </c>
      <c r="Z77" s="37">
        <v>84.110000610351605</v>
      </c>
      <c r="AA77" s="1"/>
      <c r="AB77" s="1"/>
      <c r="AC77" s="1"/>
    </row>
    <row r="78" spans="1:29" x14ac:dyDescent="0.35">
      <c r="A78" s="1"/>
      <c r="B78" s="5"/>
      <c r="C78" s="25" t="s">
        <v>349</v>
      </c>
      <c r="D78" s="25" t="s">
        <v>862</v>
      </c>
      <c r="E78" s="25" t="s">
        <v>873</v>
      </c>
      <c r="F78" s="25" t="s">
        <v>874</v>
      </c>
      <c r="G78" s="50">
        <v>0</v>
      </c>
      <c r="H78" s="25"/>
      <c r="I78" s="25"/>
      <c r="J78" s="25"/>
      <c r="K78" s="25"/>
      <c r="L78" s="25"/>
      <c r="M78" s="25"/>
      <c r="N78" s="25"/>
      <c r="O78" s="25"/>
      <c r="P78" s="25"/>
      <c r="Q78" s="50">
        <v>114836.2148</v>
      </c>
      <c r="R78" s="50">
        <v>4</v>
      </c>
      <c r="S78" s="37">
        <v>12</v>
      </c>
      <c r="T78" s="37">
        <v>12.25</v>
      </c>
      <c r="U78" s="37">
        <v>12.000719079578101</v>
      </c>
      <c r="V78" s="37">
        <v>12.25</v>
      </c>
      <c r="W78" s="37">
        <v>109.612998962402</v>
      </c>
      <c r="X78" s="37">
        <v>110.168998718262</v>
      </c>
      <c r="Y78" s="37">
        <v>110.101233251029</v>
      </c>
      <c r="Z78" s="37">
        <v>110.168998718262</v>
      </c>
      <c r="AA78" s="1"/>
      <c r="AB78" s="1"/>
      <c r="AC78" s="1"/>
    </row>
    <row r="79" spans="1:29" x14ac:dyDescent="0.35">
      <c r="A79" s="1"/>
      <c r="B79" s="5"/>
      <c r="C79" s="25" t="s">
        <v>353</v>
      </c>
      <c r="D79" s="25" t="s">
        <v>862</v>
      </c>
      <c r="E79" s="25" t="s">
        <v>875</v>
      </c>
      <c r="F79" s="25" t="s">
        <v>876</v>
      </c>
      <c r="G79" s="50">
        <v>64764.376669999998</v>
      </c>
      <c r="H79" s="50">
        <v>3</v>
      </c>
      <c r="I79" s="37">
        <v>12.2910003662109</v>
      </c>
      <c r="J79" s="37">
        <v>12.310000419616699</v>
      </c>
      <c r="K79" s="37">
        <v>12.292143072346599</v>
      </c>
      <c r="L79" s="37">
        <v>12.2849998474121</v>
      </c>
      <c r="M79" s="37">
        <v>102.899002075195</v>
      </c>
      <c r="N79" s="37">
        <v>103.092002868652</v>
      </c>
      <c r="O79" s="37">
        <v>103.077900959545</v>
      </c>
      <c r="P79" s="37">
        <v>103.024002075195</v>
      </c>
      <c r="Q79" s="50">
        <v>113852.9765</v>
      </c>
      <c r="R79" s="50">
        <v>4</v>
      </c>
      <c r="S79" s="37">
        <v>11.8500003814697</v>
      </c>
      <c r="T79" s="37">
        <v>12</v>
      </c>
      <c r="U79" s="37">
        <v>11.8506791127753</v>
      </c>
      <c r="V79" s="37">
        <v>12</v>
      </c>
      <c r="W79" s="37">
        <v>103.03399658203099</v>
      </c>
      <c r="X79" s="37">
        <v>103.04900360107401</v>
      </c>
      <c r="Y79" s="37">
        <v>103.03406448709499</v>
      </c>
      <c r="Z79" s="37">
        <v>103.04900360107401</v>
      </c>
      <c r="AA79" s="1"/>
      <c r="AB79" s="1"/>
      <c r="AC79" s="1"/>
    </row>
    <row r="80" spans="1:29" x14ac:dyDescent="0.35">
      <c r="A80" s="1"/>
      <c r="B80" s="5"/>
      <c r="C80" s="25" t="s">
        <v>361</v>
      </c>
      <c r="D80" s="25" t="s">
        <v>862</v>
      </c>
      <c r="E80" s="25" t="s">
        <v>877</v>
      </c>
      <c r="F80" s="25" t="s">
        <v>878</v>
      </c>
      <c r="G80" s="50">
        <v>33043.684849999998</v>
      </c>
      <c r="H80" s="50">
        <v>16</v>
      </c>
      <c r="I80" s="37">
        <v>12.545000076293899</v>
      </c>
      <c r="J80" s="37">
        <v>12.6000003814697</v>
      </c>
      <c r="K80" s="37">
        <v>12.5818031750175</v>
      </c>
      <c r="L80" s="37">
        <v>12.5950002670288</v>
      </c>
      <c r="M80" s="37">
        <v>91.609001159667997</v>
      </c>
      <c r="N80" s="37">
        <v>91.762001037597699</v>
      </c>
      <c r="O80" s="37">
        <v>91.660005302270505</v>
      </c>
      <c r="P80" s="37">
        <v>91.623001098632798</v>
      </c>
      <c r="Q80" s="50">
        <v>917.76700000000005</v>
      </c>
      <c r="R80" s="50">
        <v>1</v>
      </c>
      <c r="S80" s="37">
        <v>12</v>
      </c>
      <c r="T80" s="37">
        <v>12</v>
      </c>
      <c r="U80" s="37">
        <v>12</v>
      </c>
      <c r="V80" s="37">
        <v>12</v>
      </c>
      <c r="W80" s="37">
        <v>91.7760009765625</v>
      </c>
      <c r="X80" s="37">
        <v>91.7760009765625</v>
      </c>
      <c r="Y80" s="37">
        <v>91.7760009765625</v>
      </c>
      <c r="Z80" s="37">
        <v>91.7760009765625</v>
      </c>
      <c r="AA80" s="1"/>
      <c r="AB80" s="1"/>
      <c r="AC80" s="1"/>
    </row>
    <row r="81" spans="1:29" x14ac:dyDescent="0.35">
      <c r="A81" s="1"/>
      <c r="B81" s="5"/>
      <c r="C81" s="25" t="s">
        <v>369</v>
      </c>
      <c r="D81" s="25" t="s">
        <v>862</v>
      </c>
      <c r="E81" s="25" t="s">
        <v>879</v>
      </c>
      <c r="F81" s="25" t="s">
        <v>880</v>
      </c>
      <c r="G81" s="50">
        <v>0</v>
      </c>
      <c r="H81" s="25"/>
      <c r="I81" s="25"/>
      <c r="J81" s="25"/>
      <c r="K81" s="25"/>
      <c r="L81" s="25"/>
      <c r="M81" s="25"/>
      <c r="N81" s="25"/>
      <c r="O81" s="25"/>
      <c r="P81" s="25"/>
      <c r="Q81" s="50">
        <v>1975088.9011200001</v>
      </c>
      <c r="R81" s="50">
        <v>37</v>
      </c>
      <c r="S81" s="37">
        <v>11.8999996185303</v>
      </c>
      <c r="T81" s="37">
        <v>12.1000003814697</v>
      </c>
      <c r="U81" s="37">
        <v>12.006849315689299</v>
      </c>
      <c r="V81" s="37">
        <v>12</v>
      </c>
      <c r="W81" s="37">
        <v>91.513000488281307</v>
      </c>
      <c r="X81" s="37">
        <v>91.544998168945298</v>
      </c>
      <c r="Y81" s="37">
        <v>91.535764265736901</v>
      </c>
      <c r="Z81" s="37">
        <v>91.535003662109403</v>
      </c>
      <c r="AA81" s="1"/>
      <c r="AB81" s="1"/>
      <c r="AC81" s="1"/>
    </row>
    <row r="82" spans="1:29" x14ac:dyDescent="0.35">
      <c r="A82" s="1"/>
      <c r="B82" s="5"/>
      <c r="C82" s="25" t="s">
        <v>373</v>
      </c>
      <c r="D82" s="25" t="s">
        <v>862</v>
      </c>
      <c r="E82" s="25" t="s">
        <v>881</v>
      </c>
      <c r="F82" s="25" t="s">
        <v>882</v>
      </c>
      <c r="G82" s="50">
        <v>0</v>
      </c>
      <c r="H82" s="25"/>
      <c r="I82" s="25"/>
      <c r="J82" s="25"/>
      <c r="K82" s="25"/>
      <c r="L82" s="25"/>
      <c r="M82" s="25"/>
      <c r="N82" s="25"/>
      <c r="O82" s="25"/>
      <c r="P82" s="25"/>
      <c r="Q82" s="50">
        <v>384753.75</v>
      </c>
      <c r="R82" s="50">
        <v>13</v>
      </c>
      <c r="S82" s="37">
        <v>7</v>
      </c>
      <c r="T82" s="37">
        <v>12</v>
      </c>
      <c r="U82" s="37">
        <v>10.016521592071101</v>
      </c>
      <c r="V82" s="37">
        <v>9</v>
      </c>
      <c r="W82" s="37">
        <v>111.486000061035</v>
      </c>
      <c r="X82" s="37">
        <v>111.65599822998</v>
      </c>
      <c r="Y82" s="37">
        <v>111.52232486890701</v>
      </c>
      <c r="Z82" s="37">
        <v>111.486000061035</v>
      </c>
      <c r="AA82" s="1"/>
      <c r="AB82" s="1"/>
      <c r="AC82" s="1"/>
    </row>
    <row r="83" spans="1:29" x14ac:dyDescent="0.35">
      <c r="A83" s="1"/>
      <c r="B83" s="5"/>
      <c r="C83" s="25" t="s">
        <v>377</v>
      </c>
      <c r="D83" s="25" t="s">
        <v>862</v>
      </c>
      <c r="E83" s="25" t="s">
        <v>883</v>
      </c>
      <c r="F83" s="25" t="s">
        <v>884</v>
      </c>
      <c r="G83" s="50">
        <v>0</v>
      </c>
      <c r="H83" s="25"/>
      <c r="I83" s="25"/>
      <c r="J83" s="25"/>
      <c r="K83" s="25"/>
      <c r="L83" s="25"/>
      <c r="M83" s="25"/>
      <c r="N83" s="25"/>
      <c r="O83" s="25"/>
      <c r="P83" s="25"/>
      <c r="Q83" s="50">
        <v>7915.48</v>
      </c>
      <c r="R83" s="50">
        <v>1</v>
      </c>
      <c r="S83" s="37">
        <v>12.050000190734901</v>
      </c>
      <c r="T83" s="37">
        <v>12.050000190734901</v>
      </c>
      <c r="U83" s="37">
        <v>12.050000190734901</v>
      </c>
      <c r="V83" s="37">
        <v>12.050000190734901</v>
      </c>
      <c r="W83" s="37">
        <v>79.153999328613295</v>
      </c>
      <c r="X83" s="37">
        <v>79.153999328613295</v>
      </c>
      <c r="Y83" s="37">
        <v>79.153999328613295</v>
      </c>
      <c r="Z83" s="37">
        <v>79.153999328613295</v>
      </c>
      <c r="AA83" s="1"/>
      <c r="AB83" s="1"/>
      <c r="AC83" s="1"/>
    </row>
    <row r="84" spans="1:29" x14ac:dyDescent="0.35">
      <c r="A84" s="1"/>
      <c r="B84" s="5"/>
      <c r="C84" s="25" t="s">
        <v>381</v>
      </c>
      <c r="D84" s="25" t="s">
        <v>862</v>
      </c>
      <c r="E84" s="25" t="s">
        <v>885</v>
      </c>
      <c r="F84" s="25" t="s">
        <v>886</v>
      </c>
      <c r="G84" s="50">
        <v>0</v>
      </c>
      <c r="H84" s="25"/>
      <c r="I84" s="25"/>
      <c r="J84" s="25"/>
      <c r="K84" s="25"/>
      <c r="L84" s="25"/>
      <c r="M84" s="25"/>
      <c r="N84" s="25"/>
      <c r="O84" s="25"/>
      <c r="P84" s="25"/>
      <c r="Q84" s="50">
        <v>7726.0074999999997</v>
      </c>
      <c r="R84" s="50">
        <v>3</v>
      </c>
      <c r="S84" s="37">
        <v>12</v>
      </c>
      <c r="T84" s="37">
        <v>12.1499996185303</v>
      </c>
      <c r="U84" s="37">
        <v>12.031578867059</v>
      </c>
      <c r="V84" s="37">
        <v>12</v>
      </c>
      <c r="W84" s="37">
        <v>81.317001342773395</v>
      </c>
      <c r="X84" s="37">
        <v>81.486000061035199</v>
      </c>
      <c r="Y84" s="37">
        <v>81.325896012155596</v>
      </c>
      <c r="Z84" s="37">
        <v>81.486000061035199</v>
      </c>
      <c r="AA84" s="1"/>
      <c r="AB84" s="1"/>
      <c r="AC84" s="1"/>
    </row>
    <row r="85" spans="1:29" x14ac:dyDescent="0.35">
      <c r="A85" s="1"/>
      <c r="B85" s="5"/>
      <c r="C85" s="25" t="s">
        <v>385</v>
      </c>
      <c r="D85" s="25" t="s">
        <v>862</v>
      </c>
      <c r="E85" s="25" t="s">
        <v>887</v>
      </c>
      <c r="F85" s="25" t="s">
        <v>888</v>
      </c>
      <c r="G85" s="50">
        <v>0</v>
      </c>
      <c r="H85" s="25"/>
      <c r="I85" s="25"/>
      <c r="J85" s="25"/>
      <c r="K85" s="25"/>
      <c r="L85" s="25"/>
      <c r="M85" s="25"/>
      <c r="N85" s="25"/>
      <c r="O85" s="25"/>
      <c r="P85" s="25"/>
      <c r="Q85" s="50">
        <v>60987.89</v>
      </c>
      <c r="R85" s="50">
        <v>6</v>
      </c>
      <c r="S85" s="37">
        <v>11.5</v>
      </c>
      <c r="T85" s="37">
        <v>12.1499996185303</v>
      </c>
      <c r="U85" s="37">
        <v>11.9781251549721</v>
      </c>
      <c r="V85" s="37">
        <v>12.0200004577637</v>
      </c>
      <c r="W85" s="37">
        <v>95.249000549316406</v>
      </c>
      <c r="X85" s="37">
        <v>95.606002807617202</v>
      </c>
      <c r="Y85" s="37">
        <v>95.293578505516095</v>
      </c>
      <c r="Z85" s="37">
        <v>95.249000549316406</v>
      </c>
      <c r="AA85" s="1"/>
      <c r="AB85" s="1"/>
      <c r="AC85" s="1"/>
    </row>
    <row r="86" spans="1:29" x14ac:dyDescent="0.35">
      <c r="A86" s="1"/>
      <c r="B86" s="5"/>
      <c r="C86" s="25" t="s">
        <v>389</v>
      </c>
      <c r="D86" s="25" t="s">
        <v>862</v>
      </c>
      <c r="E86" s="25" t="s">
        <v>889</v>
      </c>
      <c r="F86" s="25" t="s">
        <v>890</v>
      </c>
      <c r="G86" s="50">
        <v>0</v>
      </c>
      <c r="H86" s="25"/>
      <c r="I86" s="25"/>
      <c r="J86" s="25"/>
      <c r="K86" s="25"/>
      <c r="L86" s="25"/>
      <c r="M86" s="25"/>
      <c r="N86" s="25"/>
      <c r="O86" s="25"/>
      <c r="P86" s="25"/>
      <c r="Q86" s="50">
        <v>41015.202499999999</v>
      </c>
      <c r="R86" s="50">
        <v>5</v>
      </c>
      <c r="S86" s="37">
        <v>11.800000190734901</v>
      </c>
      <c r="T86" s="37">
        <v>12.1499996185303</v>
      </c>
      <c r="U86" s="37">
        <v>11.921074449523401</v>
      </c>
      <c r="V86" s="37">
        <v>11.800000190734901</v>
      </c>
      <c r="W86" s="37">
        <v>67.791999816894503</v>
      </c>
      <c r="X86" s="37">
        <v>67.829002380371094</v>
      </c>
      <c r="Y86" s="37">
        <v>67.793223042133405</v>
      </c>
      <c r="Z86" s="37">
        <v>67.791999816894503</v>
      </c>
      <c r="AA86" s="1"/>
      <c r="AB86" s="1"/>
      <c r="AC86" s="1"/>
    </row>
    <row r="87" spans="1:29" x14ac:dyDescent="0.35">
      <c r="A87" s="1"/>
      <c r="B87" s="5"/>
      <c r="C87" s="25" t="s">
        <v>393</v>
      </c>
      <c r="D87" s="25" t="s">
        <v>862</v>
      </c>
      <c r="E87" s="25" t="s">
        <v>891</v>
      </c>
      <c r="F87" s="25" t="s">
        <v>892</v>
      </c>
      <c r="G87" s="50">
        <v>0</v>
      </c>
      <c r="H87" s="25"/>
      <c r="I87" s="25"/>
      <c r="J87" s="25"/>
      <c r="K87" s="25"/>
      <c r="L87" s="25"/>
      <c r="M87" s="25"/>
      <c r="N87" s="25"/>
      <c r="O87" s="25"/>
      <c r="P87" s="25"/>
      <c r="Q87" s="50">
        <v>403051.04</v>
      </c>
      <c r="R87" s="50">
        <v>13</v>
      </c>
      <c r="S87" s="37">
        <v>11.5</v>
      </c>
      <c r="T87" s="37">
        <v>12.1499996185303</v>
      </c>
      <c r="U87" s="37">
        <v>11.9069620204877</v>
      </c>
      <c r="V87" s="37">
        <v>11.5</v>
      </c>
      <c r="W87" s="37">
        <v>101.76799774169901</v>
      </c>
      <c r="X87" s="37">
        <v>102.125</v>
      </c>
      <c r="Y87" s="37">
        <v>102.038037650193</v>
      </c>
      <c r="Z87" s="37">
        <v>102.125</v>
      </c>
      <c r="AA87" s="1"/>
      <c r="AB87" s="1"/>
      <c r="AC87" s="1"/>
    </row>
    <row r="88" spans="1:29" x14ac:dyDescent="0.35">
      <c r="A88" s="1"/>
      <c r="B88" s="5"/>
      <c r="C88" s="25" t="s">
        <v>893</v>
      </c>
      <c r="D88" s="25" t="s">
        <v>894</v>
      </c>
      <c r="E88" s="25" t="s">
        <v>512</v>
      </c>
      <c r="F88" s="25" t="s">
        <v>895</v>
      </c>
      <c r="G88" s="50">
        <v>6483.5958479999999</v>
      </c>
      <c r="H88" s="50">
        <v>11</v>
      </c>
      <c r="I88" s="37">
        <v>0</v>
      </c>
      <c r="J88" s="37">
        <v>0</v>
      </c>
      <c r="K88" s="37">
        <v>0</v>
      </c>
      <c r="L88" s="37">
        <v>0</v>
      </c>
      <c r="M88" s="37">
        <v>98</v>
      </c>
      <c r="N88" s="37">
        <v>100.25</v>
      </c>
      <c r="O88" s="37">
        <v>99.985655938438697</v>
      </c>
      <c r="P88" s="37">
        <v>100</v>
      </c>
      <c r="Q88" s="50">
        <v>0</v>
      </c>
      <c r="R88" s="25"/>
      <c r="S88" s="25"/>
      <c r="T88" s="25"/>
      <c r="U88" s="25"/>
      <c r="V88" s="25"/>
      <c r="W88" s="25"/>
      <c r="X88" s="25"/>
      <c r="Y88" s="25"/>
      <c r="Z88" s="25"/>
      <c r="AA88" s="1"/>
      <c r="AB88" s="1"/>
      <c r="AC88" s="1"/>
    </row>
    <row r="89" spans="1:29" x14ac:dyDescent="0.35">
      <c r="A89" s="1"/>
      <c r="B89" s="5"/>
      <c r="C89" s="25" t="s">
        <v>433</v>
      </c>
      <c r="D89" s="25" t="s">
        <v>896</v>
      </c>
      <c r="E89" s="25" t="s">
        <v>897</v>
      </c>
      <c r="F89" s="25" t="s">
        <v>898</v>
      </c>
      <c r="G89" s="50">
        <v>0</v>
      </c>
      <c r="H89" s="25"/>
      <c r="I89" s="25"/>
      <c r="J89" s="25"/>
      <c r="K89" s="25"/>
      <c r="L89" s="25"/>
      <c r="M89" s="25"/>
      <c r="N89" s="25"/>
      <c r="O89" s="25"/>
      <c r="P89" s="25"/>
      <c r="Q89" s="50">
        <v>183618.21449300001</v>
      </c>
      <c r="R89" s="50">
        <v>6</v>
      </c>
      <c r="S89" s="37">
        <v>12</v>
      </c>
      <c r="T89" s="37">
        <v>12</v>
      </c>
      <c r="U89" s="37">
        <v>12</v>
      </c>
      <c r="V89" s="37">
        <v>12</v>
      </c>
      <c r="W89" s="37">
        <v>91.882003784179702</v>
      </c>
      <c r="X89" s="37">
        <v>91.882003784179702</v>
      </c>
      <c r="Y89" s="37">
        <v>91.882003784179702</v>
      </c>
      <c r="Z89" s="37">
        <v>91.882003784179702</v>
      </c>
      <c r="AA89" s="1"/>
      <c r="AB89" s="1"/>
      <c r="AC89" s="1"/>
    </row>
    <row r="90" spans="1:29" x14ac:dyDescent="0.35">
      <c r="A90" s="1"/>
      <c r="B90" s="5"/>
      <c r="C90" s="25" t="s">
        <v>899</v>
      </c>
      <c r="D90" s="25" t="s">
        <v>896</v>
      </c>
      <c r="E90" s="25" t="s">
        <v>900</v>
      </c>
      <c r="F90" s="25" t="s">
        <v>901</v>
      </c>
      <c r="G90" s="50">
        <v>0</v>
      </c>
      <c r="H90" s="25"/>
      <c r="I90" s="25"/>
      <c r="J90" s="25"/>
      <c r="K90" s="25"/>
      <c r="L90" s="25"/>
      <c r="M90" s="25"/>
      <c r="N90" s="25"/>
      <c r="O90" s="25"/>
      <c r="P90" s="25"/>
      <c r="Q90" s="50">
        <v>439496.885587</v>
      </c>
      <c r="R90" s="50">
        <v>18</v>
      </c>
      <c r="S90" s="37">
        <v>11</v>
      </c>
      <c r="T90" s="37">
        <v>12.1000003814697</v>
      </c>
      <c r="U90" s="37">
        <v>11.910868212537</v>
      </c>
      <c r="V90" s="37">
        <v>12.1000003814697</v>
      </c>
      <c r="W90" s="37">
        <v>99.827003479003906</v>
      </c>
      <c r="X90" s="37">
        <v>99.917999267578097</v>
      </c>
      <c r="Y90" s="37">
        <v>99.888472240243701</v>
      </c>
      <c r="Z90" s="37">
        <v>99.887001037597699</v>
      </c>
      <c r="AA90" s="1"/>
      <c r="AB90" s="1"/>
      <c r="AC90" s="1"/>
    </row>
    <row r="91" spans="1:29" x14ac:dyDescent="0.35">
      <c r="A91" s="1"/>
      <c r="B91" s="5"/>
      <c r="C91" s="51" t="s">
        <v>609</v>
      </c>
      <c r="D91" s="52" t="s">
        <v>5</v>
      </c>
      <c r="E91" s="52" t="s">
        <v>5</v>
      </c>
      <c r="F91" s="52" t="s">
        <v>5</v>
      </c>
      <c r="G91" s="53">
        <v>844509.341549</v>
      </c>
      <c r="H91" s="53">
        <v>90</v>
      </c>
      <c r="I91" s="63">
        <v>139.91100025176999</v>
      </c>
      <c r="J91" s="63">
        <v>141.056000709534</v>
      </c>
      <c r="K91" s="63">
        <v>140.42847042531301</v>
      </c>
      <c r="L91" s="63">
        <v>140.869999885559</v>
      </c>
      <c r="M91" s="63">
        <v>1223.13500976563</v>
      </c>
      <c r="N91" s="63">
        <v>1228.4390182495099</v>
      </c>
      <c r="O91" s="63">
        <v>1226.84283538459</v>
      </c>
      <c r="P91" s="63">
        <v>1225.6480102539099</v>
      </c>
      <c r="Q91" s="53">
        <v>8054452.3866060004</v>
      </c>
      <c r="R91" s="53">
        <v>272</v>
      </c>
      <c r="S91" s="63">
        <v>783.70600318908703</v>
      </c>
      <c r="T91" s="63">
        <v>800.21000003814697</v>
      </c>
      <c r="U91" s="63">
        <v>794.16539015322201</v>
      </c>
      <c r="V91" s="63">
        <v>794.62600326538097</v>
      </c>
      <c r="W91" s="63">
        <v>6555.8349990844699</v>
      </c>
      <c r="X91" s="63">
        <v>6558.4110031127902</v>
      </c>
      <c r="Y91" s="63">
        <v>6557.3485236317501</v>
      </c>
      <c r="Z91" s="63">
        <v>6558.0330123901404</v>
      </c>
      <c r="AA91" s="1"/>
      <c r="AB91" s="1"/>
      <c r="AC91" s="1"/>
    </row>
    <row r="92" spans="1:29" ht="18" customHeight="1" x14ac:dyDescent="0.3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15" customHeight="1" x14ac:dyDescent="0.35">
      <c r="A93" s="1"/>
      <c r="B93" s="5"/>
      <c r="C93" s="91" t="s">
        <v>902</v>
      </c>
      <c r="D93" s="67"/>
      <c r="E93" s="67"/>
      <c r="F93" s="67"/>
      <c r="G93" s="67"/>
      <c r="H93" s="67"/>
      <c r="I93" s="1"/>
      <c r="J93" s="1"/>
      <c r="K93" s="1"/>
      <c r="L93" s="1"/>
      <c r="M93" s="1"/>
      <c r="N93" s="1"/>
      <c r="O93" s="1"/>
      <c r="P93" s="1"/>
      <c r="Q93" s="1"/>
      <c r="R93" s="1"/>
      <c r="S93" s="1"/>
      <c r="T93" s="1"/>
      <c r="U93" s="1"/>
      <c r="V93" s="1"/>
      <c r="W93" s="1"/>
      <c r="X93" s="1"/>
      <c r="Y93" s="1"/>
      <c r="Z93" s="6"/>
      <c r="AA93" s="1"/>
      <c r="AB93" s="1"/>
      <c r="AC93" s="1"/>
    </row>
    <row r="94" spans="1:29" ht="21" customHeight="1" x14ac:dyDescent="0.35">
      <c r="A94" s="1"/>
      <c r="B94" s="5"/>
      <c r="C94" s="1"/>
      <c r="D94" s="1"/>
      <c r="E94" s="1"/>
      <c r="F94" s="1"/>
      <c r="G94" s="1"/>
      <c r="H94" s="1"/>
      <c r="I94" s="1"/>
      <c r="J94" s="1"/>
      <c r="K94" s="1"/>
      <c r="L94" s="1"/>
      <c r="M94" s="1"/>
      <c r="N94" s="1"/>
      <c r="O94" s="1"/>
      <c r="P94" s="1"/>
      <c r="Q94" s="1"/>
      <c r="R94" s="1"/>
      <c r="S94" s="1"/>
      <c r="T94" s="1"/>
      <c r="U94" s="1"/>
      <c r="V94" s="1"/>
      <c r="W94" s="1"/>
      <c r="X94" s="1"/>
      <c r="Y94" s="1"/>
      <c r="Z94" s="6"/>
      <c r="AA94" s="1"/>
      <c r="AB94" s="1"/>
      <c r="AC94" s="1"/>
    </row>
    <row r="95" spans="1:29" x14ac:dyDescent="0.35">
      <c r="A95" s="1"/>
      <c r="B95" s="5"/>
      <c r="C95" s="14" t="s">
        <v>5</v>
      </c>
      <c r="D95" s="14" t="s">
        <v>5</v>
      </c>
      <c r="E95" s="14" t="s">
        <v>5</v>
      </c>
      <c r="F95" s="61" t="s">
        <v>5</v>
      </c>
      <c r="G95" s="74" t="s">
        <v>741</v>
      </c>
      <c r="H95" s="75"/>
      <c r="I95" s="75"/>
      <c r="J95" s="75"/>
      <c r="K95" s="75"/>
      <c r="L95" s="75"/>
      <c r="M95" s="75"/>
      <c r="N95" s="75"/>
      <c r="O95" s="75"/>
      <c r="P95" s="76"/>
      <c r="Q95" s="74" t="s">
        <v>742</v>
      </c>
      <c r="R95" s="75"/>
      <c r="S95" s="75"/>
      <c r="T95" s="75"/>
      <c r="U95" s="75"/>
      <c r="V95" s="75"/>
      <c r="W95" s="75"/>
      <c r="X95" s="75"/>
      <c r="Y95" s="75"/>
      <c r="Z95" s="76"/>
      <c r="AA95" s="1"/>
      <c r="AB95" s="1"/>
      <c r="AC95" s="1"/>
    </row>
    <row r="96" spans="1:29" x14ac:dyDescent="0.35">
      <c r="A96" s="1"/>
      <c r="B96" s="5"/>
      <c r="C96" s="59" t="s">
        <v>5</v>
      </c>
      <c r="D96" s="59" t="s">
        <v>5</v>
      </c>
      <c r="E96" s="59" t="s">
        <v>5</v>
      </c>
      <c r="F96" s="60" t="s">
        <v>5</v>
      </c>
      <c r="G96" s="62" t="s">
        <v>5</v>
      </c>
      <c r="H96" s="62" t="s">
        <v>5</v>
      </c>
      <c r="I96" s="92" t="s">
        <v>743</v>
      </c>
      <c r="J96" s="75"/>
      <c r="K96" s="75"/>
      <c r="L96" s="76"/>
      <c r="M96" s="92" t="s">
        <v>744</v>
      </c>
      <c r="N96" s="75"/>
      <c r="O96" s="75"/>
      <c r="P96" s="76"/>
      <c r="Q96" s="62" t="s">
        <v>5</v>
      </c>
      <c r="R96" s="62" t="s">
        <v>5</v>
      </c>
      <c r="S96" s="92" t="s">
        <v>743</v>
      </c>
      <c r="T96" s="75"/>
      <c r="U96" s="75"/>
      <c r="V96" s="76"/>
      <c r="W96" s="92" t="s">
        <v>744</v>
      </c>
      <c r="X96" s="75"/>
      <c r="Y96" s="75"/>
      <c r="Z96" s="76"/>
      <c r="AA96" s="1"/>
      <c r="AB96" s="1"/>
      <c r="AC96" s="1"/>
    </row>
    <row r="97" spans="1:29" x14ac:dyDescent="0.35">
      <c r="A97" s="1"/>
      <c r="B97" s="5"/>
      <c r="C97" s="23" t="s">
        <v>328</v>
      </c>
      <c r="D97" s="23" t="s">
        <v>738</v>
      </c>
      <c r="E97" s="23" t="s">
        <v>739</v>
      </c>
      <c r="F97" s="23" t="s">
        <v>675</v>
      </c>
      <c r="G97" s="23" t="s">
        <v>643</v>
      </c>
      <c r="H97" s="23" t="s">
        <v>641</v>
      </c>
      <c r="I97" s="23" t="s">
        <v>745</v>
      </c>
      <c r="J97" s="23" t="s">
        <v>746</v>
      </c>
      <c r="K97" s="23" t="s">
        <v>747</v>
      </c>
      <c r="L97" s="23" t="s">
        <v>748</v>
      </c>
      <c r="M97" s="23" t="s">
        <v>745</v>
      </c>
      <c r="N97" s="23" t="s">
        <v>746</v>
      </c>
      <c r="O97" s="23" t="s">
        <v>747</v>
      </c>
      <c r="P97" s="23" t="s">
        <v>748</v>
      </c>
      <c r="Q97" s="23" t="s">
        <v>643</v>
      </c>
      <c r="R97" s="23" t="s">
        <v>641</v>
      </c>
      <c r="S97" s="23" t="s">
        <v>745</v>
      </c>
      <c r="T97" s="23" t="s">
        <v>746</v>
      </c>
      <c r="U97" s="23" t="s">
        <v>747</v>
      </c>
      <c r="V97" s="23" t="s">
        <v>748</v>
      </c>
      <c r="W97" s="23" t="s">
        <v>745</v>
      </c>
      <c r="X97" s="23" t="s">
        <v>746</v>
      </c>
      <c r="Y97" s="23" t="s">
        <v>747</v>
      </c>
      <c r="Z97" s="23" t="s">
        <v>748</v>
      </c>
      <c r="AA97" s="1"/>
      <c r="AB97" s="1"/>
      <c r="AC97" s="1"/>
    </row>
    <row r="98" spans="1:29" x14ac:dyDescent="0.35">
      <c r="A98" s="1"/>
      <c r="B98" s="5"/>
      <c r="C98" s="25" t="s">
        <v>903</v>
      </c>
      <c r="D98" s="25" t="s">
        <v>758</v>
      </c>
      <c r="E98" s="25" t="s">
        <v>496</v>
      </c>
      <c r="F98" s="25" t="s">
        <v>904</v>
      </c>
      <c r="G98" s="50">
        <v>12158.3914</v>
      </c>
      <c r="H98" s="50">
        <v>5</v>
      </c>
      <c r="I98" s="37">
        <v>12.6000003814697</v>
      </c>
      <c r="J98" s="37">
        <v>12.8999996185303</v>
      </c>
      <c r="K98" s="37">
        <v>12.832548168750201</v>
      </c>
      <c r="L98" s="37">
        <v>12.6000003814697</v>
      </c>
      <c r="M98" s="37">
        <v>102.10700225830099</v>
      </c>
      <c r="N98" s="37">
        <v>102.776000976563</v>
      </c>
      <c r="O98" s="37">
        <v>102.257289414851</v>
      </c>
      <c r="P98" s="37">
        <v>102.776000976563</v>
      </c>
      <c r="Q98" s="50">
        <v>0</v>
      </c>
      <c r="R98" s="25"/>
      <c r="S98" s="25"/>
      <c r="T98" s="25"/>
      <c r="U98" s="25"/>
      <c r="V98" s="25"/>
      <c r="W98" s="25"/>
      <c r="X98" s="25"/>
      <c r="Y98" s="25"/>
      <c r="Z98" s="25"/>
      <c r="AA98" s="1"/>
      <c r="AB98" s="1"/>
      <c r="AC98" s="1"/>
    </row>
    <row r="99" spans="1:29" x14ac:dyDescent="0.35">
      <c r="A99" s="1"/>
      <c r="B99" s="5"/>
      <c r="C99" s="25" t="s">
        <v>905</v>
      </c>
      <c r="D99" s="25" t="s">
        <v>758</v>
      </c>
      <c r="E99" s="25" t="s">
        <v>906</v>
      </c>
      <c r="F99" s="25" t="s">
        <v>689</v>
      </c>
      <c r="G99" s="50">
        <v>2889.39</v>
      </c>
      <c r="H99" s="50">
        <v>2</v>
      </c>
      <c r="I99" s="37">
        <v>12.2399997711182</v>
      </c>
      <c r="J99" s="37">
        <v>13.1000003814697</v>
      </c>
      <c r="K99" s="37">
        <v>12.670000076293899</v>
      </c>
      <c r="L99" s="37">
        <v>13.1000003814697</v>
      </c>
      <c r="M99" s="37">
        <v>95.638999938964801</v>
      </c>
      <c r="N99" s="37">
        <v>96.986999511718807</v>
      </c>
      <c r="O99" s="37">
        <v>96.312999725341797</v>
      </c>
      <c r="P99" s="37">
        <v>95.638999938964801</v>
      </c>
      <c r="Q99" s="50">
        <v>0</v>
      </c>
      <c r="R99" s="25"/>
      <c r="S99" s="25"/>
      <c r="T99" s="25"/>
      <c r="U99" s="25"/>
      <c r="V99" s="25"/>
      <c r="W99" s="25"/>
      <c r="X99" s="25"/>
      <c r="Y99" s="25"/>
      <c r="Z99" s="25"/>
      <c r="AA99" s="1"/>
      <c r="AB99" s="1"/>
      <c r="AC99" s="1"/>
    </row>
    <row r="100" spans="1:29" x14ac:dyDescent="0.35">
      <c r="A100" s="1"/>
      <c r="B100" s="5"/>
      <c r="C100" s="25" t="s">
        <v>907</v>
      </c>
      <c r="D100" s="25" t="s">
        <v>758</v>
      </c>
      <c r="E100" s="25" t="s">
        <v>908</v>
      </c>
      <c r="F100" s="25" t="s">
        <v>909</v>
      </c>
      <c r="G100" s="50">
        <v>3715.0749999999998</v>
      </c>
      <c r="H100" s="50">
        <v>2</v>
      </c>
      <c r="I100" s="37">
        <v>12.75</v>
      </c>
      <c r="J100" s="37">
        <v>12.9799995422363</v>
      </c>
      <c r="K100" s="37">
        <v>12.947142464774</v>
      </c>
      <c r="L100" s="37">
        <v>12.9799995422363</v>
      </c>
      <c r="M100" s="37">
        <v>106.08399963378901</v>
      </c>
      <c r="N100" s="37">
        <v>106.51100158691401</v>
      </c>
      <c r="O100" s="37">
        <v>106.14499991280699</v>
      </c>
      <c r="P100" s="37">
        <v>106.08399963378901</v>
      </c>
      <c r="Q100" s="50">
        <v>0</v>
      </c>
      <c r="R100" s="25"/>
      <c r="S100" s="25"/>
      <c r="T100" s="25"/>
      <c r="U100" s="25"/>
      <c r="V100" s="25"/>
      <c r="W100" s="25"/>
      <c r="X100" s="25"/>
      <c r="Y100" s="25"/>
      <c r="Z100" s="25"/>
      <c r="AA100" s="1"/>
      <c r="AB100" s="1"/>
      <c r="AC100" s="1"/>
    </row>
    <row r="101" spans="1:29" x14ac:dyDescent="0.35">
      <c r="A101" s="1"/>
      <c r="B101" s="5"/>
      <c r="C101" s="25" t="s">
        <v>910</v>
      </c>
      <c r="D101" s="25" t="s">
        <v>754</v>
      </c>
      <c r="E101" s="25" t="s">
        <v>911</v>
      </c>
      <c r="F101" s="25" t="s">
        <v>912</v>
      </c>
      <c r="G101" s="50">
        <v>9950.15</v>
      </c>
      <c r="H101" s="50">
        <v>2</v>
      </c>
      <c r="I101" s="37">
        <v>12.986000061035201</v>
      </c>
      <c r="J101" s="37">
        <v>13.038999557495099</v>
      </c>
      <c r="K101" s="37">
        <v>13.012499809265099</v>
      </c>
      <c r="L101" s="37">
        <v>13.038999557495099</v>
      </c>
      <c r="M101" s="37">
        <v>99.486999511718807</v>
      </c>
      <c r="N101" s="37">
        <v>99.515998840332003</v>
      </c>
      <c r="O101" s="37">
        <v>99.501499176025405</v>
      </c>
      <c r="P101" s="37">
        <v>99.486999511718807</v>
      </c>
      <c r="Q101" s="50">
        <v>0</v>
      </c>
      <c r="R101" s="25"/>
      <c r="S101" s="25"/>
      <c r="T101" s="25"/>
      <c r="U101" s="25"/>
      <c r="V101" s="25"/>
      <c r="W101" s="25"/>
      <c r="X101" s="25"/>
      <c r="Y101" s="25"/>
      <c r="Z101" s="25"/>
      <c r="AA101" s="1"/>
      <c r="AB101" s="1"/>
      <c r="AC101" s="1"/>
    </row>
    <row r="102" spans="1:29" x14ac:dyDescent="0.35">
      <c r="A102" s="1"/>
      <c r="B102" s="5"/>
      <c r="C102" s="25" t="s">
        <v>913</v>
      </c>
      <c r="D102" s="25" t="s">
        <v>754</v>
      </c>
      <c r="E102" s="25" t="s">
        <v>914</v>
      </c>
      <c r="F102" s="25" t="s">
        <v>915</v>
      </c>
      <c r="G102" s="50">
        <v>10019.5</v>
      </c>
      <c r="H102" s="50">
        <v>2</v>
      </c>
      <c r="I102" s="37">
        <v>13.043999671936</v>
      </c>
      <c r="J102" s="37">
        <v>13.055000305175801</v>
      </c>
      <c r="K102" s="37">
        <v>13.049499988555899</v>
      </c>
      <c r="L102" s="37">
        <v>13.043999671936</v>
      </c>
      <c r="M102" s="37">
        <v>100.16600036621099</v>
      </c>
      <c r="N102" s="37">
        <v>100.223999023438</v>
      </c>
      <c r="O102" s="37">
        <v>100.19499969482401</v>
      </c>
      <c r="P102" s="37">
        <v>100.223999023438</v>
      </c>
      <c r="Q102" s="50">
        <v>0</v>
      </c>
      <c r="R102" s="25"/>
      <c r="S102" s="25"/>
      <c r="T102" s="25"/>
      <c r="U102" s="25"/>
      <c r="V102" s="25"/>
      <c r="W102" s="25"/>
      <c r="X102" s="25"/>
      <c r="Y102" s="25"/>
      <c r="Z102" s="25"/>
      <c r="AA102" s="1"/>
      <c r="AB102" s="1"/>
      <c r="AC102" s="1"/>
    </row>
    <row r="103" spans="1:29" x14ac:dyDescent="0.35">
      <c r="A103" s="1"/>
      <c r="B103" s="5"/>
      <c r="C103" s="25" t="s">
        <v>916</v>
      </c>
      <c r="D103" s="25" t="s">
        <v>917</v>
      </c>
      <c r="E103" s="25" t="s">
        <v>797</v>
      </c>
      <c r="F103" s="25" t="s">
        <v>918</v>
      </c>
      <c r="G103" s="50">
        <v>18315.570582</v>
      </c>
      <c r="H103" s="50">
        <v>1</v>
      </c>
      <c r="I103" s="37">
        <v>6.7890000343322798</v>
      </c>
      <c r="J103" s="37">
        <v>6.7890000343322798</v>
      </c>
      <c r="K103" s="37">
        <v>6.7890000343322798</v>
      </c>
      <c r="L103" s="37">
        <v>6.7890000343322798</v>
      </c>
      <c r="M103" s="37">
        <v>114.095001220703</v>
      </c>
      <c r="N103" s="37">
        <v>114.095001220703</v>
      </c>
      <c r="O103" s="37">
        <v>114.095001220703</v>
      </c>
      <c r="P103" s="37">
        <v>114.095001220703</v>
      </c>
      <c r="Q103" s="50">
        <v>0</v>
      </c>
      <c r="R103" s="25"/>
      <c r="S103" s="25"/>
      <c r="T103" s="25"/>
      <c r="U103" s="25"/>
      <c r="V103" s="25"/>
      <c r="W103" s="25"/>
      <c r="X103" s="25"/>
      <c r="Y103" s="25"/>
      <c r="Z103" s="25"/>
      <c r="AA103" s="1"/>
      <c r="AB103" s="1"/>
      <c r="AC103" s="1"/>
    </row>
    <row r="104" spans="1:29" x14ac:dyDescent="0.35">
      <c r="A104" s="1"/>
      <c r="B104" s="5"/>
      <c r="C104" s="25" t="s">
        <v>919</v>
      </c>
      <c r="D104" s="25" t="s">
        <v>917</v>
      </c>
      <c r="E104" s="25" t="s">
        <v>920</v>
      </c>
      <c r="F104" s="25" t="s">
        <v>921</v>
      </c>
      <c r="G104" s="50">
        <v>105364.511241</v>
      </c>
      <c r="H104" s="50">
        <v>3</v>
      </c>
      <c r="I104" s="37">
        <v>6.8179998397827104</v>
      </c>
      <c r="J104" s="37">
        <v>6.8179998397827104</v>
      </c>
      <c r="K104" s="37">
        <v>6.8179998397827104</v>
      </c>
      <c r="L104" s="37">
        <v>6.8179998397827104</v>
      </c>
      <c r="M104" s="37">
        <v>109.39299774169901</v>
      </c>
      <c r="N104" s="37">
        <v>109.39299774169901</v>
      </c>
      <c r="O104" s="37">
        <v>109.39299774169901</v>
      </c>
      <c r="P104" s="37">
        <v>109.39299774169901</v>
      </c>
      <c r="Q104" s="50">
        <v>0</v>
      </c>
      <c r="R104" s="25"/>
      <c r="S104" s="25"/>
      <c r="T104" s="25"/>
      <c r="U104" s="25"/>
      <c r="V104" s="25"/>
      <c r="W104" s="25"/>
      <c r="X104" s="25"/>
      <c r="Y104" s="25"/>
      <c r="Z104" s="25"/>
      <c r="AA104" s="1"/>
      <c r="AB104" s="1"/>
      <c r="AC104" s="1"/>
    </row>
    <row r="105" spans="1:29" x14ac:dyDescent="0.35">
      <c r="A105" s="1"/>
      <c r="B105" s="5"/>
      <c r="C105" s="25" t="s">
        <v>922</v>
      </c>
      <c r="D105" s="25" t="s">
        <v>917</v>
      </c>
      <c r="E105" s="25" t="s">
        <v>923</v>
      </c>
      <c r="F105" s="25" t="s">
        <v>924</v>
      </c>
      <c r="G105" s="50">
        <v>8922.685614</v>
      </c>
      <c r="H105" s="50">
        <v>1</v>
      </c>
      <c r="I105" s="37">
        <v>6.7220001220703098</v>
      </c>
      <c r="J105" s="37">
        <v>6.7220001220703098</v>
      </c>
      <c r="K105" s="37">
        <v>6.7220001220703098</v>
      </c>
      <c r="L105" s="37">
        <v>6.7220001220703098</v>
      </c>
      <c r="M105" s="37">
        <v>111.16600036621099</v>
      </c>
      <c r="N105" s="37">
        <v>111.16600036621099</v>
      </c>
      <c r="O105" s="37">
        <v>111.16600036621099</v>
      </c>
      <c r="P105" s="37">
        <v>111.16600036621099</v>
      </c>
      <c r="Q105" s="50">
        <v>0</v>
      </c>
      <c r="R105" s="25"/>
      <c r="S105" s="25"/>
      <c r="T105" s="25"/>
      <c r="U105" s="25"/>
      <c r="V105" s="25"/>
      <c r="W105" s="25"/>
      <c r="X105" s="25"/>
      <c r="Y105" s="25"/>
      <c r="Z105" s="25"/>
      <c r="AA105" s="1"/>
      <c r="AB105" s="1"/>
      <c r="AC105" s="1"/>
    </row>
    <row r="106" spans="1:29" x14ac:dyDescent="0.35">
      <c r="A106" s="1"/>
      <c r="B106" s="5"/>
      <c r="C106" s="25" t="s">
        <v>925</v>
      </c>
      <c r="D106" s="25" t="s">
        <v>758</v>
      </c>
      <c r="E106" s="25" t="s">
        <v>926</v>
      </c>
      <c r="F106" s="25" t="s">
        <v>868</v>
      </c>
      <c r="G106" s="50">
        <v>22281.538499999999</v>
      </c>
      <c r="H106" s="50">
        <v>3</v>
      </c>
      <c r="I106" s="37">
        <v>6.5199999809265101</v>
      </c>
      <c r="J106" s="37">
        <v>6.5500001907348597</v>
      </c>
      <c r="K106" s="37">
        <v>6.5350000858306903</v>
      </c>
      <c r="L106" s="37">
        <v>6.5199999809265101</v>
      </c>
      <c r="M106" s="37">
        <v>89.153999328613295</v>
      </c>
      <c r="N106" s="37">
        <v>89.239997863769503</v>
      </c>
      <c r="O106" s="37">
        <v>89.196998596191406</v>
      </c>
      <c r="P106" s="37">
        <v>89.239997863769503</v>
      </c>
      <c r="Q106" s="50">
        <v>0</v>
      </c>
      <c r="R106" s="25"/>
      <c r="S106" s="25"/>
      <c r="T106" s="25"/>
      <c r="U106" s="25"/>
      <c r="V106" s="25"/>
      <c r="W106" s="25"/>
      <c r="X106" s="25"/>
      <c r="Y106" s="25"/>
      <c r="Z106" s="25"/>
      <c r="AA106" s="1"/>
      <c r="AB106" s="1"/>
      <c r="AC106" s="1"/>
    </row>
    <row r="107" spans="1:29" x14ac:dyDescent="0.35">
      <c r="A107" s="1"/>
      <c r="B107" s="5"/>
      <c r="C107" s="25" t="s">
        <v>927</v>
      </c>
      <c r="D107" s="25" t="s">
        <v>758</v>
      </c>
      <c r="E107" s="25" t="s">
        <v>928</v>
      </c>
      <c r="F107" s="25" t="s">
        <v>929</v>
      </c>
      <c r="G107" s="50">
        <v>1639.6759500000001</v>
      </c>
      <c r="H107" s="50">
        <v>6</v>
      </c>
      <c r="I107" s="37">
        <v>11.7200002670288</v>
      </c>
      <c r="J107" s="37">
        <v>12.0200004577637</v>
      </c>
      <c r="K107" s="37">
        <v>11.851534613845899</v>
      </c>
      <c r="L107" s="37">
        <v>11.7200002670288</v>
      </c>
      <c r="M107" s="37">
        <v>99.361000061035199</v>
      </c>
      <c r="N107" s="37">
        <v>99.491996765136705</v>
      </c>
      <c r="O107" s="37">
        <v>99.434561581955705</v>
      </c>
      <c r="P107" s="37">
        <v>99.491996765136705</v>
      </c>
      <c r="Q107" s="50">
        <v>0</v>
      </c>
      <c r="R107" s="25"/>
      <c r="S107" s="25"/>
      <c r="T107" s="25"/>
      <c r="U107" s="25"/>
      <c r="V107" s="25"/>
      <c r="W107" s="25"/>
      <c r="X107" s="25"/>
      <c r="Y107" s="25"/>
      <c r="Z107" s="25"/>
      <c r="AA107" s="1"/>
      <c r="AB107" s="1"/>
      <c r="AC107" s="1"/>
    </row>
    <row r="108" spans="1:29" x14ac:dyDescent="0.35">
      <c r="A108" s="1"/>
      <c r="B108" s="5"/>
      <c r="C108" s="25" t="s">
        <v>930</v>
      </c>
      <c r="D108" s="25" t="s">
        <v>758</v>
      </c>
      <c r="E108" s="25" t="s">
        <v>928</v>
      </c>
      <c r="F108" s="25" t="s">
        <v>931</v>
      </c>
      <c r="G108" s="50">
        <v>955.87</v>
      </c>
      <c r="H108" s="50">
        <v>1</v>
      </c>
      <c r="I108" s="37">
        <v>13.170000076293899</v>
      </c>
      <c r="J108" s="37">
        <v>13.170000076293899</v>
      </c>
      <c r="K108" s="37">
        <v>13.170000076293899</v>
      </c>
      <c r="L108" s="37">
        <v>13.170000076293899</v>
      </c>
      <c r="M108" s="37">
        <v>95.586997985839801</v>
      </c>
      <c r="N108" s="37">
        <v>95.586997985839801</v>
      </c>
      <c r="O108" s="37">
        <v>95.586997985839801</v>
      </c>
      <c r="P108" s="37">
        <v>95.586997985839801</v>
      </c>
      <c r="Q108" s="50">
        <v>0</v>
      </c>
      <c r="R108" s="25"/>
      <c r="S108" s="25"/>
      <c r="T108" s="25"/>
      <c r="U108" s="25"/>
      <c r="V108" s="25"/>
      <c r="W108" s="25"/>
      <c r="X108" s="25"/>
      <c r="Y108" s="25"/>
      <c r="Z108" s="25"/>
      <c r="AA108" s="1"/>
      <c r="AB108" s="1"/>
      <c r="AC108" s="1"/>
    </row>
    <row r="109" spans="1:29" x14ac:dyDescent="0.35">
      <c r="A109" s="1"/>
      <c r="B109" s="5"/>
      <c r="C109" s="25" t="s">
        <v>682</v>
      </c>
      <c r="D109" s="25" t="s">
        <v>761</v>
      </c>
      <c r="E109" s="25" t="s">
        <v>932</v>
      </c>
      <c r="F109" s="25" t="s">
        <v>933</v>
      </c>
      <c r="G109" s="50">
        <v>492.065</v>
      </c>
      <c r="H109" s="50">
        <v>1</v>
      </c>
      <c r="I109" s="37">
        <v>12.9799995422363</v>
      </c>
      <c r="J109" s="37">
        <v>12.9799995422363</v>
      </c>
      <c r="K109" s="37">
        <v>12.9799995422363</v>
      </c>
      <c r="L109" s="37">
        <v>12.9799995422363</v>
      </c>
      <c r="M109" s="37">
        <v>98.413002014160199</v>
      </c>
      <c r="N109" s="37">
        <v>98.413002014160199</v>
      </c>
      <c r="O109" s="37">
        <v>98.413002014160199</v>
      </c>
      <c r="P109" s="37">
        <v>98.413002014160199</v>
      </c>
      <c r="Q109" s="50">
        <v>0</v>
      </c>
      <c r="R109" s="25"/>
      <c r="S109" s="25"/>
      <c r="T109" s="25"/>
      <c r="U109" s="25"/>
      <c r="V109" s="25"/>
      <c r="W109" s="25"/>
      <c r="X109" s="25"/>
      <c r="Y109" s="25"/>
      <c r="Z109" s="25"/>
      <c r="AA109" s="1"/>
      <c r="AB109" s="1"/>
      <c r="AC109" s="1"/>
    </row>
    <row r="110" spans="1:29" x14ac:dyDescent="0.35">
      <c r="A110" s="1"/>
      <c r="B110" s="5"/>
      <c r="C110" s="25" t="s">
        <v>682</v>
      </c>
      <c r="D110" s="25" t="s">
        <v>761</v>
      </c>
      <c r="E110" s="25" t="s">
        <v>797</v>
      </c>
      <c r="F110" s="25" t="s">
        <v>798</v>
      </c>
      <c r="G110" s="50">
        <v>1475.2049999999999</v>
      </c>
      <c r="H110" s="50">
        <v>2</v>
      </c>
      <c r="I110" s="37">
        <v>12.9799995422363</v>
      </c>
      <c r="J110" s="37">
        <v>12.9799995422363</v>
      </c>
      <c r="K110" s="37">
        <v>12.9799995422363</v>
      </c>
      <c r="L110" s="37">
        <v>12.9799995422363</v>
      </c>
      <c r="M110" s="37">
        <v>98.347000122070298</v>
      </c>
      <c r="N110" s="37">
        <v>98.347000122070298</v>
      </c>
      <c r="O110" s="37">
        <v>98.347000122070298</v>
      </c>
      <c r="P110" s="37">
        <v>98.347000122070298</v>
      </c>
      <c r="Q110" s="50">
        <v>0</v>
      </c>
      <c r="R110" s="25"/>
      <c r="S110" s="25"/>
      <c r="T110" s="25"/>
      <c r="U110" s="25"/>
      <c r="V110" s="25"/>
      <c r="W110" s="25"/>
      <c r="X110" s="25"/>
      <c r="Y110" s="25"/>
      <c r="Z110" s="25"/>
      <c r="AA110" s="1"/>
      <c r="AB110" s="1"/>
      <c r="AC110" s="1"/>
    </row>
    <row r="111" spans="1:29" x14ac:dyDescent="0.35">
      <c r="A111" s="1"/>
      <c r="B111" s="5"/>
      <c r="C111" s="25" t="s">
        <v>682</v>
      </c>
      <c r="D111" s="25" t="s">
        <v>761</v>
      </c>
      <c r="E111" s="25" t="s">
        <v>766</v>
      </c>
      <c r="F111" s="25" t="s">
        <v>934</v>
      </c>
      <c r="G111" s="50">
        <v>97.929000000000002</v>
      </c>
      <c r="H111" s="50">
        <v>1</v>
      </c>
      <c r="I111" s="37">
        <v>13.1000003814697</v>
      </c>
      <c r="J111" s="37">
        <v>13.1000003814697</v>
      </c>
      <c r="K111" s="37">
        <v>13.1000003814697</v>
      </c>
      <c r="L111" s="37">
        <v>13.1000003814697</v>
      </c>
      <c r="M111" s="37">
        <v>97.929000854492202</v>
      </c>
      <c r="N111" s="37">
        <v>97.929000854492202</v>
      </c>
      <c r="O111" s="37">
        <v>97.929000854492202</v>
      </c>
      <c r="P111" s="37">
        <v>97.929000854492202</v>
      </c>
      <c r="Q111" s="50">
        <v>0</v>
      </c>
      <c r="R111" s="25"/>
      <c r="S111" s="25"/>
      <c r="T111" s="25"/>
      <c r="U111" s="25"/>
      <c r="V111" s="25"/>
      <c r="W111" s="25"/>
      <c r="X111" s="25"/>
      <c r="Y111" s="25"/>
      <c r="Z111" s="25"/>
      <c r="AA111" s="1"/>
      <c r="AB111" s="1"/>
      <c r="AC111" s="1"/>
    </row>
    <row r="112" spans="1:29" x14ac:dyDescent="0.35">
      <c r="A112" s="1"/>
      <c r="B112" s="5"/>
      <c r="C112" s="25" t="s">
        <v>682</v>
      </c>
      <c r="D112" s="25" t="s">
        <v>761</v>
      </c>
      <c r="E112" s="25" t="s">
        <v>935</v>
      </c>
      <c r="F112" s="25" t="s">
        <v>936</v>
      </c>
      <c r="G112" s="50">
        <v>18911.820520000001</v>
      </c>
      <c r="H112" s="50">
        <v>14</v>
      </c>
      <c r="I112" s="37">
        <v>11.699999809265099</v>
      </c>
      <c r="J112" s="37">
        <v>12.319999694824199</v>
      </c>
      <c r="K112" s="37">
        <v>12.220446034078501</v>
      </c>
      <c r="L112" s="37">
        <v>12.1000003814697</v>
      </c>
      <c r="M112" s="37">
        <v>99.233001708984403</v>
      </c>
      <c r="N112" s="37">
        <v>99.492996215820298</v>
      </c>
      <c r="O112" s="37">
        <v>99.274648651363293</v>
      </c>
      <c r="P112" s="37">
        <v>99.324996948242202</v>
      </c>
      <c r="Q112" s="50">
        <v>0</v>
      </c>
      <c r="R112" s="25"/>
      <c r="S112" s="25"/>
      <c r="T112" s="25"/>
      <c r="U112" s="25"/>
      <c r="V112" s="25"/>
      <c r="W112" s="25"/>
      <c r="X112" s="25"/>
      <c r="Y112" s="25"/>
      <c r="Z112" s="25"/>
      <c r="AA112" s="1"/>
      <c r="AB112" s="1"/>
      <c r="AC112" s="1"/>
    </row>
    <row r="113" spans="1:29" x14ac:dyDescent="0.35">
      <c r="A113" s="1"/>
      <c r="B113" s="5"/>
      <c r="C113" s="25" t="s">
        <v>682</v>
      </c>
      <c r="D113" s="25" t="s">
        <v>761</v>
      </c>
      <c r="E113" s="25" t="s">
        <v>937</v>
      </c>
      <c r="F113" s="25" t="s">
        <v>938</v>
      </c>
      <c r="G113" s="50">
        <v>194.66399999999999</v>
      </c>
      <c r="H113" s="50">
        <v>2</v>
      </c>
      <c r="I113" s="37">
        <v>13</v>
      </c>
      <c r="J113" s="37">
        <v>13.4870004653931</v>
      </c>
      <c r="K113" s="37">
        <v>13.243500232696499</v>
      </c>
      <c r="L113" s="37">
        <v>13.4870004653931</v>
      </c>
      <c r="M113" s="37">
        <v>97.132003784179702</v>
      </c>
      <c r="N113" s="37">
        <v>97.531997680664105</v>
      </c>
      <c r="O113" s="37">
        <v>97.332000732421903</v>
      </c>
      <c r="P113" s="37">
        <v>97.132003784179702</v>
      </c>
      <c r="Q113" s="50">
        <v>0</v>
      </c>
      <c r="R113" s="25"/>
      <c r="S113" s="25"/>
      <c r="T113" s="25"/>
      <c r="U113" s="25"/>
      <c r="V113" s="25"/>
      <c r="W113" s="25"/>
      <c r="X113" s="25"/>
      <c r="Y113" s="25"/>
      <c r="Z113" s="25"/>
      <c r="AA113" s="1"/>
      <c r="AB113" s="1"/>
      <c r="AC113" s="1"/>
    </row>
    <row r="114" spans="1:29" x14ac:dyDescent="0.35">
      <c r="A114" s="1"/>
      <c r="B114" s="5"/>
      <c r="C114" s="25" t="s">
        <v>682</v>
      </c>
      <c r="D114" s="25" t="s">
        <v>761</v>
      </c>
      <c r="E114" s="25" t="s">
        <v>768</v>
      </c>
      <c r="F114" s="25" t="s">
        <v>769</v>
      </c>
      <c r="G114" s="50">
        <v>0</v>
      </c>
      <c r="H114" s="25"/>
      <c r="I114" s="25"/>
      <c r="J114" s="25"/>
      <c r="K114" s="25"/>
      <c r="L114" s="25"/>
      <c r="M114" s="25"/>
      <c r="N114" s="25"/>
      <c r="O114" s="25"/>
      <c r="P114" s="25"/>
      <c r="Q114" s="50">
        <v>3251.413982</v>
      </c>
      <c r="R114" s="50">
        <v>2</v>
      </c>
      <c r="S114" s="37">
        <v>11.300000190734901</v>
      </c>
      <c r="T114" s="37">
        <v>11.8999996185303</v>
      </c>
      <c r="U114" s="37">
        <v>11.3344005813781</v>
      </c>
      <c r="V114" s="37">
        <v>11.300000190734901</v>
      </c>
      <c r="W114" s="37">
        <v>99.480003356933594</v>
      </c>
      <c r="X114" s="37">
        <v>99.480003356933594</v>
      </c>
      <c r="Y114" s="37">
        <v>99.480003356933594</v>
      </c>
      <c r="Z114" s="37">
        <v>99.480003356933594</v>
      </c>
      <c r="AA114" s="1"/>
      <c r="AB114" s="1"/>
      <c r="AC114" s="1"/>
    </row>
    <row r="115" spans="1:29" x14ac:dyDescent="0.35">
      <c r="A115" s="1"/>
      <c r="B115" s="5"/>
      <c r="C115" s="25" t="s">
        <v>682</v>
      </c>
      <c r="D115" s="25" t="s">
        <v>761</v>
      </c>
      <c r="E115" s="25" t="s">
        <v>939</v>
      </c>
      <c r="F115" s="25" t="s">
        <v>940</v>
      </c>
      <c r="G115" s="50">
        <v>15.202500000000001</v>
      </c>
      <c r="H115" s="50">
        <v>1</v>
      </c>
      <c r="I115" s="37">
        <v>12.560000419616699</v>
      </c>
      <c r="J115" s="37">
        <v>12.560000419616699</v>
      </c>
      <c r="K115" s="37">
        <v>12.560000419616699</v>
      </c>
      <c r="L115" s="37">
        <v>12.560000419616699</v>
      </c>
      <c r="M115" s="37">
        <v>101.34999847412099</v>
      </c>
      <c r="N115" s="37">
        <v>101.34999847412099</v>
      </c>
      <c r="O115" s="37">
        <v>101.34999847412099</v>
      </c>
      <c r="P115" s="37">
        <v>101.34999847412099</v>
      </c>
      <c r="Q115" s="50">
        <v>0</v>
      </c>
      <c r="R115" s="25"/>
      <c r="S115" s="25"/>
      <c r="T115" s="25"/>
      <c r="U115" s="25"/>
      <c r="V115" s="25"/>
      <c r="W115" s="25"/>
      <c r="X115" s="25"/>
      <c r="Y115" s="25"/>
      <c r="Z115" s="25"/>
      <c r="AA115" s="1"/>
      <c r="AB115" s="1"/>
      <c r="AC115" s="1"/>
    </row>
    <row r="116" spans="1:29" x14ac:dyDescent="0.35">
      <c r="A116" s="1"/>
      <c r="B116" s="5"/>
      <c r="C116" s="25" t="s">
        <v>682</v>
      </c>
      <c r="D116" s="25" t="s">
        <v>761</v>
      </c>
      <c r="E116" s="25" t="s">
        <v>847</v>
      </c>
      <c r="F116" s="25" t="s">
        <v>941</v>
      </c>
      <c r="G116" s="50">
        <v>0</v>
      </c>
      <c r="H116" s="25"/>
      <c r="I116" s="25"/>
      <c r="J116" s="25"/>
      <c r="K116" s="25"/>
      <c r="L116" s="25"/>
      <c r="M116" s="25"/>
      <c r="N116" s="25"/>
      <c r="O116" s="25"/>
      <c r="P116" s="25"/>
      <c r="Q116" s="50">
        <v>1476.0323659999999</v>
      </c>
      <c r="R116" s="50">
        <v>1</v>
      </c>
      <c r="S116" s="37">
        <v>10</v>
      </c>
      <c r="T116" s="37">
        <v>10</v>
      </c>
      <c r="U116" s="37">
        <v>10</v>
      </c>
      <c r="V116" s="37">
        <v>10</v>
      </c>
      <c r="W116" s="37">
        <v>101.166999816895</v>
      </c>
      <c r="X116" s="37">
        <v>101.166999816895</v>
      </c>
      <c r="Y116" s="37">
        <v>101.166999816895</v>
      </c>
      <c r="Z116" s="37">
        <v>101.166999816895</v>
      </c>
      <c r="AA116" s="1"/>
      <c r="AB116" s="1"/>
      <c r="AC116" s="1"/>
    </row>
    <row r="117" spans="1:29" x14ac:dyDescent="0.35">
      <c r="A117" s="1"/>
      <c r="B117" s="5"/>
      <c r="C117" s="25" t="s">
        <v>682</v>
      </c>
      <c r="D117" s="25" t="s">
        <v>761</v>
      </c>
      <c r="E117" s="25" t="s">
        <v>501</v>
      </c>
      <c r="F117" s="25" t="s">
        <v>775</v>
      </c>
      <c r="G117" s="50">
        <v>101.86</v>
      </c>
      <c r="H117" s="50">
        <v>1</v>
      </c>
      <c r="I117" s="37">
        <v>12.6000003814697</v>
      </c>
      <c r="J117" s="37">
        <v>12.6000003814697</v>
      </c>
      <c r="K117" s="37">
        <v>12.6000003814697</v>
      </c>
      <c r="L117" s="37">
        <v>12.6000003814697</v>
      </c>
      <c r="M117" s="37">
        <v>101.860000610352</v>
      </c>
      <c r="N117" s="37">
        <v>101.860000610352</v>
      </c>
      <c r="O117" s="37">
        <v>101.860000610352</v>
      </c>
      <c r="P117" s="37">
        <v>101.860000610352</v>
      </c>
      <c r="Q117" s="50">
        <v>0</v>
      </c>
      <c r="R117" s="25"/>
      <c r="S117" s="25"/>
      <c r="T117" s="25"/>
      <c r="U117" s="25"/>
      <c r="V117" s="25"/>
      <c r="W117" s="25"/>
      <c r="X117" s="25"/>
      <c r="Y117" s="25"/>
      <c r="Z117" s="25"/>
      <c r="AA117" s="1"/>
      <c r="AB117" s="1"/>
      <c r="AC117" s="1"/>
    </row>
    <row r="118" spans="1:29" x14ac:dyDescent="0.35">
      <c r="A118" s="1"/>
      <c r="B118" s="5"/>
      <c r="C118" s="25" t="s">
        <v>682</v>
      </c>
      <c r="D118" s="25" t="s">
        <v>761</v>
      </c>
      <c r="E118" s="25" t="s">
        <v>509</v>
      </c>
      <c r="F118" s="25" t="s">
        <v>942</v>
      </c>
      <c r="G118" s="50">
        <v>22095.62</v>
      </c>
      <c r="H118" s="50">
        <v>5</v>
      </c>
      <c r="I118" s="37">
        <v>12.949999809265099</v>
      </c>
      <c r="J118" s="37">
        <v>13.050000190734901</v>
      </c>
      <c r="K118" s="37">
        <v>13.0272730047053</v>
      </c>
      <c r="L118" s="37">
        <v>13.050000190734901</v>
      </c>
      <c r="M118" s="37">
        <v>100.399002075195</v>
      </c>
      <c r="N118" s="37">
        <v>100.55599975585901</v>
      </c>
      <c r="O118" s="37">
        <v>100.434636896307</v>
      </c>
      <c r="P118" s="37">
        <v>100.399002075195</v>
      </c>
      <c r="Q118" s="50">
        <v>0</v>
      </c>
      <c r="R118" s="25"/>
      <c r="S118" s="25"/>
      <c r="T118" s="25"/>
      <c r="U118" s="25"/>
      <c r="V118" s="25"/>
      <c r="W118" s="25"/>
      <c r="X118" s="25"/>
      <c r="Y118" s="25"/>
      <c r="Z118" s="25"/>
      <c r="AA118" s="1"/>
      <c r="AB118" s="1"/>
      <c r="AC118" s="1"/>
    </row>
    <row r="119" spans="1:29" x14ac:dyDescent="0.35">
      <c r="A119" s="1"/>
      <c r="B119" s="5"/>
      <c r="C119" s="25" t="s">
        <v>682</v>
      </c>
      <c r="D119" s="25" t="s">
        <v>761</v>
      </c>
      <c r="E119" s="25" t="s">
        <v>511</v>
      </c>
      <c r="F119" s="25" t="s">
        <v>943</v>
      </c>
      <c r="G119" s="50">
        <v>1917.297</v>
      </c>
      <c r="H119" s="50">
        <v>7</v>
      </c>
      <c r="I119" s="37">
        <v>12.5</v>
      </c>
      <c r="J119" s="37">
        <v>12.8500003814697</v>
      </c>
      <c r="K119" s="37">
        <v>12.684210727089299</v>
      </c>
      <c r="L119" s="37">
        <v>12.5</v>
      </c>
      <c r="M119" s="37">
        <v>100.647003173828</v>
      </c>
      <c r="N119" s="37">
        <v>101.203002929688</v>
      </c>
      <c r="O119" s="37">
        <v>100.910371479235</v>
      </c>
      <c r="P119" s="37">
        <v>101.203002929688</v>
      </c>
      <c r="Q119" s="50">
        <v>0</v>
      </c>
      <c r="R119" s="25"/>
      <c r="S119" s="25"/>
      <c r="T119" s="25"/>
      <c r="U119" s="25"/>
      <c r="V119" s="25"/>
      <c r="W119" s="25"/>
      <c r="X119" s="25"/>
      <c r="Y119" s="25"/>
      <c r="Z119" s="25"/>
      <c r="AA119" s="1"/>
      <c r="AB119" s="1"/>
      <c r="AC119" s="1"/>
    </row>
    <row r="120" spans="1:29" x14ac:dyDescent="0.35">
      <c r="A120" s="1"/>
      <c r="B120" s="5"/>
      <c r="C120" s="25" t="s">
        <v>682</v>
      </c>
      <c r="D120" s="25" t="s">
        <v>761</v>
      </c>
      <c r="E120" s="25" t="s">
        <v>516</v>
      </c>
      <c r="F120" s="25" t="s">
        <v>683</v>
      </c>
      <c r="G120" s="50">
        <v>26567.246880999999</v>
      </c>
      <c r="H120" s="50">
        <v>20</v>
      </c>
      <c r="I120" s="37">
        <v>11.7299995422363</v>
      </c>
      <c r="J120" s="37">
        <v>12.819999694824199</v>
      </c>
      <c r="K120" s="37">
        <v>12.632889399462</v>
      </c>
      <c r="L120" s="37">
        <v>12.1000003814697</v>
      </c>
      <c r="M120" s="37">
        <v>100.06500244140599</v>
      </c>
      <c r="N120" s="37">
        <v>100.998001098633</v>
      </c>
      <c r="O120" s="37">
        <v>100.225852283705</v>
      </c>
      <c r="P120" s="37">
        <v>100.679000854492</v>
      </c>
      <c r="Q120" s="50">
        <v>0</v>
      </c>
      <c r="R120" s="25"/>
      <c r="S120" s="25"/>
      <c r="T120" s="25"/>
      <c r="U120" s="25"/>
      <c r="V120" s="25"/>
      <c r="W120" s="25"/>
      <c r="X120" s="25"/>
      <c r="Y120" s="25"/>
      <c r="Z120" s="25"/>
      <c r="AA120" s="1"/>
      <c r="AB120" s="1"/>
      <c r="AC120" s="1"/>
    </row>
    <row r="121" spans="1:29" x14ac:dyDescent="0.35">
      <c r="A121" s="1"/>
      <c r="B121" s="5"/>
      <c r="C121" s="25" t="s">
        <v>682</v>
      </c>
      <c r="D121" s="25" t="s">
        <v>761</v>
      </c>
      <c r="E121" s="25" t="s">
        <v>516</v>
      </c>
      <c r="F121" s="25" t="s">
        <v>688</v>
      </c>
      <c r="G121" s="50">
        <v>9745.0229999999992</v>
      </c>
      <c r="H121" s="50">
        <v>19</v>
      </c>
      <c r="I121" s="37">
        <v>12.5</v>
      </c>
      <c r="J121" s="37">
        <v>12.9619998931885</v>
      </c>
      <c r="K121" s="37">
        <v>12.881958727843999</v>
      </c>
      <c r="L121" s="37">
        <v>0</v>
      </c>
      <c r="M121" s="37">
        <v>100</v>
      </c>
      <c r="N121" s="37">
        <v>100.57399749755901</v>
      </c>
      <c r="O121" s="37">
        <v>100.10296007028001</v>
      </c>
      <c r="P121" s="37">
        <v>100</v>
      </c>
      <c r="Q121" s="50">
        <v>0</v>
      </c>
      <c r="R121" s="25"/>
      <c r="S121" s="25"/>
      <c r="T121" s="25"/>
      <c r="U121" s="25"/>
      <c r="V121" s="25"/>
      <c r="W121" s="25"/>
      <c r="X121" s="25"/>
      <c r="Y121" s="25"/>
      <c r="Z121" s="25"/>
      <c r="AA121" s="1"/>
      <c r="AB121" s="1"/>
      <c r="AC121" s="1"/>
    </row>
    <row r="122" spans="1:29" x14ac:dyDescent="0.35">
      <c r="A122" s="1"/>
      <c r="B122" s="5"/>
      <c r="C122" s="25" t="s">
        <v>682</v>
      </c>
      <c r="D122" s="25" t="s">
        <v>761</v>
      </c>
      <c r="E122" s="25" t="s">
        <v>516</v>
      </c>
      <c r="F122" s="25" t="s">
        <v>689</v>
      </c>
      <c r="G122" s="50">
        <v>2375.84339</v>
      </c>
      <c r="H122" s="50">
        <v>9</v>
      </c>
      <c r="I122" s="37">
        <v>12.5</v>
      </c>
      <c r="J122" s="37">
        <v>12.800000190734901</v>
      </c>
      <c r="K122" s="37">
        <v>12.6919451610735</v>
      </c>
      <c r="L122" s="37">
        <v>0</v>
      </c>
      <c r="M122" s="37">
        <v>100.265998840332</v>
      </c>
      <c r="N122" s="37">
        <v>100.80100250244099</v>
      </c>
      <c r="O122" s="37">
        <v>100.458494474318</v>
      </c>
      <c r="P122" s="37">
        <v>100</v>
      </c>
      <c r="Q122" s="50">
        <v>0</v>
      </c>
      <c r="R122" s="25"/>
      <c r="S122" s="25"/>
      <c r="T122" s="25"/>
      <c r="U122" s="25"/>
      <c r="V122" s="25"/>
      <c r="W122" s="25"/>
      <c r="X122" s="25"/>
      <c r="Y122" s="25"/>
      <c r="Z122" s="25"/>
      <c r="AA122" s="1"/>
      <c r="AB122" s="1"/>
      <c r="AC122" s="1"/>
    </row>
    <row r="123" spans="1:29" x14ac:dyDescent="0.35">
      <c r="A123" s="1"/>
      <c r="B123" s="5"/>
      <c r="C123" s="25" t="s">
        <v>777</v>
      </c>
      <c r="D123" s="25" t="s">
        <v>761</v>
      </c>
      <c r="E123" s="25" t="s">
        <v>944</v>
      </c>
      <c r="F123" s="25" t="s">
        <v>945</v>
      </c>
      <c r="G123" s="50">
        <v>476.5</v>
      </c>
      <c r="H123" s="50">
        <v>1</v>
      </c>
      <c r="I123" s="37">
        <v>12.8059997558594</v>
      </c>
      <c r="J123" s="37">
        <v>12.8059997558594</v>
      </c>
      <c r="K123" s="37">
        <v>12.8059997558594</v>
      </c>
      <c r="L123" s="37">
        <v>12.8059997558594</v>
      </c>
      <c r="M123" s="37">
        <v>95.300003051757798</v>
      </c>
      <c r="N123" s="37">
        <v>95.300003051757798</v>
      </c>
      <c r="O123" s="37">
        <v>95.300003051757798</v>
      </c>
      <c r="P123" s="37">
        <v>95.300003051757798</v>
      </c>
      <c r="Q123" s="50">
        <v>0</v>
      </c>
      <c r="R123" s="25"/>
      <c r="S123" s="25"/>
      <c r="T123" s="25"/>
      <c r="U123" s="25"/>
      <c r="V123" s="25"/>
      <c r="W123" s="25"/>
      <c r="X123" s="25"/>
      <c r="Y123" s="25"/>
      <c r="Z123" s="25"/>
      <c r="AA123" s="1"/>
      <c r="AB123" s="1"/>
      <c r="AC123" s="1"/>
    </row>
    <row r="124" spans="1:29" x14ac:dyDescent="0.35">
      <c r="A124" s="1"/>
      <c r="B124" s="5"/>
      <c r="C124" s="25" t="s">
        <v>777</v>
      </c>
      <c r="D124" s="25" t="s">
        <v>761</v>
      </c>
      <c r="E124" s="25" t="s">
        <v>778</v>
      </c>
      <c r="F124" s="25" t="s">
        <v>779</v>
      </c>
      <c r="G124" s="50">
        <v>223.00990999999999</v>
      </c>
      <c r="H124" s="50">
        <v>1</v>
      </c>
      <c r="I124" s="37">
        <v>12.699999809265099</v>
      </c>
      <c r="J124" s="37">
        <v>12.699999809265099</v>
      </c>
      <c r="K124" s="37">
        <v>12.699999809265099</v>
      </c>
      <c r="L124" s="37">
        <v>12.699999809265099</v>
      </c>
      <c r="M124" s="37">
        <v>113.203002929688</v>
      </c>
      <c r="N124" s="37">
        <v>113.203002929688</v>
      </c>
      <c r="O124" s="37">
        <v>113.203002929688</v>
      </c>
      <c r="P124" s="37">
        <v>113.203002929688</v>
      </c>
      <c r="Q124" s="50">
        <v>0</v>
      </c>
      <c r="R124" s="25"/>
      <c r="S124" s="25"/>
      <c r="T124" s="25"/>
      <c r="U124" s="25"/>
      <c r="V124" s="25"/>
      <c r="W124" s="25"/>
      <c r="X124" s="25"/>
      <c r="Y124" s="25"/>
      <c r="Z124" s="25"/>
      <c r="AA124" s="1"/>
      <c r="AB124" s="1"/>
      <c r="AC124" s="1"/>
    </row>
    <row r="125" spans="1:29" x14ac:dyDescent="0.35">
      <c r="A125" s="1"/>
      <c r="B125" s="5"/>
      <c r="C125" s="25" t="s">
        <v>777</v>
      </c>
      <c r="D125" s="25" t="s">
        <v>761</v>
      </c>
      <c r="E125" s="25" t="s">
        <v>780</v>
      </c>
      <c r="F125" s="25" t="s">
        <v>781</v>
      </c>
      <c r="G125" s="50">
        <v>4202.16</v>
      </c>
      <c r="H125" s="50">
        <v>2</v>
      </c>
      <c r="I125" s="37">
        <v>13.0179996490479</v>
      </c>
      <c r="J125" s="37">
        <v>13.038999557495099</v>
      </c>
      <c r="K125" s="37">
        <v>13.0284996032715</v>
      </c>
      <c r="L125" s="37">
        <v>13.038999557495099</v>
      </c>
      <c r="M125" s="37">
        <v>105.01100158691401</v>
      </c>
      <c r="N125" s="37">
        <v>105.09700012207</v>
      </c>
      <c r="O125" s="37">
        <v>105.054000854492</v>
      </c>
      <c r="P125" s="37">
        <v>105.01100158691401</v>
      </c>
      <c r="Q125" s="50">
        <v>0</v>
      </c>
      <c r="R125" s="25"/>
      <c r="S125" s="25"/>
      <c r="T125" s="25"/>
      <c r="U125" s="25"/>
      <c r="V125" s="25"/>
      <c r="W125" s="25"/>
      <c r="X125" s="25"/>
      <c r="Y125" s="25"/>
      <c r="Z125" s="25"/>
      <c r="AA125" s="1"/>
      <c r="AB125" s="1"/>
      <c r="AC125" s="1"/>
    </row>
    <row r="126" spans="1:29" x14ac:dyDescent="0.35">
      <c r="A126" s="1"/>
      <c r="B126" s="5"/>
      <c r="C126" s="25" t="s">
        <v>782</v>
      </c>
      <c r="D126" s="25" t="s">
        <v>761</v>
      </c>
      <c r="E126" s="25" t="s">
        <v>783</v>
      </c>
      <c r="F126" s="25" t="s">
        <v>784</v>
      </c>
      <c r="G126" s="50">
        <v>906.77099999999996</v>
      </c>
      <c r="H126" s="50">
        <v>5</v>
      </c>
      <c r="I126" s="37">
        <v>12.300000190734901</v>
      </c>
      <c r="J126" s="37">
        <v>13</v>
      </c>
      <c r="K126" s="37">
        <v>12.575000127156599</v>
      </c>
      <c r="L126" s="37">
        <v>12.425000190734901</v>
      </c>
      <c r="M126" s="37">
        <v>99.523002624511705</v>
      </c>
      <c r="N126" s="37">
        <v>101.56500244140599</v>
      </c>
      <c r="O126" s="37">
        <v>100.752334594727</v>
      </c>
      <c r="P126" s="37">
        <v>101.168998718262</v>
      </c>
      <c r="Q126" s="50">
        <v>0</v>
      </c>
      <c r="R126" s="25"/>
      <c r="S126" s="25"/>
      <c r="T126" s="25"/>
      <c r="U126" s="25"/>
      <c r="V126" s="25"/>
      <c r="W126" s="25"/>
      <c r="X126" s="25"/>
      <c r="Y126" s="25"/>
      <c r="Z126" s="25"/>
      <c r="AA126" s="1"/>
      <c r="AB126" s="1"/>
      <c r="AC126" s="1"/>
    </row>
    <row r="127" spans="1:29" x14ac:dyDescent="0.35">
      <c r="A127" s="1"/>
      <c r="B127" s="5"/>
      <c r="C127" s="25" t="s">
        <v>782</v>
      </c>
      <c r="D127" s="25" t="s">
        <v>761</v>
      </c>
      <c r="E127" s="25" t="s">
        <v>946</v>
      </c>
      <c r="F127" s="25" t="s">
        <v>947</v>
      </c>
      <c r="G127" s="50">
        <v>25.58925</v>
      </c>
      <c r="H127" s="50">
        <v>1</v>
      </c>
      <c r="I127" s="37">
        <v>13</v>
      </c>
      <c r="J127" s="37">
        <v>13</v>
      </c>
      <c r="K127" s="37">
        <v>13</v>
      </c>
      <c r="L127" s="37">
        <v>13</v>
      </c>
      <c r="M127" s="37">
        <v>102.35700225830099</v>
      </c>
      <c r="N127" s="37">
        <v>102.35700225830099</v>
      </c>
      <c r="O127" s="37">
        <v>102.35700225830099</v>
      </c>
      <c r="P127" s="37">
        <v>102.35700225830099</v>
      </c>
      <c r="Q127" s="50">
        <v>0</v>
      </c>
      <c r="R127" s="25"/>
      <c r="S127" s="25"/>
      <c r="T127" s="25"/>
      <c r="U127" s="25"/>
      <c r="V127" s="25"/>
      <c r="W127" s="25"/>
      <c r="X127" s="25"/>
      <c r="Y127" s="25"/>
      <c r="Z127" s="25"/>
      <c r="AA127" s="1"/>
      <c r="AB127" s="1"/>
      <c r="AC127" s="1"/>
    </row>
    <row r="128" spans="1:29" x14ac:dyDescent="0.35">
      <c r="A128" s="1"/>
      <c r="B128" s="5"/>
      <c r="C128" s="25" t="s">
        <v>782</v>
      </c>
      <c r="D128" s="25" t="s">
        <v>761</v>
      </c>
      <c r="E128" s="25" t="s">
        <v>948</v>
      </c>
      <c r="F128" s="25" t="s">
        <v>949</v>
      </c>
      <c r="G128" s="50">
        <v>29.542497999999998</v>
      </c>
      <c r="H128" s="50">
        <v>1</v>
      </c>
      <c r="I128" s="37">
        <v>13.5</v>
      </c>
      <c r="J128" s="37">
        <v>13.5</v>
      </c>
      <c r="K128" s="37">
        <v>13.5</v>
      </c>
      <c r="L128" s="37">
        <v>13.5</v>
      </c>
      <c r="M128" s="37">
        <v>101.27799987793</v>
      </c>
      <c r="N128" s="37">
        <v>101.27799987793</v>
      </c>
      <c r="O128" s="37">
        <v>101.27799987793</v>
      </c>
      <c r="P128" s="37">
        <v>101.27799987793</v>
      </c>
      <c r="Q128" s="50">
        <v>0</v>
      </c>
      <c r="R128" s="25"/>
      <c r="S128" s="25"/>
      <c r="T128" s="25"/>
      <c r="U128" s="25"/>
      <c r="V128" s="25"/>
      <c r="W128" s="25"/>
      <c r="X128" s="25"/>
      <c r="Y128" s="25"/>
      <c r="Z128" s="25"/>
      <c r="AA128" s="1"/>
      <c r="AB128" s="1"/>
      <c r="AC128" s="1"/>
    </row>
    <row r="129" spans="1:29" x14ac:dyDescent="0.35">
      <c r="A129" s="1"/>
      <c r="B129" s="5"/>
      <c r="C129" s="25" t="s">
        <v>690</v>
      </c>
      <c r="D129" s="25" t="s">
        <v>761</v>
      </c>
      <c r="E129" s="25" t="s">
        <v>516</v>
      </c>
      <c r="F129" s="25" t="s">
        <v>692</v>
      </c>
      <c r="G129" s="50">
        <v>200.3</v>
      </c>
      <c r="H129" s="50">
        <v>1</v>
      </c>
      <c r="I129" s="37">
        <v>12.3900003433228</v>
      </c>
      <c r="J129" s="37">
        <v>12.3900003433228</v>
      </c>
      <c r="K129" s="37">
        <v>12.3900003433228</v>
      </c>
      <c r="L129" s="37">
        <v>0</v>
      </c>
      <c r="M129" s="37">
        <v>100</v>
      </c>
      <c r="N129" s="37">
        <v>100</v>
      </c>
      <c r="O129" s="37">
        <v>100</v>
      </c>
      <c r="P129" s="37">
        <v>100</v>
      </c>
      <c r="Q129" s="50">
        <v>0</v>
      </c>
      <c r="R129" s="25"/>
      <c r="S129" s="25"/>
      <c r="T129" s="25"/>
      <c r="U129" s="25"/>
      <c r="V129" s="25"/>
      <c r="W129" s="25"/>
      <c r="X129" s="25"/>
      <c r="Y129" s="25"/>
      <c r="Z129" s="25"/>
      <c r="AA129" s="1"/>
      <c r="AB129" s="1"/>
      <c r="AC129" s="1"/>
    </row>
    <row r="130" spans="1:29" x14ac:dyDescent="0.35">
      <c r="A130" s="1"/>
      <c r="B130" s="5"/>
      <c r="C130" s="25" t="s">
        <v>950</v>
      </c>
      <c r="D130" s="25" t="s">
        <v>761</v>
      </c>
      <c r="E130" s="25" t="s">
        <v>951</v>
      </c>
      <c r="F130" s="25" t="s">
        <v>952</v>
      </c>
      <c r="G130" s="50">
        <v>2012.34</v>
      </c>
      <c r="H130" s="50">
        <v>2</v>
      </c>
      <c r="I130" s="37">
        <v>13.569999694824199</v>
      </c>
      <c r="J130" s="37">
        <v>13.6000003814697</v>
      </c>
      <c r="K130" s="37">
        <v>13.585000038146999</v>
      </c>
      <c r="L130" s="37">
        <v>13.6000003814697</v>
      </c>
      <c r="M130" s="37">
        <v>100.58999633789099</v>
      </c>
      <c r="N130" s="37">
        <v>100.643997192383</v>
      </c>
      <c r="O130" s="37">
        <v>100.616996765137</v>
      </c>
      <c r="P130" s="37">
        <v>100.58999633789099</v>
      </c>
      <c r="Q130" s="50">
        <v>0</v>
      </c>
      <c r="R130" s="25"/>
      <c r="S130" s="25"/>
      <c r="T130" s="25"/>
      <c r="U130" s="25"/>
      <c r="V130" s="25"/>
      <c r="W130" s="25"/>
      <c r="X130" s="25"/>
      <c r="Y130" s="25"/>
      <c r="Z130" s="25"/>
      <c r="AA130" s="1"/>
      <c r="AB130" s="1"/>
      <c r="AC130" s="1"/>
    </row>
    <row r="131" spans="1:29" x14ac:dyDescent="0.35">
      <c r="A131" s="1"/>
      <c r="B131" s="5"/>
      <c r="C131" s="25" t="s">
        <v>950</v>
      </c>
      <c r="D131" s="25" t="s">
        <v>761</v>
      </c>
      <c r="E131" s="25" t="s">
        <v>953</v>
      </c>
      <c r="F131" s="25" t="s">
        <v>954</v>
      </c>
      <c r="G131" s="50">
        <v>6018.81</v>
      </c>
      <c r="H131" s="50">
        <v>2</v>
      </c>
      <c r="I131" s="37">
        <v>13.569999694824199</v>
      </c>
      <c r="J131" s="37">
        <v>13.6000003814697</v>
      </c>
      <c r="K131" s="37">
        <v>13.585000038146999</v>
      </c>
      <c r="L131" s="37">
        <v>13.6000003814697</v>
      </c>
      <c r="M131" s="37">
        <v>100.286003112793</v>
      </c>
      <c r="N131" s="37">
        <v>100.34100341796901</v>
      </c>
      <c r="O131" s="37">
        <v>100.313503265381</v>
      </c>
      <c r="P131" s="37">
        <v>100.286003112793</v>
      </c>
      <c r="Q131" s="50">
        <v>0</v>
      </c>
      <c r="R131" s="25"/>
      <c r="S131" s="25"/>
      <c r="T131" s="25"/>
      <c r="U131" s="25"/>
      <c r="V131" s="25"/>
      <c r="W131" s="25"/>
      <c r="X131" s="25"/>
      <c r="Y131" s="25"/>
      <c r="Z131" s="25"/>
      <c r="AA131" s="1"/>
      <c r="AB131" s="1"/>
      <c r="AC131" s="1"/>
    </row>
    <row r="132" spans="1:29" x14ac:dyDescent="0.35">
      <c r="A132" s="1"/>
      <c r="B132" s="5"/>
      <c r="C132" s="25" t="s">
        <v>955</v>
      </c>
      <c r="D132" s="25" t="s">
        <v>761</v>
      </c>
      <c r="E132" s="25" t="s">
        <v>956</v>
      </c>
      <c r="F132" s="25" t="s">
        <v>957</v>
      </c>
      <c r="G132" s="50">
        <v>1005.38</v>
      </c>
      <c r="H132" s="50">
        <v>1</v>
      </c>
      <c r="I132" s="37">
        <v>12.300000190734901</v>
      </c>
      <c r="J132" s="37">
        <v>12.300000190734901</v>
      </c>
      <c r="K132" s="37">
        <v>12.300000190734901</v>
      </c>
      <c r="L132" s="37">
        <v>12.300000190734901</v>
      </c>
      <c r="M132" s="37">
        <v>100.53800201416</v>
      </c>
      <c r="N132" s="37">
        <v>100.53800201416</v>
      </c>
      <c r="O132" s="37">
        <v>100.53800201416</v>
      </c>
      <c r="P132" s="37">
        <v>100.53800201416</v>
      </c>
      <c r="Q132" s="50">
        <v>0</v>
      </c>
      <c r="R132" s="25"/>
      <c r="S132" s="25"/>
      <c r="T132" s="25"/>
      <c r="U132" s="25"/>
      <c r="V132" s="25"/>
      <c r="W132" s="25"/>
      <c r="X132" s="25"/>
      <c r="Y132" s="25"/>
      <c r="Z132" s="25"/>
      <c r="AA132" s="1"/>
      <c r="AB132" s="1"/>
      <c r="AC132" s="1"/>
    </row>
    <row r="133" spans="1:29" x14ac:dyDescent="0.35">
      <c r="A133" s="1"/>
      <c r="B133" s="5"/>
      <c r="C133" s="25" t="s">
        <v>791</v>
      </c>
      <c r="D133" s="25" t="s">
        <v>761</v>
      </c>
      <c r="E133" s="25" t="s">
        <v>792</v>
      </c>
      <c r="F133" s="25" t="s">
        <v>786</v>
      </c>
      <c r="G133" s="50">
        <v>28562.799999999999</v>
      </c>
      <c r="H133" s="50">
        <v>3</v>
      </c>
      <c r="I133" s="37">
        <v>12.9700002670288</v>
      </c>
      <c r="J133" s="37">
        <v>13.0200004577637</v>
      </c>
      <c r="K133" s="37">
        <v>12.995000362396199</v>
      </c>
      <c r="L133" s="37">
        <v>13.0200004577637</v>
      </c>
      <c r="M133" s="37">
        <v>101.991996765137</v>
      </c>
      <c r="N133" s="37">
        <v>102.02799987793</v>
      </c>
      <c r="O133" s="37">
        <v>102.009998321533</v>
      </c>
      <c r="P133" s="37">
        <v>101.991996765137</v>
      </c>
      <c r="Q133" s="50">
        <v>0</v>
      </c>
      <c r="R133" s="25"/>
      <c r="S133" s="25"/>
      <c r="T133" s="25"/>
      <c r="U133" s="25"/>
      <c r="V133" s="25"/>
      <c r="W133" s="25"/>
      <c r="X133" s="25"/>
      <c r="Y133" s="25"/>
      <c r="Z133" s="25"/>
      <c r="AA133" s="1"/>
      <c r="AB133" s="1"/>
      <c r="AC133" s="1"/>
    </row>
    <row r="134" spans="1:29" x14ac:dyDescent="0.35">
      <c r="A134" s="1"/>
      <c r="B134" s="5"/>
      <c r="C134" s="25" t="s">
        <v>791</v>
      </c>
      <c r="D134" s="25" t="s">
        <v>761</v>
      </c>
      <c r="E134" s="25" t="s">
        <v>958</v>
      </c>
      <c r="F134" s="25" t="s">
        <v>959</v>
      </c>
      <c r="G134" s="50">
        <v>81.540800000000004</v>
      </c>
      <c r="H134" s="50">
        <v>1</v>
      </c>
      <c r="I134" s="37">
        <v>12</v>
      </c>
      <c r="J134" s="37">
        <v>12</v>
      </c>
      <c r="K134" s="37">
        <v>12</v>
      </c>
      <c r="L134" s="37">
        <v>12</v>
      </c>
      <c r="M134" s="37">
        <v>101.92600250244099</v>
      </c>
      <c r="N134" s="37">
        <v>101.92600250244099</v>
      </c>
      <c r="O134" s="37">
        <v>101.92600250244099</v>
      </c>
      <c r="P134" s="37">
        <v>101.92600250244099</v>
      </c>
      <c r="Q134" s="50">
        <v>0</v>
      </c>
      <c r="R134" s="25"/>
      <c r="S134" s="25"/>
      <c r="T134" s="25"/>
      <c r="U134" s="25"/>
      <c r="V134" s="25"/>
      <c r="W134" s="25"/>
      <c r="X134" s="25"/>
      <c r="Y134" s="25"/>
      <c r="Z134" s="25"/>
      <c r="AA134" s="1"/>
      <c r="AB134" s="1"/>
      <c r="AC134" s="1"/>
    </row>
    <row r="135" spans="1:29" x14ac:dyDescent="0.35">
      <c r="A135" s="1"/>
      <c r="B135" s="5"/>
      <c r="C135" s="25" t="s">
        <v>791</v>
      </c>
      <c r="D135" s="25" t="s">
        <v>761</v>
      </c>
      <c r="E135" s="25" t="s">
        <v>887</v>
      </c>
      <c r="F135" s="25" t="s">
        <v>960</v>
      </c>
      <c r="G135" s="50">
        <v>1002.18</v>
      </c>
      <c r="H135" s="50">
        <v>1</v>
      </c>
      <c r="I135" s="37">
        <v>12.7799997329712</v>
      </c>
      <c r="J135" s="37">
        <v>12.7799997329712</v>
      </c>
      <c r="K135" s="37">
        <v>12.7799997329712</v>
      </c>
      <c r="L135" s="37">
        <v>12.7799997329712</v>
      </c>
      <c r="M135" s="37">
        <v>100.21800231933599</v>
      </c>
      <c r="N135" s="37">
        <v>100.21800231933599</v>
      </c>
      <c r="O135" s="37">
        <v>100.21800231933599</v>
      </c>
      <c r="P135" s="37">
        <v>100.21800231933599</v>
      </c>
      <c r="Q135" s="50">
        <v>0</v>
      </c>
      <c r="R135" s="25"/>
      <c r="S135" s="25"/>
      <c r="T135" s="25"/>
      <c r="U135" s="25"/>
      <c r="V135" s="25"/>
      <c r="W135" s="25"/>
      <c r="X135" s="25"/>
      <c r="Y135" s="25"/>
      <c r="Z135" s="25"/>
      <c r="AA135" s="1"/>
      <c r="AB135" s="1"/>
      <c r="AC135" s="1"/>
    </row>
    <row r="136" spans="1:29" x14ac:dyDescent="0.35">
      <c r="A136" s="1"/>
      <c r="B136" s="5"/>
      <c r="C136" s="25" t="s">
        <v>791</v>
      </c>
      <c r="D136" s="25" t="s">
        <v>761</v>
      </c>
      <c r="E136" s="25" t="s">
        <v>961</v>
      </c>
      <c r="F136" s="25" t="s">
        <v>962</v>
      </c>
      <c r="G136" s="50">
        <v>532.08088999999995</v>
      </c>
      <c r="H136" s="50">
        <v>1</v>
      </c>
      <c r="I136" s="37">
        <v>12.800000190734901</v>
      </c>
      <c r="J136" s="37">
        <v>12.800000190734901</v>
      </c>
      <c r="K136" s="37">
        <v>12.800000190734901</v>
      </c>
      <c r="L136" s="37">
        <v>12.800000190734901</v>
      </c>
      <c r="M136" s="37">
        <v>102.916999816895</v>
      </c>
      <c r="N136" s="37">
        <v>102.916999816895</v>
      </c>
      <c r="O136" s="37">
        <v>102.916999816895</v>
      </c>
      <c r="P136" s="37">
        <v>102.916999816895</v>
      </c>
      <c r="Q136" s="50">
        <v>0</v>
      </c>
      <c r="R136" s="25"/>
      <c r="S136" s="25"/>
      <c r="T136" s="25"/>
      <c r="U136" s="25"/>
      <c r="V136" s="25"/>
      <c r="W136" s="25"/>
      <c r="X136" s="25"/>
      <c r="Y136" s="25"/>
      <c r="Z136" s="25"/>
      <c r="AA136" s="1"/>
      <c r="AB136" s="1"/>
      <c r="AC136" s="1"/>
    </row>
    <row r="137" spans="1:29" x14ac:dyDescent="0.35">
      <c r="A137" s="1"/>
      <c r="B137" s="5"/>
      <c r="C137" s="25" t="s">
        <v>791</v>
      </c>
      <c r="D137" s="25" t="s">
        <v>761</v>
      </c>
      <c r="E137" s="25" t="s">
        <v>963</v>
      </c>
      <c r="F137" s="25" t="s">
        <v>964</v>
      </c>
      <c r="G137" s="50">
        <v>150.51300000000001</v>
      </c>
      <c r="H137" s="50">
        <v>1</v>
      </c>
      <c r="I137" s="37">
        <v>13.800000190734901</v>
      </c>
      <c r="J137" s="37">
        <v>13.800000190734901</v>
      </c>
      <c r="K137" s="37">
        <v>13.800000190734901</v>
      </c>
      <c r="L137" s="37">
        <v>13.800000190734901</v>
      </c>
      <c r="M137" s="37">
        <v>100.342002868652</v>
      </c>
      <c r="N137" s="37">
        <v>100.342002868652</v>
      </c>
      <c r="O137" s="37">
        <v>100.342002868652</v>
      </c>
      <c r="P137" s="37">
        <v>100.342002868652</v>
      </c>
      <c r="Q137" s="50">
        <v>0</v>
      </c>
      <c r="R137" s="25"/>
      <c r="S137" s="25"/>
      <c r="T137" s="25"/>
      <c r="U137" s="25"/>
      <c r="V137" s="25"/>
      <c r="W137" s="25"/>
      <c r="X137" s="25"/>
      <c r="Y137" s="25"/>
      <c r="Z137" s="25"/>
      <c r="AA137" s="1"/>
      <c r="AB137" s="1"/>
      <c r="AC137" s="1"/>
    </row>
    <row r="138" spans="1:29" x14ac:dyDescent="0.35">
      <c r="A138" s="1"/>
      <c r="B138" s="5"/>
      <c r="C138" s="25" t="s">
        <v>791</v>
      </c>
      <c r="D138" s="25" t="s">
        <v>761</v>
      </c>
      <c r="E138" s="25" t="s">
        <v>965</v>
      </c>
      <c r="F138" s="25" t="s">
        <v>966</v>
      </c>
      <c r="G138" s="50">
        <v>20.54</v>
      </c>
      <c r="H138" s="50">
        <v>1</v>
      </c>
      <c r="I138" s="37">
        <v>12.699999809265099</v>
      </c>
      <c r="J138" s="37">
        <v>12.699999809265099</v>
      </c>
      <c r="K138" s="37">
        <v>12.699999809265099</v>
      </c>
      <c r="L138" s="37">
        <v>12.699999809265099</v>
      </c>
      <c r="M138" s="37">
        <v>102.699996948242</v>
      </c>
      <c r="N138" s="37">
        <v>102.699996948242</v>
      </c>
      <c r="O138" s="37">
        <v>102.699996948242</v>
      </c>
      <c r="P138" s="37">
        <v>102.699996948242</v>
      </c>
      <c r="Q138" s="50">
        <v>0</v>
      </c>
      <c r="R138" s="25"/>
      <c r="S138" s="25"/>
      <c r="T138" s="25"/>
      <c r="U138" s="25"/>
      <c r="V138" s="25"/>
      <c r="W138" s="25"/>
      <c r="X138" s="25"/>
      <c r="Y138" s="25"/>
      <c r="Z138" s="25"/>
      <c r="AA138" s="1"/>
      <c r="AB138" s="1"/>
      <c r="AC138" s="1"/>
    </row>
    <row r="139" spans="1:29" x14ac:dyDescent="0.35">
      <c r="A139" s="1"/>
      <c r="B139" s="5"/>
      <c r="C139" s="25" t="s">
        <v>791</v>
      </c>
      <c r="D139" s="25" t="s">
        <v>761</v>
      </c>
      <c r="E139" s="25" t="s">
        <v>967</v>
      </c>
      <c r="F139" s="25" t="s">
        <v>968</v>
      </c>
      <c r="G139" s="50">
        <v>99.596000000000004</v>
      </c>
      <c r="H139" s="50">
        <v>1</v>
      </c>
      <c r="I139" s="37">
        <v>12.3999996185303</v>
      </c>
      <c r="J139" s="37">
        <v>12.3999996185303</v>
      </c>
      <c r="K139" s="37">
        <v>12.3999996185303</v>
      </c>
      <c r="L139" s="37">
        <v>12.3999996185303</v>
      </c>
      <c r="M139" s="37">
        <v>99.596000671386705</v>
      </c>
      <c r="N139" s="37">
        <v>99.596000671386705</v>
      </c>
      <c r="O139" s="37">
        <v>99.596000671386705</v>
      </c>
      <c r="P139" s="37">
        <v>99.596000671386705</v>
      </c>
      <c r="Q139" s="50">
        <v>0</v>
      </c>
      <c r="R139" s="25"/>
      <c r="S139" s="25"/>
      <c r="T139" s="25"/>
      <c r="U139" s="25"/>
      <c r="V139" s="25"/>
      <c r="W139" s="25"/>
      <c r="X139" s="25"/>
      <c r="Y139" s="25"/>
      <c r="Z139" s="25"/>
      <c r="AA139" s="1"/>
      <c r="AB139" s="1"/>
      <c r="AC139" s="1"/>
    </row>
    <row r="140" spans="1:29" x14ac:dyDescent="0.35">
      <c r="A140" s="1"/>
      <c r="B140" s="5"/>
      <c r="C140" s="25" t="s">
        <v>791</v>
      </c>
      <c r="D140" s="25" t="s">
        <v>761</v>
      </c>
      <c r="E140" s="25" t="s">
        <v>969</v>
      </c>
      <c r="F140" s="25" t="s">
        <v>970</v>
      </c>
      <c r="G140" s="50">
        <v>5945.18</v>
      </c>
      <c r="H140" s="50">
        <v>3</v>
      </c>
      <c r="I140" s="37">
        <v>12.1000003814697</v>
      </c>
      <c r="J140" s="37">
        <v>12.3240003585815</v>
      </c>
      <c r="K140" s="37">
        <v>12.2213335037231</v>
      </c>
      <c r="L140" s="37">
        <v>12.1000003814697</v>
      </c>
      <c r="M140" s="37">
        <v>99.041999816894503</v>
      </c>
      <c r="N140" s="37">
        <v>99.138999938964801</v>
      </c>
      <c r="O140" s="37">
        <v>99.086334228515597</v>
      </c>
      <c r="P140" s="37">
        <v>99.138999938964801</v>
      </c>
      <c r="Q140" s="50">
        <v>0</v>
      </c>
      <c r="R140" s="25"/>
      <c r="S140" s="25"/>
      <c r="T140" s="25"/>
      <c r="U140" s="25"/>
      <c r="V140" s="25"/>
      <c r="W140" s="25"/>
      <c r="X140" s="25"/>
      <c r="Y140" s="25"/>
      <c r="Z140" s="25"/>
      <c r="AA140" s="1"/>
      <c r="AB140" s="1"/>
      <c r="AC140" s="1"/>
    </row>
    <row r="141" spans="1:29" x14ac:dyDescent="0.35">
      <c r="A141" s="1"/>
      <c r="B141" s="5"/>
      <c r="C141" s="25" t="s">
        <v>791</v>
      </c>
      <c r="D141" s="25" t="s">
        <v>761</v>
      </c>
      <c r="E141" s="25" t="s">
        <v>971</v>
      </c>
      <c r="F141" s="25" t="s">
        <v>972</v>
      </c>
      <c r="G141" s="50">
        <v>588.01199999999994</v>
      </c>
      <c r="H141" s="50">
        <v>1</v>
      </c>
      <c r="I141" s="37">
        <v>12.6300001144409</v>
      </c>
      <c r="J141" s="37">
        <v>12.6300001144409</v>
      </c>
      <c r="K141" s="37">
        <v>12.6300001144409</v>
      </c>
      <c r="L141" s="37">
        <v>12.6300001144409</v>
      </c>
      <c r="M141" s="37">
        <v>98.001998901367202</v>
      </c>
      <c r="N141" s="37">
        <v>98.001998901367202</v>
      </c>
      <c r="O141" s="37">
        <v>98.001998901367202</v>
      </c>
      <c r="P141" s="37">
        <v>98.001998901367202</v>
      </c>
      <c r="Q141" s="50">
        <v>0</v>
      </c>
      <c r="R141" s="25"/>
      <c r="S141" s="25"/>
      <c r="T141" s="25"/>
      <c r="U141" s="25"/>
      <c r="V141" s="25"/>
      <c r="W141" s="25"/>
      <c r="X141" s="25"/>
      <c r="Y141" s="25"/>
      <c r="Z141" s="25"/>
      <c r="AA141" s="1"/>
      <c r="AB141" s="1"/>
      <c r="AC141" s="1"/>
    </row>
    <row r="142" spans="1:29" x14ac:dyDescent="0.35">
      <c r="A142" s="1"/>
      <c r="B142" s="5"/>
      <c r="C142" s="25" t="s">
        <v>791</v>
      </c>
      <c r="D142" s="25" t="s">
        <v>761</v>
      </c>
      <c r="E142" s="25" t="s">
        <v>973</v>
      </c>
      <c r="F142" s="25" t="s">
        <v>974</v>
      </c>
      <c r="G142" s="50">
        <v>61155.45</v>
      </c>
      <c r="H142" s="50">
        <v>4</v>
      </c>
      <c r="I142" s="37">
        <v>12.8999996185303</v>
      </c>
      <c r="J142" s="37">
        <v>12.9799995422363</v>
      </c>
      <c r="K142" s="37">
        <v>12.956666231155401</v>
      </c>
      <c r="L142" s="37">
        <v>12.8999996185303</v>
      </c>
      <c r="M142" s="37">
        <v>101.91300201416</v>
      </c>
      <c r="N142" s="37">
        <v>101.956001281738</v>
      </c>
      <c r="O142" s="37">
        <v>101.92575009663901</v>
      </c>
      <c r="P142" s="37">
        <v>101.956001281738</v>
      </c>
      <c r="Q142" s="50">
        <v>0</v>
      </c>
      <c r="R142" s="25"/>
      <c r="S142" s="25"/>
      <c r="T142" s="25"/>
      <c r="U142" s="25"/>
      <c r="V142" s="25"/>
      <c r="W142" s="25"/>
      <c r="X142" s="25"/>
      <c r="Y142" s="25"/>
      <c r="Z142" s="25"/>
      <c r="AA142" s="1"/>
      <c r="AB142" s="1"/>
      <c r="AC142" s="1"/>
    </row>
    <row r="143" spans="1:29" x14ac:dyDescent="0.35">
      <c r="A143" s="1"/>
      <c r="B143" s="5"/>
      <c r="C143" s="25" t="s">
        <v>791</v>
      </c>
      <c r="D143" s="25" t="s">
        <v>761</v>
      </c>
      <c r="E143" s="25" t="s">
        <v>531</v>
      </c>
      <c r="F143" s="25" t="s">
        <v>975</v>
      </c>
      <c r="G143" s="50">
        <v>20288.5</v>
      </c>
      <c r="H143" s="50">
        <v>2</v>
      </c>
      <c r="I143" s="37">
        <v>12.930000305175801</v>
      </c>
      <c r="J143" s="37">
        <v>12.9799995422363</v>
      </c>
      <c r="K143" s="37">
        <v>12.954999923706101</v>
      </c>
      <c r="L143" s="37">
        <v>12.9799995422363</v>
      </c>
      <c r="M143" s="37">
        <v>101.42800140380901</v>
      </c>
      <c r="N143" s="37">
        <v>101.457000732422</v>
      </c>
      <c r="O143" s="37">
        <v>101.44250106811501</v>
      </c>
      <c r="P143" s="37">
        <v>101.42800140380901</v>
      </c>
      <c r="Q143" s="50">
        <v>0</v>
      </c>
      <c r="R143" s="25"/>
      <c r="S143" s="25"/>
      <c r="T143" s="25"/>
      <c r="U143" s="25"/>
      <c r="V143" s="25"/>
      <c r="W143" s="25"/>
      <c r="X143" s="25"/>
      <c r="Y143" s="25"/>
      <c r="Z143" s="25"/>
      <c r="AA143" s="1"/>
      <c r="AB143" s="1"/>
      <c r="AC143" s="1"/>
    </row>
    <row r="144" spans="1:29" x14ac:dyDescent="0.35">
      <c r="A144" s="1"/>
      <c r="B144" s="5"/>
      <c r="C144" s="25" t="s">
        <v>791</v>
      </c>
      <c r="D144" s="25" t="s">
        <v>761</v>
      </c>
      <c r="E144" s="25" t="s">
        <v>976</v>
      </c>
      <c r="F144" s="25" t="s">
        <v>977</v>
      </c>
      <c r="G144" s="50">
        <v>175.82929999999999</v>
      </c>
      <c r="H144" s="50">
        <v>1</v>
      </c>
      <c r="I144" s="37">
        <v>12.75</v>
      </c>
      <c r="J144" s="37">
        <v>12.75</v>
      </c>
      <c r="K144" s="37">
        <v>12.75</v>
      </c>
      <c r="L144" s="37">
        <v>12.75</v>
      </c>
      <c r="M144" s="37">
        <v>103.429000854492</v>
      </c>
      <c r="N144" s="37">
        <v>103.429000854492</v>
      </c>
      <c r="O144" s="37">
        <v>103.429000854492</v>
      </c>
      <c r="P144" s="37">
        <v>103.429000854492</v>
      </c>
      <c r="Q144" s="50">
        <v>0</v>
      </c>
      <c r="R144" s="25"/>
      <c r="S144" s="25"/>
      <c r="T144" s="25"/>
      <c r="U144" s="25"/>
      <c r="V144" s="25"/>
      <c r="W144" s="25"/>
      <c r="X144" s="25"/>
      <c r="Y144" s="25"/>
      <c r="Z144" s="25"/>
      <c r="AA144" s="1"/>
      <c r="AB144" s="1"/>
      <c r="AC144" s="1"/>
    </row>
    <row r="145" spans="1:29" x14ac:dyDescent="0.35">
      <c r="A145" s="1"/>
      <c r="B145" s="5"/>
      <c r="C145" s="25" t="s">
        <v>698</v>
      </c>
      <c r="D145" s="25" t="s">
        <v>761</v>
      </c>
      <c r="E145" s="25" t="s">
        <v>498</v>
      </c>
      <c r="F145" s="25" t="s">
        <v>731</v>
      </c>
      <c r="G145" s="50">
        <v>5.8529400000000003</v>
      </c>
      <c r="H145" s="50">
        <v>1</v>
      </c>
      <c r="I145" s="37">
        <v>18.110000610351602</v>
      </c>
      <c r="J145" s="37">
        <v>18.110000610351602</v>
      </c>
      <c r="K145" s="37">
        <v>18.110000610351602</v>
      </c>
      <c r="L145" s="37">
        <v>18.110000610351602</v>
      </c>
      <c r="M145" s="37">
        <v>97.549003601074205</v>
      </c>
      <c r="N145" s="37">
        <v>97.549003601074205</v>
      </c>
      <c r="O145" s="37">
        <v>97.549003601074205</v>
      </c>
      <c r="P145" s="37">
        <v>97.549003601074205</v>
      </c>
      <c r="Q145" s="50">
        <v>0</v>
      </c>
      <c r="R145" s="25"/>
      <c r="S145" s="25"/>
      <c r="T145" s="25"/>
      <c r="U145" s="25"/>
      <c r="V145" s="25"/>
      <c r="W145" s="25"/>
      <c r="X145" s="25"/>
      <c r="Y145" s="25"/>
      <c r="Z145" s="25"/>
      <c r="AA145" s="1"/>
      <c r="AB145" s="1"/>
      <c r="AC145" s="1"/>
    </row>
    <row r="146" spans="1:29" x14ac:dyDescent="0.35">
      <c r="A146" s="1"/>
      <c r="B146" s="5"/>
      <c r="C146" s="25" t="s">
        <v>698</v>
      </c>
      <c r="D146" s="25" t="s">
        <v>761</v>
      </c>
      <c r="E146" s="25" t="s">
        <v>516</v>
      </c>
      <c r="F146" s="25" t="s">
        <v>692</v>
      </c>
      <c r="G146" s="50">
        <v>501.33499999999998</v>
      </c>
      <c r="H146" s="50">
        <v>1</v>
      </c>
      <c r="I146" s="37">
        <v>11.699999809265099</v>
      </c>
      <c r="J146" s="37">
        <v>11.699999809265099</v>
      </c>
      <c r="K146" s="37">
        <v>11.699999809265099</v>
      </c>
      <c r="L146" s="37">
        <v>11.699999809265099</v>
      </c>
      <c r="M146" s="37">
        <v>100.26699829101599</v>
      </c>
      <c r="N146" s="37">
        <v>100.26699829101599</v>
      </c>
      <c r="O146" s="37">
        <v>100.26699829101599</v>
      </c>
      <c r="P146" s="37">
        <v>100.26699829101599</v>
      </c>
      <c r="Q146" s="50">
        <v>0</v>
      </c>
      <c r="R146" s="25"/>
      <c r="S146" s="25"/>
      <c r="T146" s="25"/>
      <c r="U146" s="25"/>
      <c r="V146" s="25"/>
      <c r="W146" s="25"/>
      <c r="X146" s="25"/>
      <c r="Y146" s="25"/>
      <c r="Z146" s="25"/>
      <c r="AA146" s="1"/>
      <c r="AB146" s="1"/>
      <c r="AC146" s="1"/>
    </row>
    <row r="147" spans="1:29" x14ac:dyDescent="0.35">
      <c r="A147" s="1"/>
      <c r="B147" s="5"/>
      <c r="C147" s="25" t="s">
        <v>698</v>
      </c>
      <c r="D147" s="25" t="s">
        <v>761</v>
      </c>
      <c r="E147" s="25" t="s">
        <v>516</v>
      </c>
      <c r="F147" s="25" t="s">
        <v>683</v>
      </c>
      <c r="G147" s="50">
        <v>1044</v>
      </c>
      <c r="H147" s="50">
        <v>5</v>
      </c>
      <c r="I147" s="37">
        <v>12.649000167846699</v>
      </c>
      <c r="J147" s="37">
        <v>13.3999996185303</v>
      </c>
      <c r="K147" s="37">
        <v>12.6778847621037</v>
      </c>
      <c r="L147" s="37">
        <v>12.649000167846699</v>
      </c>
      <c r="M147" s="37">
        <v>100</v>
      </c>
      <c r="N147" s="37">
        <v>100.40000152587901</v>
      </c>
      <c r="O147" s="37">
        <v>100.384616851807</v>
      </c>
      <c r="P147" s="37">
        <v>100.40000152587901</v>
      </c>
      <c r="Q147" s="50">
        <v>0</v>
      </c>
      <c r="R147" s="25"/>
      <c r="S147" s="25"/>
      <c r="T147" s="25"/>
      <c r="U147" s="25"/>
      <c r="V147" s="25"/>
      <c r="W147" s="25"/>
      <c r="X147" s="25"/>
      <c r="Y147" s="25"/>
      <c r="Z147" s="25"/>
      <c r="AA147" s="1"/>
      <c r="AB147" s="1"/>
      <c r="AC147" s="1"/>
    </row>
    <row r="148" spans="1:29" x14ac:dyDescent="0.35">
      <c r="A148" s="1"/>
      <c r="B148" s="5"/>
      <c r="C148" s="25" t="s">
        <v>807</v>
      </c>
      <c r="D148" s="25" t="s">
        <v>761</v>
      </c>
      <c r="E148" s="25" t="s">
        <v>797</v>
      </c>
      <c r="F148" s="25" t="s">
        <v>798</v>
      </c>
      <c r="G148" s="50">
        <v>491.73500000000001</v>
      </c>
      <c r="H148" s="50">
        <v>1</v>
      </c>
      <c r="I148" s="37">
        <v>12.9799995422363</v>
      </c>
      <c r="J148" s="37">
        <v>12.9799995422363</v>
      </c>
      <c r="K148" s="37">
        <v>12.9799995422363</v>
      </c>
      <c r="L148" s="37">
        <v>12.9799995422363</v>
      </c>
      <c r="M148" s="37">
        <v>98.347000122070298</v>
      </c>
      <c r="N148" s="37">
        <v>98.347000122070298</v>
      </c>
      <c r="O148" s="37">
        <v>98.347000122070298</v>
      </c>
      <c r="P148" s="37">
        <v>98.347000122070298</v>
      </c>
      <c r="Q148" s="50">
        <v>0</v>
      </c>
      <c r="R148" s="25"/>
      <c r="S148" s="25"/>
      <c r="T148" s="25"/>
      <c r="U148" s="25"/>
      <c r="V148" s="25"/>
      <c r="W148" s="25"/>
      <c r="X148" s="25"/>
      <c r="Y148" s="25"/>
      <c r="Z148" s="25"/>
      <c r="AA148" s="1"/>
      <c r="AB148" s="1"/>
      <c r="AC148" s="1"/>
    </row>
    <row r="149" spans="1:29" x14ac:dyDescent="0.35">
      <c r="A149" s="1"/>
      <c r="B149" s="5"/>
      <c r="C149" s="25" t="s">
        <v>701</v>
      </c>
      <c r="D149" s="25" t="s">
        <v>761</v>
      </c>
      <c r="E149" s="25" t="s">
        <v>978</v>
      </c>
      <c r="F149" s="25" t="s">
        <v>979</v>
      </c>
      <c r="G149" s="50">
        <v>502.21499999999997</v>
      </c>
      <c r="H149" s="50">
        <v>1</v>
      </c>
      <c r="I149" s="37">
        <v>11</v>
      </c>
      <c r="J149" s="37">
        <v>11</v>
      </c>
      <c r="K149" s="37">
        <v>11</v>
      </c>
      <c r="L149" s="37">
        <v>11</v>
      </c>
      <c r="M149" s="37">
        <v>100.443000793457</v>
      </c>
      <c r="N149" s="37">
        <v>100.443000793457</v>
      </c>
      <c r="O149" s="37">
        <v>100.443000793457</v>
      </c>
      <c r="P149" s="37">
        <v>100.443000793457</v>
      </c>
      <c r="Q149" s="50">
        <v>0</v>
      </c>
      <c r="R149" s="25"/>
      <c r="S149" s="25"/>
      <c r="T149" s="25"/>
      <c r="U149" s="25"/>
      <c r="V149" s="25"/>
      <c r="W149" s="25"/>
      <c r="X149" s="25"/>
      <c r="Y149" s="25"/>
      <c r="Z149" s="25"/>
      <c r="AA149" s="1"/>
      <c r="AB149" s="1"/>
      <c r="AC149" s="1"/>
    </row>
    <row r="150" spans="1:29" x14ac:dyDescent="0.35">
      <c r="A150" s="1"/>
      <c r="B150" s="5"/>
      <c r="C150" s="25" t="s">
        <v>701</v>
      </c>
      <c r="D150" s="25" t="s">
        <v>761</v>
      </c>
      <c r="E150" s="25" t="s">
        <v>980</v>
      </c>
      <c r="F150" s="25" t="s">
        <v>981</v>
      </c>
      <c r="G150" s="50">
        <v>15128.7</v>
      </c>
      <c r="H150" s="50">
        <v>3</v>
      </c>
      <c r="I150" s="37">
        <v>11</v>
      </c>
      <c r="J150" s="37">
        <v>11</v>
      </c>
      <c r="K150" s="37">
        <v>11</v>
      </c>
      <c r="L150" s="37">
        <v>11</v>
      </c>
      <c r="M150" s="37">
        <v>100.85800170898401</v>
      </c>
      <c r="N150" s="37">
        <v>100.85800170898401</v>
      </c>
      <c r="O150" s="37">
        <v>100.85800170898401</v>
      </c>
      <c r="P150" s="37">
        <v>100.85800170898401</v>
      </c>
      <c r="Q150" s="50">
        <v>0</v>
      </c>
      <c r="R150" s="25"/>
      <c r="S150" s="25"/>
      <c r="T150" s="25"/>
      <c r="U150" s="25"/>
      <c r="V150" s="25"/>
      <c r="W150" s="25"/>
      <c r="X150" s="25"/>
      <c r="Y150" s="25"/>
      <c r="Z150" s="25"/>
      <c r="AA150" s="1"/>
      <c r="AB150" s="1"/>
      <c r="AC150" s="1"/>
    </row>
    <row r="151" spans="1:29" x14ac:dyDescent="0.35">
      <c r="A151" s="1"/>
      <c r="B151" s="5"/>
      <c r="C151" s="25" t="s">
        <v>701</v>
      </c>
      <c r="D151" s="25" t="s">
        <v>761</v>
      </c>
      <c r="E151" s="25" t="s">
        <v>982</v>
      </c>
      <c r="F151" s="25" t="s">
        <v>983</v>
      </c>
      <c r="G151" s="50">
        <v>4045.06</v>
      </c>
      <c r="H151" s="50">
        <v>2</v>
      </c>
      <c r="I151" s="37">
        <v>13.2399997711182</v>
      </c>
      <c r="J151" s="37">
        <v>13.2600002288818</v>
      </c>
      <c r="K151" s="37">
        <v>13.25</v>
      </c>
      <c r="L151" s="37">
        <v>13.2399997711182</v>
      </c>
      <c r="M151" s="37">
        <v>101.11799621582</v>
      </c>
      <c r="N151" s="37">
        <v>101.13500213623</v>
      </c>
      <c r="O151" s="37">
        <v>101.12649917602501</v>
      </c>
      <c r="P151" s="37">
        <v>101.13500213623</v>
      </c>
      <c r="Q151" s="50">
        <v>0</v>
      </c>
      <c r="R151" s="25"/>
      <c r="S151" s="25"/>
      <c r="T151" s="25"/>
      <c r="U151" s="25"/>
      <c r="V151" s="25"/>
      <c r="W151" s="25"/>
      <c r="X151" s="25"/>
      <c r="Y151" s="25"/>
      <c r="Z151" s="25"/>
      <c r="AA151" s="1"/>
      <c r="AB151" s="1"/>
      <c r="AC151" s="1"/>
    </row>
    <row r="152" spans="1:29" x14ac:dyDescent="0.35">
      <c r="A152" s="1"/>
      <c r="B152" s="5"/>
      <c r="C152" s="25" t="s">
        <v>701</v>
      </c>
      <c r="D152" s="25" t="s">
        <v>761</v>
      </c>
      <c r="E152" s="25" t="s">
        <v>516</v>
      </c>
      <c r="F152" s="25" t="s">
        <v>703</v>
      </c>
      <c r="G152" s="50">
        <v>20000</v>
      </c>
      <c r="H152" s="50">
        <v>2</v>
      </c>
      <c r="I152" s="37">
        <v>12.970999717712401</v>
      </c>
      <c r="J152" s="37">
        <v>12.970999717712401</v>
      </c>
      <c r="K152" s="37">
        <v>12.970999717712401</v>
      </c>
      <c r="L152" s="37">
        <v>12.970999717712401</v>
      </c>
      <c r="M152" s="37">
        <v>100</v>
      </c>
      <c r="N152" s="37">
        <v>100</v>
      </c>
      <c r="O152" s="37">
        <v>100</v>
      </c>
      <c r="P152" s="37">
        <v>100</v>
      </c>
      <c r="Q152" s="50">
        <v>0</v>
      </c>
      <c r="R152" s="25"/>
      <c r="S152" s="25"/>
      <c r="T152" s="25"/>
      <c r="U152" s="25"/>
      <c r="V152" s="25"/>
      <c r="W152" s="25"/>
      <c r="X152" s="25"/>
      <c r="Y152" s="25"/>
      <c r="Z152" s="25"/>
      <c r="AA152" s="1"/>
      <c r="AB152" s="1"/>
      <c r="AC152" s="1"/>
    </row>
    <row r="153" spans="1:29" x14ac:dyDescent="0.35">
      <c r="A153" s="1"/>
      <c r="B153" s="5"/>
      <c r="C153" s="25" t="s">
        <v>701</v>
      </c>
      <c r="D153" s="25" t="s">
        <v>761</v>
      </c>
      <c r="E153" s="25" t="s">
        <v>516</v>
      </c>
      <c r="F153" s="25" t="s">
        <v>694</v>
      </c>
      <c r="G153" s="50">
        <v>10000</v>
      </c>
      <c r="H153" s="50">
        <v>2</v>
      </c>
      <c r="I153" s="37">
        <v>13.0249996185303</v>
      </c>
      <c r="J153" s="37">
        <v>13.0249996185303</v>
      </c>
      <c r="K153" s="37">
        <v>13.0249996185303</v>
      </c>
      <c r="L153" s="37">
        <v>0</v>
      </c>
      <c r="M153" s="37">
        <v>100</v>
      </c>
      <c r="N153" s="37">
        <v>100</v>
      </c>
      <c r="O153" s="37">
        <v>100</v>
      </c>
      <c r="P153" s="37">
        <v>100</v>
      </c>
      <c r="Q153" s="50">
        <v>0</v>
      </c>
      <c r="R153" s="25"/>
      <c r="S153" s="25"/>
      <c r="T153" s="25"/>
      <c r="U153" s="25"/>
      <c r="V153" s="25"/>
      <c r="W153" s="25"/>
      <c r="X153" s="25"/>
      <c r="Y153" s="25"/>
      <c r="Z153" s="25"/>
      <c r="AA153" s="1"/>
      <c r="AB153" s="1"/>
      <c r="AC153" s="1"/>
    </row>
    <row r="154" spans="1:29" x14ac:dyDescent="0.35">
      <c r="A154" s="1"/>
      <c r="B154" s="5"/>
      <c r="C154" s="25" t="s">
        <v>701</v>
      </c>
      <c r="D154" s="25" t="s">
        <v>761</v>
      </c>
      <c r="E154" s="25" t="s">
        <v>516</v>
      </c>
      <c r="F154" s="25" t="s">
        <v>704</v>
      </c>
      <c r="G154" s="50">
        <v>44998</v>
      </c>
      <c r="H154" s="50">
        <v>5</v>
      </c>
      <c r="I154" s="37">
        <v>13.5690002441406</v>
      </c>
      <c r="J154" s="37">
        <v>13.579999923706101</v>
      </c>
      <c r="K154" s="37">
        <v>13.573888990614099</v>
      </c>
      <c r="L154" s="37">
        <v>13.5690002441406</v>
      </c>
      <c r="M154" s="37">
        <v>99.989997863769503</v>
      </c>
      <c r="N154" s="37">
        <v>100</v>
      </c>
      <c r="O154" s="37">
        <v>99.995554606119796</v>
      </c>
      <c r="P154" s="37">
        <v>100</v>
      </c>
      <c r="Q154" s="50">
        <v>0</v>
      </c>
      <c r="R154" s="25"/>
      <c r="S154" s="25"/>
      <c r="T154" s="25"/>
      <c r="U154" s="25"/>
      <c r="V154" s="25"/>
      <c r="W154" s="25"/>
      <c r="X154" s="25"/>
      <c r="Y154" s="25"/>
      <c r="Z154" s="25"/>
      <c r="AA154" s="1"/>
      <c r="AB154" s="1"/>
      <c r="AC154" s="1"/>
    </row>
    <row r="155" spans="1:29" x14ac:dyDescent="0.35">
      <c r="A155" s="1"/>
      <c r="B155" s="5"/>
      <c r="C155" s="25" t="s">
        <v>984</v>
      </c>
      <c r="D155" s="25" t="s">
        <v>761</v>
      </c>
      <c r="E155" s="25" t="s">
        <v>825</v>
      </c>
      <c r="F155" s="25" t="s">
        <v>985</v>
      </c>
      <c r="G155" s="50">
        <v>202084.75</v>
      </c>
      <c r="H155" s="50">
        <v>2</v>
      </c>
      <c r="I155" s="37">
        <v>10</v>
      </c>
      <c r="J155" s="37">
        <v>10</v>
      </c>
      <c r="K155" s="37">
        <v>10</v>
      </c>
      <c r="L155" s="37">
        <v>10</v>
      </c>
      <c r="M155" s="37">
        <v>109.235000610352</v>
      </c>
      <c r="N155" s="37">
        <v>109.235000610352</v>
      </c>
      <c r="O155" s="37">
        <v>109.235000610352</v>
      </c>
      <c r="P155" s="37">
        <v>109.235000610352</v>
      </c>
      <c r="Q155" s="50">
        <v>0</v>
      </c>
      <c r="R155" s="25"/>
      <c r="S155" s="25"/>
      <c r="T155" s="25"/>
      <c r="U155" s="25"/>
      <c r="V155" s="25"/>
      <c r="W155" s="25"/>
      <c r="X155" s="25"/>
      <c r="Y155" s="25"/>
      <c r="Z155" s="25"/>
      <c r="AA155" s="1"/>
      <c r="AB155" s="1"/>
      <c r="AC155" s="1"/>
    </row>
    <row r="156" spans="1:29" x14ac:dyDescent="0.35">
      <c r="A156" s="1"/>
      <c r="B156" s="5"/>
      <c r="C156" s="25" t="s">
        <v>709</v>
      </c>
      <c r="D156" s="25" t="s">
        <v>986</v>
      </c>
      <c r="E156" s="25" t="s">
        <v>516</v>
      </c>
      <c r="F156" s="25" t="s">
        <v>692</v>
      </c>
      <c r="G156" s="50">
        <v>283.41282000000001</v>
      </c>
      <c r="H156" s="50">
        <v>1</v>
      </c>
      <c r="I156" s="37">
        <v>11.069999694824199</v>
      </c>
      <c r="J156" s="37">
        <v>11.069999694824199</v>
      </c>
      <c r="K156" s="37">
        <v>11.069999694824199</v>
      </c>
      <c r="L156" s="37">
        <v>11.069999694824199</v>
      </c>
      <c r="M156" s="37">
        <v>100.50099945068401</v>
      </c>
      <c r="N156" s="37">
        <v>100.50099945068401</v>
      </c>
      <c r="O156" s="37">
        <v>100.50099945068401</v>
      </c>
      <c r="P156" s="37">
        <v>100.50099945068401</v>
      </c>
      <c r="Q156" s="50">
        <v>0</v>
      </c>
      <c r="R156" s="25"/>
      <c r="S156" s="25"/>
      <c r="T156" s="25"/>
      <c r="U156" s="25"/>
      <c r="V156" s="25"/>
      <c r="W156" s="25"/>
      <c r="X156" s="25"/>
      <c r="Y156" s="25"/>
      <c r="Z156" s="25"/>
      <c r="AA156" s="1"/>
      <c r="AB156" s="1"/>
      <c r="AC156" s="1"/>
    </row>
    <row r="157" spans="1:29" x14ac:dyDescent="0.35">
      <c r="A157" s="1"/>
      <c r="B157" s="5"/>
      <c r="C157" s="25" t="s">
        <v>709</v>
      </c>
      <c r="D157" s="25" t="s">
        <v>986</v>
      </c>
      <c r="E157" s="25" t="s">
        <v>516</v>
      </c>
      <c r="F157" s="25" t="s">
        <v>683</v>
      </c>
      <c r="G157" s="50">
        <v>212.60682</v>
      </c>
      <c r="H157" s="50">
        <v>3</v>
      </c>
      <c r="I157" s="37">
        <v>12.300000190734901</v>
      </c>
      <c r="J157" s="37">
        <v>12.5</v>
      </c>
      <c r="K157" s="37">
        <v>12.4000000705086</v>
      </c>
      <c r="L157" s="37">
        <v>12.300000190734901</v>
      </c>
      <c r="M157" s="37">
        <v>100.67600250244099</v>
      </c>
      <c r="N157" s="37">
        <v>100.84700012207</v>
      </c>
      <c r="O157" s="37">
        <v>100.761527364288</v>
      </c>
      <c r="P157" s="37">
        <v>100.84700012207</v>
      </c>
      <c r="Q157" s="50">
        <v>0</v>
      </c>
      <c r="R157" s="25"/>
      <c r="S157" s="25"/>
      <c r="T157" s="25"/>
      <c r="U157" s="25"/>
      <c r="V157" s="25"/>
      <c r="W157" s="25"/>
      <c r="X157" s="25"/>
      <c r="Y157" s="25"/>
      <c r="Z157" s="25"/>
      <c r="AA157" s="1"/>
      <c r="AB157" s="1"/>
      <c r="AC157" s="1"/>
    </row>
    <row r="158" spans="1:29" x14ac:dyDescent="0.35">
      <c r="A158" s="1"/>
      <c r="B158" s="5"/>
      <c r="C158" s="25" t="s">
        <v>711</v>
      </c>
      <c r="D158" s="25" t="s">
        <v>986</v>
      </c>
      <c r="E158" s="25" t="s">
        <v>516</v>
      </c>
      <c r="F158" s="25" t="s">
        <v>683</v>
      </c>
      <c r="G158" s="50">
        <v>200</v>
      </c>
      <c r="H158" s="50">
        <v>1</v>
      </c>
      <c r="I158" s="37">
        <v>13.199999809265099</v>
      </c>
      <c r="J158" s="37">
        <v>13.199999809265099</v>
      </c>
      <c r="K158" s="37">
        <v>13.199999809265099</v>
      </c>
      <c r="L158" s="37">
        <v>13.199999809265099</v>
      </c>
      <c r="M158" s="37">
        <v>100</v>
      </c>
      <c r="N158" s="37">
        <v>100</v>
      </c>
      <c r="O158" s="37">
        <v>100</v>
      </c>
      <c r="P158" s="37">
        <v>100</v>
      </c>
      <c r="Q158" s="50">
        <v>0</v>
      </c>
      <c r="R158" s="25"/>
      <c r="S158" s="25"/>
      <c r="T158" s="25"/>
      <c r="U158" s="25"/>
      <c r="V158" s="25"/>
      <c r="W158" s="25"/>
      <c r="X158" s="25"/>
      <c r="Y158" s="25"/>
      <c r="Z158" s="25"/>
      <c r="AA158" s="1"/>
      <c r="AB158" s="1"/>
      <c r="AC158" s="1"/>
    </row>
    <row r="159" spans="1:29" x14ac:dyDescent="0.35">
      <c r="A159" s="1"/>
      <c r="B159" s="5"/>
      <c r="C159" s="25" t="s">
        <v>714</v>
      </c>
      <c r="D159" s="25" t="s">
        <v>761</v>
      </c>
      <c r="E159" s="25" t="s">
        <v>987</v>
      </c>
      <c r="F159" s="25" t="s">
        <v>988</v>
      </c>
      <c r="G159" s="50">
        <v>510.36500000000001</v>
      </c>
      <c r="H159" s="50">
        <v>1</v>
      </c>
      <c r="I159" s="37">
        <v>12.1199998855591</v>
      </c>
      <c r="J159" s="37">
        <v>12.1199998855591</v>
      </c>
      <c r="K159" s="37">
        <v>12.1199998855591</v>
      </c>
      <c r="L159" s="37">
        <v>12.1199998855591</v>
      </c>
      <c r="M159" s="37">
        <v>102.072998046875</v>
      </c>
      <c r="N159" s="37">
        <v>102.072998046875</v>
      </c>
      <c r="O159" s="37">
        <v>102.072998046875</v>
      </c>
      <c r="P159" s="37">
        <v>102.072998046875</v>
      </c>
      <c r="Q159" s="50">
        <v>0</v>
      </c>
      <c r="R159" s="25"/>
      <c r="S159" s="25"/>
      <c r="T159" s="25"/>
      <c r="U159" s="25"/>
      <c r="V159" s="25"/>
      <c r="W159" s="25"/>
      <c r="X159" s="25"/>
      <c r="Y159" s="25"/>
      <c r="Z159" s="25"/>
      <c r="AA159" s="1"/>
      <c r="AB159" s="1"/>
      <c r="AC159" s="1"/>
    </row>
    <row r="160" spans="1:29" x14ac:dyDescent="0.35">
      <c r="A160" s="1"/>
      <c r="B160" s="5"/>
      <c r="C160" s="25" t="s">
        <v>714</v>
      </c>
      <c r="D160" s="25" t="s">
        <v>761</v>
      </c>
      <c r="E160" s="25" t="s">
        <v>507</v>
      </c>
      <c r="F160" s="25" t="s">
        <v>829</v>
      </c>
      <c r="G160" s="50">
        <v>1018.3</v>
      </c>
      <c r="H160" s="50">
        <v>1</v>
      </c>
      <c r="I160" s="37">
        <v>12.1000003814697</v>
      </c>
      <c r="J160" s="37">
        <v>12.1000003814697</v>
      </c>
      <c r="K160" s="37">
        <v>12.1000003814697</v>
      </c>
      <c r="L160" s="37">
        <v>12.1000003814697</v>
      </c>
      <c r="M160" s="37">
        <v>101.830001831055</v>
      </c>
      <c r="N160" s="37">
        <v>101.830001831055</v>
      </c>
      <c r="O160" s="37">
        <v>101.830001831055</v>
      </c>
      <c r="P160" s="37">
        <v>101.830001831055</v>
      </c>
      <c r="Q160" s="50">
        <v>0</v>
      </c>
      <c r="R160" s="25"/>
      <c r="S160" s="25"/>
      <c r="T160" s="25"/>
      <c r="U160" s="25"/>
      <c r="V160" s="25"/>
      <c r="W160" s="25"/>
      <c r="X160" s="25"/>
      <c r="Y160" s="25"/>
      <c r="Z160" s="25"/>
      <c r="AA160" s="1"/>
      <c r="AB160" s="1"/>
      <c r="AC160" s="1"/>
    </row>
    <row r="161" spans="1:29" x14ac:dyDescent="0.35">
      <c r="A161" s="1"/>
      <c r="B161" s="5"/>
      <c r="C161" s="25" t="s">
        <v>714</v>
      </c>
      <c r="D161" s="25" t="s">
        <v>761</v>
      </c>
      <c r="E161" s="25" t="s">
        <v>516</v>
      </c>
      <c r="F161" s="25" t="s">
        <v>689</v>
      </c>
      <c r="G161" s="50">
        <v>703.17100000000005</v>
      </c>
      <c r="H161" s="50">
        <v>1</v>
      </c>
      <c r="I161" s="37">
        <v>12.300000190734901</v>
      </c>
      <c r="J161" s="37">
        <v>12.300000190734901</v>
      </c>
      <c r="K161" s="37">
        <v>12.300000190734901</v>
      </c>
      <c r="L161" s="37">
        <v>12.300000190734901</v>
      </c>
      <c r="M161" s="37">
        <v>100.453002929688</v>
      </c>
      <c r="N161" s="37">
        <v>100.453002929688</v>
      </c>
      <c r="O161" s="37">
        <v>100.453002929688</v>
      </c>
      <c r="P161" s="37">
        <v>100.453002929688</v>
      </c>
      <c r="Q161" s="50">
        <v>0</v>
      </c>
      <c r="R161" s="25"/>
      <c r="S161" s="25"/>
      <c r="T161" s="25"/>
      <c r="U161" s="25"/>
      <c r="V161" s="25"/>
      <c r="W161" s="25"/>
      <c r="X161" s="25"/>
      <c r="Y161" s="25"/>
      <c r="Z161" s="25"/>
      <c r="AA161" s="1"/>
      <c r="AB161" s="1"/>
      <c r="AC161" s="1"/>
    </row>
    <row r="162" spans="1:29" x14ac:dyDescent="0.35">
      <c r="A162" s="1"/>
      <c r="B162" s="5"/>
      <c r="C162" s="25" t="s">
        <v>716</v>
      </c>
      <c r="D162" s="25" t="s">
        <v>761</v>
      </c>
      <c r="E162" s="25" t="s">
        <v>989</v>
      </c>
      <c r="F162" s="25" t="s">
        <v>990</v>
      </c>
      <c r="G162" s="50">
        <v>525.20500000000004</v>
      </c>
      <c r="H162" s="50">
        <v>2</v>
      </c>
      <c r="I162" s="37">
        <v>12.3999996185303</v>
      </c>
      <c r="J162" s="37">
        <v>12.3999996185303</v>
      </c>
      <c r="K162" s="37">
        <v>12.3999996185303</v>
      </c>
      <c r="L162" s="37">
        <v>12.3999996185303</v>
      </c>
      <c r="M162" s="37">
        <v>105.04100036621099</v>
      </c>
      <c r="N162" s="37">
        <v>105.04100036621099</v>
      </c>
      <c r="O162" s="37">
        <v>105.04100036621099</v>
      </c>
      <c r="P162" s="37">
        <v>105.04100036621099</v>
      </c>
      <c r="Q162" s="50">
        <v>0</v>
      </c>
      <c r="R162" s="25"/>
      <c r="S162" s="25"/>
      <c r="T162" s="25"/>
      <c r="U162" s="25"/>
      <c r="V162" s="25"/>
      <c r="W162" s="25"/>
      <c r="X162" s="25"/>
      <c r="Y162" s="25"/>
      <c r="Z162" s="25"/>
      <c r="AA162" s="1"/>
      <c r="AB162" s="1"/>
      <c r="AC162" s="1"/>
    </row>
    <row r="163" spans="1:29" x14ac:dyDescent="0.35">
      <c r="A163" s="1"/>
      <c r="B163" s="5"/>
      <c r="C163" s="25" t="s">
        <v>716</v>
      </c>
      <c r="D163" s="25" t="s">
        <v>761</v>
      </c>
      <c r="E163" s="25" t="s">
        <v>991</v>
      </c>
      <c r="F163" s="25" t="s">
        <v>992</v>
      </c>
      <c r="G163" s="50">
        <v>351.971</v>
      </c>
      <c r="H163" s="50">
        <v>3</v>
      </c>
      <c r="I163" s="37">
        <v>12.6000003814697</v>
      </c>
      <c r="J163" s="37">
        <v>12.8999996185303</v>
      </c>
      <c r="K163" s="37">
        <v>12.814285550798701</v>
      </c>
      <c r="L163" s="37">
        <v>12.6000003814697</v>
      </c>
      <c r="M163" s="37">
        <v>100.42800140380901</v>
      </c>
      <c r="N163" s="37">
        <v>100.901000976563</v>
      </c>
      <c r="O163" s="37">
        <v>100.563144138881</v>
      </c>
      <c r="P163" s="37">
        <v>100.901000976563</v>
      </c>
      <c r="Q163" s="50">
        <v>0</v>
      </c>
      <c r="R163" s="25"/>
      <c r="S163" s="25"/>
      <c r="T163" s="25"/>
      <c r="U163" s="25"/>
      <c r="V163" s="25"/>
      <c r="W163" s="25"/>
      <c r="X163" s="25"/>
      <c r="Y163" s="25"/>
      <c r="Z163" s="25"/>
      <c r="AA163" s="1"/>
      <c r="AB163" s="1"/>
      <c r="AC163" s="1"/>
    </row>
    <row r="164" spans="1:29" x14ac:dyDescent="0.35">
      <c r="A164" s="1"/>
      <c r="B164" s="5"/>
      <c r="C164" s="25" t="s">
        <v>716</v>
      </c>
      <c r="D164" s="25" t="s">
        <v>761</v>
      </c>
      <c r="E164" s="25" t="s">
        <v>827</v>
      </c>
      <c r="F164" s="25" t="s">
        <v>828</v>
      </c>
      <c r="G164" s="50">
        <v>2513.19</v>
      </c>
      <c r="H164" s="50">
        <v>3</v>
      </c>
      <c r="I164" s="37">
        <v>12.7700004577637</v>
      </c>
      <c r="J164" s="37">
        <v>13</v>
      </c>
      <c r="K164" s="37">
        <v>12.828800201416</v>
      </c>
      <c r="L164" s="37">
        <v>12.802000045776399</v>
      </c>
      <c r="M164" s="37">
        <v>100.12599945068401</v>
      </c>
      <c r="N164" s="37">
        <v>100.65000152587901</v>
      </c>
      <c r="O164" s="37">
        <v>100.52760162353501</v>
      </c>
      <c r="P164" s="37">
        <v>100.606002807617</v>
      </c>
      <c r="Q164" s="50">
        <v>0</v>
      </c>
      <c r="R164" s="25"/>
      <c r="S164" s="25"/>
      <c r="T164" s="25"/>
      <c r="U164" s="25"/>
      <c r="V164" s="25"/>
      <c r="W164" s="25"/>
      <c r="X164" s="25"/>
      <c r="Y164" s="25"/>
      <c r="Z164" s="25"/>
      <c r="AA164" s="1"/>
      <c r="AB164" s="1"/>
      <c r="AC164" s="1"/>
    </row>
    <row r="165" spans="1:29" x14ac:dyDescent="0.35">
      <c r="A165" s="1"/>
      <c r="B165" s="5"/>
      <c r="C165" s="25" t="s">
        <v>716</v>
      </c>
      <c r="D165" s="25" t="s">
        <v>761</v>
      </c>
      <c r="E165" s="25" t="s">
        <v>506</v>
      </c>
      <c r="F165" s="25" t="s">
        <v>993</v>
      </c>
      <c r="G165" s="50">
        <v>152.31899999999999</v>
      </c>
      <c r="H165" s="50">
        <v>1</v>
      </c>
      <c r="I165" s="37">
        <v>12.5</v>
      </c>
      <c r="J165" s="37">
        <v>12.5</v>
      </c>
      <c r="K165" s="37">
        <v>12.5</v>
      </c>
      <c r="L165" s="37">
        <v>12.5</v>
      </c>
      <c r="M165" s="37">
        <v>101.54599761962901</v>
      </c>
      <c r="N165" s="37">
        <v>101.54599761962901</v>
      </c>
      <c r="O165" s="37">
        <v>101.54599761962901</v>
      </c>
      <c r="P165" s="37">
        <v>101.54599761962901</v>
      </c>
      <c r="Q165" s="50">
        <v>0</v>
      </c>
      <c r="R165" s="25"/>
      <c r="S165" s="25"/>
      <c r="T165" s="25"/>
      <c r="U165" s="25"/>
      <c r="V165" s="25"/>
      <c r="W165" s="25"/>
      <c r="X165" s="25"/>
      <c r="Y165" s="25"/>
      <c r="Z165" s="25"/>
      <c r="AA165" s="1"/>
      <c r="AB165" s="1"/>
      <c r="AC165" s="1"/>
    </row>
    <row r="166" spans="1:29" x14ac:dyDescent="0.35">
      <c r="A166" s="1"/>
      <c r="B166" s="5"/>
      <c r="C166" s="25" t="s">
        <v>716</v>
      </c>
      <c r="D166" s="25" t="s">
        <v>761</v>
      </c>
      <c r="E166" s="25" t="s">
        <v>507</v>
      </c>
      <c r="F166" s="25" t="s">
        <v>829</v>
      </c>
      <c r="G166" s="50">
        <v>39268.589999999997</v>
      </c>
      <c r="H166" s="50">
        <v>5</v>
      </c>
      <c r="I166" s="37">
        <v>12.8520002365112</v>
      </c>
      <c r="J166" s="37">
        <v>13.050000190734901</v>
      </c>
      <c r="K166" s="37">
        <v>13.025538444519</v>
      </c>
      <c r="L166" s="37">
        <v>13.050000190734901</v>
      </c>
      <c r="M166" s="37">
        <v>100.648002624512</v>
      </c>
      <c r="N166" s="37">
        <v>100.990997314453</v>
      </c>
      <c r="O166" s="37">
        <v>100.68869370680601</v>
      </c>
      <c r="P166" s="37">
        <v>100.648002624512</v>
      </c>
      <c r="Q166" s="50">
        <v>0</v>
      </c>
      <c r="R166" s="25"/>
      <c r="S166" s="25"/>
      <c r="T166" s="25"/>
      <c r="U166" s="25"/>
      <c r="V166" s="25"/>
      <c r="W166" s="25"/>
      <c r="X166" s="25"/>
      <c r="Y166" s="25"/>
      <c r="Z166" s="25"/>
      <c r="AA166" s="1"/>
      <c r="AB166" s="1"/>
      <c r="AC166" s="1"/>
    </row>
    <row r="167" spans="1:29" x14ac:dyDescent="0.35">
      <c r="A167" s="1"/>
      <c r="B167" s="5"/>
      <c r="C167" s="25" t="s">
        <v>716</v>
      </c>
      <c r="D167" s="25" t="s">
        <v>761</v>
      </c>
      <c r="E167" s="25" t="s">
        <v>516</v>
      </c>
      <c r="F167" s="25" t="s">
        <v>718</v>
      </c>
      <c r="G167" s="50">
        <v>1200.252</v>
      </c>
      <c r="H167" s="50">
        <v>1</v>
      </c>
      <c r="I167" s="37">
        <v>11.1499996185303</v>
      </c>
      <c r="J167" s="37">
        <v>11.1499996185303</v>
      </c>
      <c r="K167" s="37">
        <v>11.1499996185303</v>
      </c>
      <c r="L167" s="37">
        <v>11.1499996185303</v>
      </c>
      <c r="M167" s="37">
        <v>100.021003723145</v>
      </c>
      <c r="N167" s="37">
        <v>100.021003723145</v>
      </c>
      <c r="O167" s="37">
        <v>100.021003723145</v>
      </c>
      <c r="P167" s="37">
        <v>100.021003723145</v>
      </c>
      <c r="Q167" s="50">
        <v>0</v>
      </c>
      <c r="R167" s="25"/>
      <c r="S167" s="25"/>
      <c r="T167" s="25"/>
      <c r="U167" s="25"/>
      <c r="V167" s="25"/>
      <c r="W167" s="25"/>
      <c r="X167" s="25"/>
      <c r="Y167" s="25"/>
      <c r="Z167" s="25"/>
      <c r="AA167" s="1"/>
      <c r="AB167" s="1"/>
      <c r="AC167" s="1"/>
    </row>
    <row r="168" spans="1:29" x14ac:dyDescent="0.35">
      <c r="A168" s="1"/>
      <c r="B168" s="5"/>
      <c r="C168" s="25" t="s">
        <v>716</v>
      </c>
      <c r="D168" s="25" t="s">
        <v>761</v>
      </c>
      <c r="E168" s="25" t="s">
        <v>516</v>
      </c>
      <c r="F168" s="25" t="s">
        <v>692</v>
      </c>
      <c r="G168" s="50">
        <v>500.82</v>
      </c>
      <c r="H168" s="50">
        <v>1</v>
      </c>
      <c r="I168" s="37">
        <v>11.5</v>
      </c>
      <c r="J168" s="37">
        <v>11.5</v>
      </c>
      <c r="K168" s="37">
        <v>11.5</v>
      </c>
      <c r="L168" s="37">
        <v>0</v>
      </c>
      <c r="M168" s="37">
        <v>100.16400146484401</v>
      </c>
      <c r="N168" s="37">
        <v>100.16400146484401</v>
      </c>
      <c r="O168" s="37">
        <v>100.16400146484401</v>
      </c>
      <c r="P168" s="37">
        <v>100</v>
      </c>
      <c r="Q168" s="50">
        <v>0</v>
      </c>
      <c r="R168" s="25"/>
      <c r="S168" s="25"/>
      <c r="T168" s="25"/>
      <c r="U168" s="25"/>
      <c r="V168" s="25"/>
      <c r="W168" s="25"/>
      <c r="X168" s="25"/>
      <c r="Y168" s="25"/>
      <c r="Z168" s="25"/>
      <c r="AA168" s="1"/>
      <c r="AB168" s="1"/>
      <c r="AC168" s="1"/>
    </row>
    <row r="169" spans="1:29" x14ac:dyDescent="0.35">
      <c r="A169" s="1"/>
      <c r="B169" s="5"/>
      <c r="C169" s="25" t="s">
        <v>720</v>
      </c>
      <c r="D169" s="25" t="s">
        <v>761</v>
      </c>
      <c r="E169" s="25" t="s">
        <v>994</v>
      </c>
      <c r="F169" s="25" t="s">
        <v>995</v>
      </c>
      <c r="G169" s="50">
        <v>28654.92</v>
      </c>
      <c r="H169" s="50">
        <v>3</v>
      </c>
      <c r="I169" s="37">
        <v>11.3800001144409</v>
      </c>
      <c r="J169" s="37">
        <v>11.383999824523899</v>
      </c>
      <c r="K169" s="37">
        <v>11.381999969482401</v>
      </c>
      <c r="L169" s="37">
        <v>11.383999824523899</v>
      </c>
      <c r="M169" s="37">
        <v>102.338996887207</v>
      </c>
      <c r="N169" s="37">
        <v>102.338996887207</v>
      </c>
      <c r="O169" s="37">
        <v>102.338996887207</v>
      </c>
      <c r="P169" s="37">
        <v>102.338996887207</v>
      </c>
      <c r="Q169" s="50">
        <v>0</v>
      </c>
      <c r="R169" s="25"/>
      <c r="S169" s="25"/>
      <c r="T169" s="25"/>
      <c r="U169" s="25"/>
      <c r="V169" s="25"/>
      <c r="W169" s="25"/>
      <c r="X169" s="25"/>
      <c r="Y169" s="25"/>
      <c r="Z169" s="25"/>
      <c r="AA169" s="1"/>
      <c r="AB169" s="1"/>
      <c r="AC169" s="1"/>
    </row>
    <row r="170" spans="1:29" x14ac:dyDescent="0.35">
      <c r="A170" s="1"/>
      <c r="B170" s="5"/>
      <c r="C170" s="25" t="s">
        <v>833</v>
      </c>
      <c r="D170" s="25" t="s">
        <v>831</v>
      </c>
      <c r="E170" s="25" t="s">
        <v>996</v>
      </c>
      <c r="F170" s="25" t="s">
        <v>997</v>
      </c>
      <c r="G170" s="50">
        <v>504.37</v>
      </c>
      <c r="H170" s="50">
        <v>1</v>
      </c>
      <c r="I170" s="37">
        <v>12.2299995422363</v>
      </c>
      <c r="J170" s="37">
        <v>12.2299995422363</v>
      </c>
      <c r="K170" s="37">
        <v>12.2299995422363</v>
      </c>
      <c r="L170" s="37">
        <v>12.2299995422363</v>
      </c>
      <c r="M170" s="37">
        <v>100.87400054931599</v>
      </c>
      <c r="N170" s="37">
        <v>100.87400054931599</v>
      </c>
      <c r="O170" s="37">
        <v>100.87400054931599</v>
      </c>
      <c r="P170" s="37">
        <v>100.87400054931599</v>
      </c>
      <c r="Q170" s="50">
        <v>0</v>
      </c>
      <c r="R170" s="25"/>
      <c r="S170" s="25"/>
      <c r="T170" s="25"/>
      <c r="U170" s="25"/>
      <c r="V170" s="25"/>
      <c r="W170" s="25"/>
      <c r="X170" s="25"/>
      <c r="Y170" s="25"/>
      <c r="Z170" s="25"/>
      <c r="AA170" s="1"/>
      <c r="AB170" s="1"/>
      <c r="AC170" s="1"/>
    </row>
    <row r="171" spans="1:29" x14ac:dyDescent="0.35">
      <c r="A171" s="1"/>
      <c r="B171" s="5"/>
      <c r="C171" s="25" t="s">
        <v>833</v>
      </c>
      <c r="D171" s="25" t="s">
        <v>831</v>
      </c>
      <c r="E171" s="25" t="s">
        <v>842</v>
      </c>
      <c r="F171" s="25" t="s">
        <v>843</v>
      </c>
      <c r="G171" s="50">
        <v>7289.835</v>
      </c>
      <c r="H171" s="50">
        <v>6</v>
      </c>
      <c r="I171" s="37">
        <v>12.6000003814697</v>
      </c>
      <c r="J171" s="37">
        <v>12.6149997711182</v>
      </c>
      <c r="K171" s="37">
        <v>12.607500076293899</v>
      </c>
      <c r="L171" s="37">
        <v>12.6149997711182</v>
      </c>
      <c r="M171" s="37">
        <v>104.12899780273401</v>
      </c>
      <c r="N171" s="37">
        <v>104.15200042724599</v>
      </c>
      <c r="O171" s="37">
        <v>104.14049911499001</v>
      </c>
      <c r="P171" s="37">
        <v>104.12899780273401</v>
      </c>
      <c r="Q171" s="50">
        <v>0</v>
      </c>
      <c r="R171" s="25"/>
      <c r="S171" s="25"/>
      <c r="T171" s="25"/>
      <c r="U171" s="25"/>
      <c r="V171" s="25"/>
      <c r="W171" s="25"/>
      <c r="X171" s="25"/>
      <c r="Y171" s="25"/>
      <c r="Z171" s="25"/>
      <c r="AA171" s="1"/>
      <c r="AB171" s="1"/>
      <c r="AC171" s="1"/>
    </row>
    <row r="172" spans="1:29" x14ac:dyDescent="0.35">
      <c r="A172" s="1"/>
      <c r="B172" s="5"/>
      <c r="C172" s="25" t="s">
        <v>844</v>
      </c>
      <c r="D172" s="25" t="s">
        <v>831</v>
      </c>
      <c r="E172" s="25" t="s">
        <v>998</v>
      </c>
      <c r="F172" s="25" t="s">
        <v>999</v>
      </c>
      <c r="G172" s="50">
        <v>19945.2</v>
      </c>
      <c r="H172" s="50">
        <v>1</v>
      </c>
      <c r="I172" s="37">
        <v>11.8599996566772</v>
      </c>
      <c r="J172" s="37">
        <v>11.8599996566772</v>
      </c>
      <c r="K172" s="37">
        <v>11.8599996566772</v>
      </c>
      <c r="L172" s="37">
        <v>11.8599996566772</v>
      </c>
      <c r="M172" s="37">
        <v>99.725997924804702</v>
      </c>
      <c r="N172" s="37">
        <v>99.725997924804702</v>
      </c>
      <c r="O172" s="37">
        <v>99.725997924804702</v>
      </c>
      <c r="P172" s="37">
        <v>99.725997924804702</v>
      </c>
      <c r="Q172" s="50">
        <v>0</v>
      </c>
      <c r="R172" s="25"/>
      <c r="S172" s="25"/>
      <c r="T172" s="25"/>
      <c r="U172" s="25"/>
      <c r="V172" s="25"/>
      <c r="W172" s="25"/>
      <c r="X172" s="25"/>
      <c r="Y172" s="25"/>
      <c r="Z172" s="25"/>
      <c r="AA172" s="1"/>
      <c r="AB172" s="1"/>
      <c r="AC172" s="1"/>
    </row>
    <row r="173" spans="1:29" x14ac:dyDescent="0.35">
      <c r="A173" s="1"/>
      <c r="B173" s="5"/>
      <c r="C173" s="25" t="s">
        <v>844</v>
      </c>
      <c r="D173" s="25" t="s">
        <v>831</v>
      </c>
      <c r="E173" s="25" t="s">
        <v>799</v>
      </c>
      <c r="F173" s="25" t="s">
        <v>800</v>
      </c>
      <c r="G173" s="50">
        <v>352.7</v>
      </c>
      <c r="H173" s="50">
        <v>2</v>
      </c>
      <c r="I173" s="37">
        <v>12.338000297546399</v>
      </c>
      <c r="J173" s="37">
        <v>12.3400001525879</v>
      </c>
      <c r="K173" s="37">
        <v>12.338571684701099</v>
      </c>
      <c r="L173" s="37">
        <v>12.338000297546399</v>
      </c>
      <c r="M173" s="37">
        <v>100.76999664306599</v>
      </c>
      <c r="N173" s="37">
        <v>100.772003173828</v>
      </c>
      <c r="O173" s="37">
        <v>100.771429879325</v>
      </c>
      <c r="P173" s="37">
        <v>100.772003173828</v>
      </c>
      <c r="Q173" s="50">
        <v>0</v>
      </c>
      <c r="R173" s="25"/>
      <c r="S173" s="25"/>
      <c r="T173" s="25"/>
      <c r="U173" s="25"/>
      <c r="V173" s="25"/>
      <c r="W173" s="25"/>
      <c r="X173" s="25"/>
      <c r="Y173" s="25"/>
      <c r="Z173" s="25"/>
      <c r="AA173" s="1"/>
      <c r="AB173" s="1"/>
      <c r="AC173" s="1"/>
    </row>
    <row r="174" spans="1:29" x14ac:dyDescent="0.35">
      <c r="A174" s="1"/>
      <c r="B174" s="5"/>
      <c r="C174" s="25" t="s">
        <v>844</v>
      </c>
      <c r="D174" s="25" t="s">
        <v>831</v>
      </c>
      <c r="E174" s="25" t="s">
        <v>946</v>
      </c>
      <c r="F174" s="25" t="s">
        <v>1000</v>
      </c>
      <c r="G174" s="50">
        <v>5761.4080000000004</v>
      </c>
      <c r="H174" s="50">
        <v>5</v>
      </c>
      <c r="I174" s="37">
        <v>12.800000190734901</v>
      </c>
      <c r="J174" s="37">
        <v>13.1499996185303</v>
      </c>
      <c r="K174" s="37">
        <v>13.071428298950201</v>
      </c>
      <c r="L174" s="37">
        <v>12.800000190734901</v>
      </c>
      <c r="M174" s="37">
        <v>102.776000976563</v>
      </c>
      <c r="N174" s="37">
        <v>103.25</v>
      </c>
      <c r="O174" s="37">
        <v>102.882287161691</v>
      </c>
      <c r="P174" s="37">
        <v>103.25</v>
      </c>
      <c r="Q174" s="50">
        <v>0</v>
      </c>
      <c r="R174" s="25"/>
      <c r="S174" s="25"/>
      <c r="T174" s="25"/>
      <c r="U174" s="25"/>
      <c r="V174" s="25"/>
      <c r="W174" s="25"/>
      <c r="X174" s="25"/>
      <c r="Y174" s="25"/>
      <c r="Z174" s="25"/>
      <c r="AA174" s="1"/>
      <c r="AB174" s="1"/>
      <c r="AC174" s="1"/>
    </row>
    <row r="175" spans="1:29" x14ac:dyDescent="0.35">
      <c r="A175" s="1"/>
      <c r="B175" s="5"/>
      <c r="C175" s="25" t="s">
        <v>724</v>
      </c>
      <c r="D175" s="25" t="s">
        <v>761</v>
      </c>
      <c r="E175" s="25" t="s">
        <v>1001</v>
      </c>
      <c r="F175" s="25" t="s">
        <v>1002</v>
      </c>
      <c r="G175" s="50">
        <v>73.222904999999997</v>
      </c>
      <c r="H175" s="50">
        <v>1</v>
      </c>
      <c r="I175" s="37">
        <v>12.3999996185303</v>
      </c>
      <c r="J175" s="37">
        <v>12.3999996185303</v>
      </c>
      <c r="K175" s="37">
        <v>12.3999996185303</v>
      </c>
      <c r="L175" s="37">
        <v>12.3999996185303</v>
      </c>
      <c r="M175" s="37">
        <v>99.623001098632798</v>
      </c>
      <c r="N175" s="37">
        <v>99.623001098632798</v>
      </c>
      <c r="O175" s="37">
        <v>99.623001098632798</v>
      </c>
      <c r="P175" s="37">
        <v>99.623001098632798</v>
      </c>
      <c r="Q175" s="50">
        <v>0</v>
      </c>
      <c r="R175" s="25"/>
      <c r="S175" s="25"/>
      <c r="T175" s="25"/>
      <c r="U175" s="25"/>
      <c r="V175" s="25"/>
      <c r="W175" s="25"/>
      <c r="X175" s="25"/>
      <c r="Y175" s="25"/>
      <c r="Z175" s="25"/>
      <c r="AA175" s="1"/>
      <c r="AB175" s="1"/>
      <c r="AC175" s="1"/>
    </row>
    <row r="176" spans="1:29" x14ac:dyDescent="0.35">
      <c r="A176" s="1"/>
      <c r="B176" s="5"/>
      <c r="C176" s="25" t="s">
        <v>724</v>
      </c>
      <c r="D176" s="25" t="s">
        <v>761</v>
      </c>
      <c r="E176" s="25" t="s">
        <v>1003</v>
      </c>
      <c r="F176" s="25" t="s">
        <v>1004</v>
      </c>
      <c r="G176" s="50">
        <v>21551.759999999998</v>
      </c>
      <c r="H176" s="50">
        <v>4</v>
      </c>
      <c r="I176" s="37">
        <v>12.800000190734901</v>
      </c>
      <c r="J176" s="37">
        <v>12.8699998855591</v>
      </c>
      <c r="K176" s="37">
        <v>12.8604761305309</v>
      </c>
      <c r="L176" s="37">
        <v>12.800000190734901</v>
      </c>
      <c r="M176" s="37">
        <v>102.62200164794901</v>
      </c>
      <c r="N176" s="37">
        <v>102.662002563477</v>
      </c>
      <c r="O176" s="37">
        <v>102.62743014381</v>
      </c>
      <c r="P176" s="37">
        <v>102.662002563477</v>
      </c>
      <c r="Q176" s="50">
        <v>0</v>
      </c>
      <c r="R176" s="25"/>
      <c r="S176" s="25"/>
      <c r="T176" s="25"/>
      <c r="U176" s="25"/>
      <c r="V176" s="25"/>
      <c r="W176" s="25"/>
      <c r="X176" s="25"/>
      <c r="Y176" s="25"/>
      <c r="Z176" s="25"/>
      <c r="AA176" s="1"/>
      <c r="AB176" s="1"/>
      <c r="AC176" s="1"/>
    </row>
    <row r="177" spans="1:29" x14ac:dyDescent="0.35">
      <c r="A177" s="1"/>
      <c r="B177" s="5"/>
      <c r="C177" s="25" t="s">
        <v>724</v>
      </c>
      <c r="D177" s="25" t="s">
        <v>761</v>
      </c>
      <c r="E177" s="25" t="s">
        <v>494</v>
      </c>
      <c r="F177" s="25" t="s">
        <v>849</v>
      </c>
      <c r="G177" s="50">
        <v>0</v>
      </c>
      <c r="H177" s="25"/>
      <c r="I177" s="25"/>
      <c r="J177" s="25"/>
      <c r="K177" s="25"/>
      <c r="L177" s="25"/>
      <c r="M177" s="25"/>
      <c r="N177" s="25"/>
      <c r="O177" s="25"/>
      <c r="P177" s="25"/>
      <c r="Q177" s="50">
        <v>9295.1596339999996</v>
      </c>
      <c r="R177" s="50">
        <v>2</v>
      </c>
      <c r="S177" s="37">
        <v>10</v>
      </c>
      <c r="T177" s="37">
        <v>11.8999996185303</v>
      </c>
      <c r="U177" s="37">
        <v>10.654103675869701</v>
      </c>
      <c r="V177" s="37">
        <v>11.8999996185303</v>
      </c>
      <c r="W177" s="37">
        <v>101.58599853515599</v>
      </c>
      <c r="X177" s="37">
        <v>101.58599853515599</v>
      </c>
      <c r="Y177" s="37">
        <v>101.58599853515599</v>
      </c>
      <c r="Z177" s="37">
        <v>101.58599853515599</v>
      </c>
      <c r="AA177" s="1"/>
      <c r="AB177" s="1"/>
      <c r="AC177" s="1"/>
    </row>
    <row r="178" spans="1:29" x14ac:dyDescent="0.35">
      <c r="A178" s="1"/>
      <c r="B178" s="5"/>
      <c r="C178" s="25" t="s">
        <v>724</v>
      </c>
      <c r="D178" s="25" t="s">
        <v>761</v>
      </c>
      <c r="E178" s="25" t="s">
        <v>496</v>
      </c>
      <c r="F178" s="25" t="s">
        <v>850</v>
      </c>
      <c r="G178" s="50">
        <v>4109.3503099999998</v>
      </c>
      <c r="H178" s="50">
        <v>4</v>
      </c>
      <c r="I178" s="37">
        <v>11.800000190734901</v>
      </c>
      <c r="J178" s="37">
        <v>13.1499996185303</v>
      </c>
      <c r="K178" s="37">
        <v>13.010174977393699</v>
      </c>
      <c r="L178" s="37">
        <v>12.8999996185303</v>
      </c>
      <c r="M178" s="37">
        <v>101.32700347900401</v>
      </c>
      <c r="N178" s="37">
        <v>102.918998718262</v>
      </c>
      <c r="O178" s="37">
        <v>101.49050246653501</v>
      </c>
      <c r="P178" s="37">
        <v>101.619003295898</v>
      </c>
      <c r="Q178" s="50">
        <v>0</v>
      </c>
      <c r="R178" s="25"/>
      <c r="S178" s="25"/>
      <c r="T178" s="25"/>
      <c r="U178" s="25"/>
      <c r="V178" s="25"/>
      <c r="W178" s="25"/>
      <c r="X178" s="25"/>
      <c r="Y178" s="25"/>
      <c r="Z178" s="25"/>
      <c r="AA178" s="1"/>
      <c r="AB178" s="1"/>
      <c r="AC178" s="1"/>
    </row>
    <row r="179" spans="1:29" x14ac:dyDescent="0.35">
      <c r="A179" s="1"/>
      <c r="B179" s="5"/>
      <c r="C179" s="25" t="s">
        <v>724</v>
      </c>
      <c r="D179" s="25" t="s">
        <v>761</v>
      </c>
      <c r="E179" s="25" t="s">
        <v>506</v>
      </c>
      <c r="F179" s="25" t="s">
        <v>1005</v>
      </c>
      <c r="G179" s="50">
        <v>5037.25</v>
      </c>
      <c r="H179" s="50">
        <v>6</v>
      </c>
      <c r="I179" s="37">
        <v>13.050000190734901</v>
      </c>
      <c r="J179" s="37">
        <v>13.050000190734901</v>
      </c>
      <c r="K179" s="37">
        <v>13.050000190734901</v>
      </c>
      <c r="L179" s="37">
        <v>13.050000190734901</v>
      </c>
      <c r="M179" s="37">
        <v>100.745002746582</v>
      </c>
      <c r="N179" s="37">
        <v>100.745002746582</v>
      </c>
      <c r="O179" s="37">
        <v>100.745002746582</v>
      </c>
      <c r="P179" s="37">
        <v>100.745002746582</v>
      </c>
      <c r="Q179" s="50">
        <v>0</v>
      </c>
      <c r="R179" s="25"/>
      <c r="S179" s="25"/>
      <c r="T179" s="25"/>
      <c r="U179" s="25"/>
      <c r="V179" s="25"/>
      <c r="W179" s="25"/>
      <c r="X179" s="25"/>
      <c r="Y179" s="25"/>
      <c r="Z179" s="25"/>
      <c r="AA179" s="1"/>
      <c r="AB179" s="1"/>
      <c r="AC179" s="1"/>
    </row>
    <row r="180" spans="1:29" x14ac:dyDescent="0.35">
      <c r="A180" s="1"/>
      <c r="B180" s="5"/>
      <c r="C180" s="25" t="s">
        <v>724</v>
      </c>
      <c r="D180" s="25" t="s">
        <v>761</v>
      </c>
      <c r="E180" s="25" t="s">
        <v>516</v>
      </c>
      <c r="F180" s="25" t="s">
        <v>692</v>
      </c>
      <c r="G180" s="50">
        <v>1100.704</v>
      </c>
      <c r="H180" s="50">
        <v>1</v>
      </c>
      <c r="I180" s="37">
        <v>12</v>
      </c>
      <c r="J180" s="37">
        <v>12</v>
      </c>
      <c r="K180" s="37">
        <v>12</v>
      </c>
      <c r="L180" s="37">
        <v>12</v>
      </c>
      <c r="M180" s="37">
        <v>100.064002990723</v>
      </c>
      <c r="N180" s="37">
        <v>100.064002990723</v>
      </c>
      <c r="O180" s="37">
        <v>100.064002990723</v>
      </c>
      <c r="P180" s="37">
        <v>100.064002990723</v>
      </c>
      <c r="Q180" s="50">
        <v>0</v>
      </c>
      <c r="R180" s="25"/>
      <c r="S180" s="25"/>
      <c r="T180" s="25"/>
      <c r="U180" s="25"/>
      <c r="V180" s="25"/>
      <c r="W180" s="25"/>
      <c r="X180" s="25"/>
      <c r="Y180" s="25"/>
      <c r="Z180" s="25"/>
      <c r="AA180" s="1"/>
      <c r="AB180" s="1"/>
      <c r="AC180" s="1"/>
    </row>
    <row r="181" spans="1:29" x14ac:dyDescent="0.35">
      <c r="A181" s="1"/>
      <c r="B181" s="5"/>
      <c r="C181" s="25" t="s">
        <v>724</v>
      </c>
      <c r="D181" s="25" t="s">
        <v>761</v>
      </c>
      <c r="E181" s="25" t="s">
        <v>516</v>
      </c>
      <c r="F181" s="25" t="s">
        <v>688</v>
      </c>
      <c r="G181" s="50">
        <v>1000</v>
      </c>
      <c r="H181" s="50">
        <v>1</v>
      </c>
      <c r="I181" s="37">
        <v>12.911999702453601</v>
      </c>
      <c r="J181" s="37">
        <v>12.911999702453601</v>
      </c>
      <c r="K181" s="37">
        <v>12.911999702453601</v>
      </c>
      <c r="L181" s="37">
        <v>12.911999702453601</v>
      </c>
      <c r="M181" s="37">
        <v>100</v>
      </c>
      <c r="N181" s="37">
        <v>100</v>
      </c>
      <c r="O181" s="37">
        <v>100</v>
      </c>
      <c r="P181" s="37">
        <v>100</v>
      </c>
      <c r="Q181" s="50">
        <v>0</v>
      </c>
      <c r="R181" s="25"/>
      <c r="S181" s="25"/>
      <c r="T181" s="25"/>
      <c r="U181" s="25"/>
      <c r="V181" s="25"/>
      <c r="W181" s="25"/>
      <c r="X181" s="25"/>
      <c r="Y181" s="25"/>
      <c r="Z181" s="25"/>
      <c r="AA181" s="1"/>
      <c r="AB181" s="1"/>
      <c r="AC181" s="1"/>
    </row>
    <row r="182" spans="1:29" x14ac:dyDescent="0.35">
      <c r="A182" s="1"/>
      <c r="B182" s="5"/>
      <c r="C182" s="25" t="s">
        <v>852</v>
      </c>
      <c r="D182" s="25" t="s">
        <v>761</v>
      </c>
      <c r="E182" s="25" t="s">
        <v>501</v>
      </c>
      <c r="F182" s="25" t="s">
        <v>1006</v>
      </c>
      <c r="G182" s="50">
        <v>506.245</v>
      </c>
      <c r="H182" s="50">
        <v>1</v>
      </c>
      <c r="I182" s="37">
        <v>12.75</v>
      </c>
      <c r="J182" s="37">
        <v>12.75</v>
      </c>
      <c r="K182" s="37">
        <v>12.75</v>
      </c>
      <c r="L182" s="37">
        <v>12.75</v>
      </c>
      <c r="M182" s="37">
        <v>101.24900054931599</v>
      </c>
      <c r="N182" s="37">
        <v>101.24900054931599</v>
      </c>
      <c r="O182" s="37">
        <v>101.24900054931599</v>
      </c>
      <c r="P182" s="37">
        <v>101.24900054931599</v>
      </c>
      <c r="Q182" s="50">
        <v>0</v>
      </c>
      <c r="R182" s="25"/>
      <c r="S182" s="25"/>
      <c r="T182" s="25"/>
      <c r="U182" s="25"/>
      <c r="V182" s="25"/>
      <c r="W182" s="25"/>
      <c r="X182" s="25"/>
      <c r="Y182" s="25"/>
      <c r="Z182" s="25"/>
      <c r="AA182" s="1"/>
      <c r="AB182" s="1"/>
      <c r="AC182" s="1"/>
    </row>
    <row r="183" spans="1:29" x14ac:dyDescent="0.35">
      <c r="A183" s="1"/>
      <c r="B183" s="5"/>
      <c r="C183" s="25" t="s">
        <v>852</v>
      </c>
      <c r="D183" s="25" t="s">
        <v>761</v>
      </c>
      <c r="E183" s="25" t="s">
        <v>502</v>
      </c>
      <c r="F183" s="25" t="s">
        <v>1007</v>
      </c>
      <c r="G183" s="50">
        <v>1069.07827</v>
      </c>
      <c r="H183" s="50">
        <v>2</v>
      </c>
      <c r="I183" s="37">
        <v>12.6000003814697</v>
      </c>
      <c r="J183" s="37">
        <v>12.75</v>
      </c>
      <c r="K183" s="37">
        <v>12.7416430807429</v>
      </c>
      <c r="L183" s="37">
        <v>12.6000003814697</v>
      </c>
      <c r="M183" s="37">
        <v>100.92800140380901</v>
      </c>
      <c r="N183" s="37">
        <v>101.352996826172</v>
      </c>
      <c r="O183" s="37">
        <v>100.95167914688599</v>
      </c>
      <c r="P183" s="37">
        <v>101.352996826172</v>
      </c>
      <c r="Q183" s="50">
        <v>0</v>
      </c>
      <c r="R183" s="25"/>
      <c r="S183" s="25"/>
      <c r="T183" s="25"/>
      <c r="U183" s="25"/>
      <c r="V183" s="25"/>
      <c r="W183" s="25"/>
      <c r="X183" s="25"/>
      <c r="Y183" s="25"/>
      <c r="Z183" s="25"/>
      <c r="AA183" s="1"/>
      <c r="AB183" s="1"/>
      <c r="AC183" s="1"/>
    </row>
    <row r="184" spans="1:29" x14ac:dyDescent="0.35">
      <c r="A184" s="1"/>
      <c r="B184" s="5"/>
      <c r="C184" s="25" t="s">
        <v>852</v>
      </c>
      <c r="D184" s="25" t="s">
        <v>761</v>
      </c>
      <c r="E184" s="25" t="s">
        <v>504</v>
      </c>
      <c r="F184" s="25" t="s">
        <v>856</v>
      </c>
      <c r="G184" s="50">
        <v>2021.14</v>
      </c>
      <c r="H184" s="50">
        <v>1</v>
      </c>
      <c r="I184" s="37">
        <v>12.8240003585815</v>
      </c>
      <c r="J184" s="37">
        <v>12.8240003585815</v>
      </c>
      <c r="K184" s="37">
        <v>12.8240003585815</v>
      </c>
      <c r="L184" s="37">
        <v>12.8240003585815</v>
      </c>
      <c r="M184" s="37">
        <v>101.056999206543</v>
      </c>
      <c r="N184" s="37">
        <v>101.056999206543</v>
      </c>
      <c r="O184" s="37">
        <v>101.056999206543</v>
      </c>
      <c r="P184" s="37">
        <v>101.056999206543</v>
      </c>
      <c r="Q184" s="50">
        <v>0</v>
      </c>
      <c r="R184" s="25"/>
      <c r="S184" s="25"/>
      <c r="T184" s="25"/>
      <c r="U184" s="25"/>
      <c r="V184" s="25"/>
      <c r="W184" s="25"/>
      <c r="X184" s="25"/>
      <c r="Y184" s="25"/>
      <c r="Z184" s="25"/>
      <c r="AA184" s="1"/>
      <c r="AB184" s="1"/>
      <c r="AC184" s="1"/>
    </row>
    <row r="185" spans="1:29" x14ac:dyDescent="0.35">
      <c r="A185" s="1"/>
      <c r="B185" s="5"/>
      <c r="C185" s="25" t="s">
        <v>1008</v>
      </c>
      <c r="D185" s="25" t="s">
        <v>862</v>
      </c>
      <c r="E185" s="25" t="s">
        <v>1009</v>
      </c>
      <c r="F185" s="25" t="s">
        <v>1010</v>
      </c>
      <c r="G185" s="50">
        <v>19097.22</v>
      </c>
      <c r="H185" s="50">
        <v>2</v>
      </c>
      <c r="I185" s="37">
        <v>12.701000213623001</v>
      </c>
      <c r="J185" s="37">
        <v>12.701000213623001</v>
      </c>
      <c r="K185" s="37">
        <v>12.701000213623001</v>
      </c>
      <c r="L185" s="37">
        <v>12.701000213623001</v>
      </c>
      <c r="M185" s="37">
        <v>95.486000061035199</v>
      </c>
      <c r="N185" s="37">
        <v>95.486000061035199</v>
      </c>
      <c r="O185" s="37">
        <v>95.486000061035199</v>
      </c>
      <c r="P185" s="37">
        <v>95.486000061035199</v>
      </c>
      <c r="Q185" s="50">
        <v>0</v>
      </c>
      <c r="R185" s="25"/>
      <c r="S185" s="25"/>
      <c r="T185" s="25"/>
      <c r="U185" s="25"/>
      <c r="V185" s="25"/>
      <c r="W185" s="25"/>
      <c r="X185" s="25"/>
      <c r="Y185" s="25"/>
      <c r="Z185" s="25"/>
      <c r="AA185" s="1"/>
      <c r="AB185" s="1"/>
      <c r="AC185" s="1"/>
    </row>
    <row r="186" spans="1:29" x14ac:dyDescent="0.35">
      <c r="A186" s="1"/>
      <c r="B186" s="5"/>
      <c r="C186" s="25" t="s">
        <v>1011</v>
      </c>
      <c r="D186" s="25" t="s">
        <v>862</v>
      </c>
      <c r="E186" s="25" t="s">
        <v>827</v>
      </c>
      <c r="F186" s="25" t="s">
        <v>1012</v>
      </c>
      <c r="G186" s="50">
        <v>50179.48</v>
      </c>
      <c r="H186" s="50">
        <v>1</v>
      </c>
      <c r="I186" s="37">
        <v>12.199999809265099</v>
      </c>
      <c r="J186" s="37">
        <v>12.199999809265099</v>
      </c>
      <c r="K186" s="37">
        <v>12.199999809265099</v>
      </c>
      <c r="L186" s="37">
        <v>12.199999809265099</v>
      </c>
      <c r="M186" s="37">
        <v>96.499000549316406</v>
      </c>
      <c r="N186" s="37">
        <v>96.499000549316406</v>
      </c>
      <c r="O186" s="37">
        <v>96.499000549316406</v>
      </c>
      <c r="P186" s="37">
        <v>96.499000549316406</v>
      </c>
      <c r="Q186" s="50">
        <v>0</v>
      </c>
      <c r="R186" s="25"/>
      <c r="S186" s="25"/>
      <c r="T186" s="25"/>
      <c r="U186" s="25"/>
      <c r="V186" s="25"/>
      <c r="W186" s="25"/>
      <c r="X186" s="25"/>
      <c r="Y186" s="25"/>
      <c r="Z186" s="25"/>
      <c r="AA186" s="1"/>
      <c r="AB186" s="1"/>
      <c r="AC186" s="1"/>
    </row>
    <row r="187" spans="1:29" x14ac:dyDescent="0.35">
      <c r="A187" s="1"/>
      <c r="B187" s="5"/>
      <c r="C187" s="25" t="s">
        <v>1013</v>
      </c>
      <c r="D187" s="25" t="s">
        <v>862</v>
      </c>
      <c r="E187" s="25" t="s">
        <v>1014</v>
      </c>
      <c r="F187" s="25" t="s">
        <v>1015</v>
      </c>
      <c r="G187" s="50">
        <v>20621.084999999999</v>
      </c>
      <c r="H187" s="50">
        <v>3</v>
      </c>
      <c r="I187" s="37">
        <v>12.6499996185303</v>
      </c>
      <c r="J187" s="37">
        <v>12.6809997558594</v>
      </c>
      <c r="K187" s="37">
        <v>12.660332997639999</v>
      </c>
      <c r="L187" s="37">
        <v>12.6809997558594</v>
      </c>
      <c r="M187" s="37">
        <v>91.637001037597699</v>
      </c>
      <c r="N187" s="37">
        <v>91.654998779296903</v>
      </c>
      <c r="O187" s="37">
        <v>91.648999532063797</v>
      </c>
      <c r="P187" s="37">
        <v>91.637001037597699</v>
      </c>
      <c r="Q187" s="50">
        <v>0</v>
      </c>
      <c r="R187" s="25"/>
      <c r="S187" s="25"/>
      <c r="T187" s="25"/>
      <c r="U187" s="25"/>
      <c r="V187" s="25"/>
      <c r="W187" s="25"/>
      <c r="X187" s="25"/>
      <c r="Y187" s="25"/>
      <c r="Z187" s="25"/>
      <c r="AA187" s="1"/>
      <c r="AB187" s="1"/>
      <c r="AC187" s="1"/>
    </row>
    <row r="188" spans="1:29" x14ac:dyDescent="0.35">
      <c r="A188" s="1"/>
      <c r="B188" s="5"/>
      <c r="C188" s="25" t="s">
        <v>1016</v>
      </c>
      <c r="D188" s="25" t="s">
        <v>862</v>
      </c>
      <c r="E188" s="25" t="s">
        <v>1017</v>
      </c>
      <c r="F188" s="25" t="s">
        <v>1018</v>
      </c>
      <c r="G188" s="50">
        <v>2921.55</v>
      </c>
      <c r="H188" s="50">
        <v>2</v>
      </c>
      <c r="I188" s="37">
        <v>12.0509996414185</v>
      </c>
      <c r="J188" s="37">
        <v>12.0509996414185</v>
      </c>
      <c r="K188" s="37">
        <v>12.0509996414185</v>
      </c>
      <c r="L188" s="37">
        <v>12.0509996414185</v>
      </c>
      <c r="M188" s="37">
        <v>97.385002136230497</v>
      </c>
      <c r="N188" s="37">
        <v>97.385002136230497</v>
      </c>
      <c r="O188" s="37">
        <v>97.385002136230497</v>
      </c>
      <c r="P188" s="37">
        <v>97.385002136230497</v>
      </c>
      <c r="Q188" s="50">
        <v>29215.5</v>
      </c>
      <c r="R188" s="50">
        <v>2</v>
      </c>
      <c r="S188" s="37">
        <v>11.6499996185303</v>
      </c>
      <c r="T188" s="37">
        <v>11.6499996185303</v>
      </c>
      <c r="U188" s="37">
        <v>11.6499996185303</v>
      </c>
      <c r="V188" s="37">
        <v>11.6499996185303</v>
      </c>
      <c r="W188" s="37">
        <v>97.385002136230497</v>
      </c>
      <c r="X188" s="37">
        <v>97.385002136230497</v>
      </c>
      <c r="Y188" s="37">
        <v>97.385002136230497</v>
      </c>
      <c r="Z188" s="37">
        <v>97.385002136230497</v>
      </c>
      <c r="AA188" s="1"/>
      <c r="AB188" s="1"/>
      <c r="AC188" s="1"/>
    </row>
    <row r="189" spans="1:29" x14ac:dyDescent="0.35">
      <c r="A189" s="1"/>
      <c r="B189" s="5"/>
      <c r="C189" s="25" t="s">
        <v>1019</v>
      </c>
      <c r="D189" s="25" t="s">
        <v>862</v>
      </c>
      <c r="E189" s="25" t="s">
        <v>1020</v>
      </c>
      <c r="F189" s="25" t="s">
        <v>1021</v>
      </c>
      <c r="G189" s="50">
        <v>19732.62</v>
      </c>
      <c r="H189" s="50">
        <v>1</v>
      </c>
      <c r="I189" s="37">
        <v>9.0010004043579102</v>
      </c>
      <c r="J189" s="37">
        <v>9.0010004043579102</v>
      </c>
      <c r="K189" s="37">
        <v>9.0010004043579102</v>
      </c>
      <c r="L189" s="37">
        <v>9.0010004043579102</v>
      </c>
      <c r="M189" s="37">
        <v>98.663002014160199</v>
      </c>
      <c r="N189" s="37">
        <v>98.663002014160199</v>
      </c>
      <c r="O189" s="37">
        <v>98.663002014160199</v>
      </c>
      <c r="P189" s="37">
        <v>98.663002014160199</v>
      </c>
      <c r="Q189" s="50">
        <v>0</v>
      </c>
      <c r="R189" s="25"/>
      <c r="S189" s="25"/>
      <c r="T189" s="25"/>
      <c r="U189" s="25"/>
      <c r="V189" s="25"/>
      <c r="W189" s="25"/>
      <c r="X189" s="25"/>
      <c r="Y189" s="25"/>
      <c r="Z189" s="25"/>
      <c r="AA189" s="1"/>
      <c r="AB189" s="1"/>
      <c r="AC189" s="1"/>
    </row>
    <row r="190" spans="1:29" x14ac:dyDescent="0.35">
      <c r="A190" s="1"/>
      <c r="B190" s="5"/>
      <c r="C190" s="25" t="s">
        <v>1022</v>
      </c>
      <c r="D190" s="25" t="s">
        <v>862</v>
      </c>
      <c r="E190" s="25" t="s">
        <v>1023</v>
      </c>
      <c r="F190" s="25" t="s">
        <v>1024</v>
      </c>
      <c r="G190" s="50">
        <v>749.87369999999999</v>
      </c>
      <c r="H190" s="50">
        <v>1</v>
      </c>
      <c r="I190" s="37">
        <v>12.501000404357899</v>
      </c>
      <c r="J190" s="37">
        <v>12.501000404357899</v>
      </c>
      <c r="K190" s="37">
        <v>12.501000404357899</v>
      </c>
      <c r="L190" s="37">
        <v>12.501000404357899</v>
      </c>
      <c r="M190" s="37">
        <v>92.577003479003906</v>
      </c>
      <c r="N190" s="37">
        <v>92.577003479003906</v>
      </c>
      <c r="O190" s="37">
        <v>92.577003479003906</v>
      </c>
      <c r="P190" s="37">
        <v>92.577003479003906</v>
      </c>
      <c r="Q190" s="50">
        <v>0</v>
      </c>
      <c r="R190" s="25"/>
      <c r="S190" s="25"/>
      <c r="T190" s="25"/>
      <c r="U190" s="25"/>
      <c r="V190" s="25"/>
      <c r="W190" s="25"/>
      <c r="X190" s="25"/>
      <c r="Y190" s="25"/>
      <c r="Z190" s="25"/>
      <c r="AA190" s="1"/>
      <c r="AB190" s="1"/>
      <c r="AC190" s="1"/>
    </row>
    <row r="191" spans="1:29" x14ac:dyDescent="0.35">
      <c r="A191" s="1"/>
      <c r="B191" s="5"/>
      <c r="C191" s="25" t="s">
        <v>861</v>
      </c>
      <c r="D191" s="25" t="s">
        <v>862</v>
      </c>
      <c r="E191" s="25" t="s">
        <v>863</v>
      </c>
      <c r="F191" s="25" t="s">
        <v>864</v>
      </c>
      <c r="G191" s="50">
        <v>88541.698000000004</v>
      </c>
      <c r="H191" s="50">
        <v>10</v>
      </c>
      <c r="I191" s="37">
        <v>12.569999694824199</v>
      </c>
      <c r="J191" s="37">
        <v>12.760999679565399</v>
      </c>
      <c r="K191" s="37">
        <v>12.6725529153296</v>
      </c>
      <c r="L191" s="37">
        <v>12.7299995422363</v>
      </c>
      <c r="M191" s="37">
        <v>94.155998229980497</v>
      </c>
      <c r="N191" s="37">
        <v>94.236000061035199</v>
      </c>
      <c r="O191" s="37">
        <v>94.193068240551199</v>
      </c>
      <c r="P191" s="37">
        <v>94.168998718261705</v>
      </c>
      <c r="Q191" s="50">
        <v>0</v>
      </c>
      <c r="R191" s="25"/>
      <c r="S191" s="25"/>
      <c r="T191" s="25"/>
      <c r="U191" s="25"/>
      <c r="V191" s="25"/>
      <c r="W191" s="25"/>
      <c r="X191" s="25"/>
      <c r="Y191" s="25"/>
      <c r="Z191" s="25"/>
      <c r="AA191" s="1"/>
      <c r="AB191" s="1"/>
      <c r="AC191" s="1"/>
    </row>
    <row r="192" spans="1:29" x14ac:dyDescent="0.35">
      <c r="A192" s="1"/>
      <c r="B192" s="5"/>
      <c r="C192" s="25" t="s">
        <v>333</v>
      </c>
      <c r="D192" s="25" t="s">
        <v>862</v>
      </c>
      <c r="E192" s="25" t="s">
        <v>865</v>
      </c>
      <c r="F192" s="25" t="s">
        <v>866</v>
      </c>
      <c r="G192" s="50">
        <v>126059.76809</v>
      </c>
      <c r="H192" s="50">
        <v>13</v>
      </c>
      <c r="I192" s="37">
        <v>12.5100002288818</v>
      </c>
      <c r="J192" s="37">
        <v>12.585000038146999</v>
      </c>
      <c r="K192" s="37">
        <v>12.552162108586799</v>
      </c>
      <c r="L192" s="37">
        <v>12.539999961853001</v>
      </c>
      <c r="M192" s="37">
        <v>106.328002929688</v>
      </c>
      <c r="N192" s="37">
        <v>106.504997253418</v>
      </c>
      <c r="O192" s="37">
        <v>106.40608968160799</v>
      </c>
      <c r="P192" s="37">
        <v>106.43399810791</v>
      </c>
      <c r="Q192" s="50">
        <v>3279356.4803399998</v>
      </c>
      <c r="R192" s="50">
        <v>66</v>
      </c>
      <c r="S192" s="37">
        <v>8.75</v>
      </c>
      <c r="T192" s="37">
        <v>12.199999809265099</v>
      </c>
      <c r="U192" s="37">
        <v>11.943568272688101</v>
      </c>
      <c r="V192" s="37">
        <v>12</v>
      </c>
      <c r="W192" s="37">
        <v>106.01000213623</v>
      </c>
      <c r="X192" s="37">
        <v>106.458000183105</v>
      </c>
      <c r="Y192" s="37">
        <v>106.35877482250601</v>
      </c>
      <c r="Z192" s="37">
        <v>106.31600189209</v>
      </c>
      <c r="AA192" s="1"/>
      <c r="AB192" s="1"/>
      <c r="AC192" s="1"/>
    </row>
    <row r="193" spans="1:29" x14ac:dyDescent="0.35">
      <c r="A193" s="1"/>
      <c r="B193" s="5"/>
      <c r="C193" s="25" t="s">
        <v>337</v>
      </c>
      <c r="D193" s="25" t="s">
        <v>862</v>
      </c>
      <c r="E193" s="25" t="s">
        <v>867</v>
      </c>
      <c r="F193" s="25" t="s">
        <v>868</v>
      </c>
      <c r="G193" s="50">
        <v>527501.57695300004</v>
      </c>
      <c r="H193" s="50">
        <v>31</v>
      </c>
      <c r="I193" s="37">
        <v>12.564999580383301</v>
      </c>
      <c r="J193" s="37">
        <v>12.6450004577637</v>
      </c>
      <c r="K193" s="37">
        <v>12.61163318831</v>
      </c>
      <c r="L193" s="37">
        <v>12.600999832153301</v>
      </c>
      <c r="M193" s="37">
        <v>104.557998657227</v>
      </c>
      <c r="N193" s="37">
        <v>104.84700012207</v>
      </c>
      <c r="O193" s="37">
        <v>104.65184955431801</v>
      </c>
      <c r="P193" s="37">
        <v>104.68000030517599</v>
      </c>
      <c r="Q193" s="50">
        <v>457789.02</v>
      </c>
      <c r="R193" s="50">
        <v>11</v>
      </c>
      <c r="S193" s="37">
        <v>12</v>
      </c>
      <c r="T193" s="37">
        <v>12.3999996185303</v>
      </c>
      <c r="U193" s="37">
        <v>12.0167047950168</v>
      </c>
      <c r="V193" s="37">
        <v>12</v>
      </c>
      <c r="W193" s="37">
        <v>104.709999084473</v>
      </c>
      <c r="X193" s="37">
        <v>104.764999389648</v>
      </c>
      <c r="Y193" s="37">
        <v>104.75721262357899</v>
      </c>
      <c r="Z193" s="37">
        <v>104.728996276855</v>
      </c>
      <c r="AA193" s="1"/>
      <c r="AB193" s="1"/>
      <c r="AC193" s="1"/>
    </row>
    <row r="194" spans="1:29" x14ac:dyDescent="0.35">
      <c r="A194" s="1"/>
      <c r="B194" s="5"/>
      <c r="C194" s="25" t="s">
        <v>341</v>
      </c>
      <c r="D194" s="25" t="s">
        <v>862</v>
      </c>
      <c r="E194" s="25" t="s">
        <v>869</v>
      </c>
      <c r="F194" s="25" t="s">
        <v>870</v>
      </c>
      <c r="G194" s="50">
        <v>11761.7366</v>
      </c>
      <c r="H194" s="50">
        <v>5</v>
      </c>
      <c r="I194" s="37">
        <v>12.2810001373291</v>
      </c>
      <c r="J194" s="37">
        <v>12.369000434875501</v>
      </c>
      <c r="K194" s="37">
        <v>12.3167123009639</v>
      </c>
      <c r="L194" s="37">
        <v>12.310000419616699</v>
      </c>
      <c r="M194" s="37">
        <v>96.749000549316406</v>
      </c>
      <c r="N194" s="37">
        <v>96.842002868652301</v>
      </c>
      <c r="O194" s="37">
        <v>96.804014103893394</v>
      </c>
      <c r="P194" s="37">
        <v>96.810997009277301</v>
      </c>
      <c r="Q194" s="50">
        <v>315162.24394900003</v>
      </c>
      <c r="R194" s="50">
        <v>18</v>
      </c>
      <c r="S194" s="37">
        <v>10.5</v>
      </c>
      <c r="T194" s="37">
        <v>12.003999710083001</v>
      </c>
      <c r="U194" s="37">
        <v>11.950108644288701</v>
      </c>
      <c r="V194" s="37">
        <v>12</v>
      </c>
      <c r="W194" s="37">
        <v>96.725997924804702</v>
      </c>
      <c r="X194" s="37">
        <v>96.926002502441406</v>
      </c>
      <c r="Y194" s="37">
        <v>96.847679984475903</v>
      </c>
      <c r="Z194" s="37">
        <v>96.725997924804702</v>
      </c>
      <c r="AA194" s="1"/>
      <c r="AB194" s="1"/>
      <c r="AC194" s="1"/>
    </row>
    <row r="195" spans="1:29" x14ac:dyDescent="0.35">
      <c r="A195" s="1"/>
      <c r="B195" s="5"/>
      <c r="C195" s="25" t="s">
        <v>345</v>
      </c>
      <c r="D195" s="25" t="s">
        <v>862</v>
      </c>
      <c r="E195" s="25" t="s">
        <v>871</v>
      </c>
      <c r="F195" s="25" t="s">
        <v>872</v>
      </c>
      <c r="G195" s="50">
        <v>117994.5845</v>
      </c>
      <c r="H195" s="50">
        <v>6</v>
      </c>
      <c r="I195" s="37">
        <v>12.3400001525879</v>
      </c>
      <c r="J195" s="37">
        <v>12.439999580383301</v>
      </c>
      <c r="K195" s="37">
        <v>12.395337756418201</v>
      </c>
      <c r="L195" s="37">
        <v>12.439999580383301</v>
      </c>
      <c r="M195" s="37">
        <v>83.8489990234375</v>
      </c>
      <c r="N195" s="37">
        <v>84.146003723144503</v>
      </c>
      <c r="O195" s="37">
        <v>83.981012799137403</v>
      </c>
      <c r="P195" s="37">
        <v>83.8489990234375</v>
      </c>
      <c r="Q195" s="50">
        <v>125714.7905</v>
      </c>
      <c r="R195" s="50">
        <v>6</v>
      </c>
      <c r="S195" s="37">
        <v>11.8500003814697</v>
      </c>
      <c r="T195" s="37">
        <v>12</v>
      </c>
      <c r="U195" s="37">
        <v>11.8871239531399</v>
      </c>
      <c r="V195" s="37">
        <v>12</v>
      </c>
      <c r="W195" s="37">
        <v>84.027000427246094</v>
      </c>
      <c r="X195" s="37">
        <v>84.115997314453097</v>
      </c>
      <c r="Y195" s="37">
        <v>84.089261389895</v>
      </c>
      <c r="Z195" s="37">
        <v>84.027000427246094</v>
      </c>
      <c r="AA195" s="1"/>
      <c r="AB195" s="1"/>
      <c r="AC195" s="1"/>
    </row>
    <row r="196" spans="1:29" x14ac:dyDescent="0.35">
      <c r="A196" s="1"/>
      <c r="B196" s="5"/>
      <c r="C196" s="25" t="s">
        <v>349</v>
      </c>
      <c r="D196" s="25" t="s">
        <v>862</v>
      </c>
      <c r="E196" s="25" t="s">
        <v>873</v>
      </c>
      <c r="F196" s="25" t="s">
        <v>874</v>
      </c>
      <c r="G196" s="50">
        <v>477620.665308</v>
      </c>
      <c r="H196" s="50">
        <v>16</v>
      </c>
      <c r="I196" s="37">
        <v>12.2200002670288</v>
      </c>
      <c r="J196" s="37">
        <v>12.295000076293899</v>
      </c>
      <c r="K196" s="37">
        <v>12.2801939032046</v>
      </c>
      <c r="L196" s="37">
        <v>12.272000312805201</v>
      </c>
      <c r="M196" s="37">
        <v>110.03500366210901</v>
      </c>
      <c r="N196" s="37">
        <v>110.37100219726599</v>
      </c>
      <c r="O196" s="37">
        <v>110.10123515215901</v>
      </c>
      <c r="P196" s="37">
        <v>110.13500213623</v>
      </c>
      <c r="Q196" s="50">
        <v>114836.2148</v>
      </c>
      <c r="R196" s="50">
        <v>4</v>
      </c>
      <c r="S196" s="37">
        <v>12</v>
      </c>
      <c r="T196" s="37">
        <v>12.25</v>
      </c>
      <c r="U196" s="37">
        <v>12.000719079578101</v>
      </c>
      <c r="V196" s="37">
        <v>12.25</v>
      </c>
      <c r="W196" s="37">
        <v>109.612998962402</v>
      </c>
      <c r="X196" s="37">
        <v>110.168998718262</v>
      </c>
      <c r="Y196" s="37">
        <v>110.101233251029</v>
      </c>
      <c r="Z196" s="37">
        <v>110.101997375488</v>
      </c>
      <c r="AA196" s="1"/>
      <c r="AB196" s="1"/>
      <c r="AC196" s="1"/>
    </row>
    <row r="197" spans="1:29" x14ac:dyDescent="0.35">
      <c r="A197" s="1"/>
      <c r="B197" s="5"/>
      <c r="C197" s="25" t="s">
        <v>353</v>
      </c>
      <c r="D197" s="25" t="s">
        <v>862</v>
      </c>
      <c r="E197" s="25" t="s">
        <v>875</v>
      </c>
      <c r="F197" s="25" t="s">
        <v>876</v>
      </c>
      <c r="G197" s="50">
        <v>64764.376669999998</v>
      </c>
      <c r="H197" s="50">
        <v>3</v>
      </c>
      <c r="I197" s="37">
        <v>12.2910003662109</v>
      </c>
      <c r="J197" s="37">
        <v>12.310000419616699</v>
      </c>
      <c r="K197" s="37">
        <v>12.292143072346599</v>
      </c>
      <c r="L197" s="37">
        <v>12.310000419616699</v>
      </c>
      <c r="M197" s="37">
        <v>102.899002075195</v>
      </c>
      <c r="N197" s="37">
        <v>103.092002868652</v>
      </c>
      <c r="O197" s="37">
        <v>103.077900959545</v>
      </c>
      <c r="P197" s="37">
        <v>102.899002075195</v>
      </c>
      <c r="Q197" s="50">
        <v>113852.9765</v>
      </c>
      <c r="R197" s="50">
        <v>4</v>
      </c>
      <c r="S197" s="37">
        <v>11.8500003814697</v>
      </c>
      <c r="T197" s="37">
        <v>12</v>
      </c>
      <c r="U197" s="37">
        <v>11.8506791127753</v>
      </c>
      <c r="V197" s="37">
        <v>12</v>
      </c>
      <c r="W197" s="37">
        <v>103.03399658203099</v>
      </c>
      <c r="X197" s="37">
        <v>103.04900360107401</v>
      </c>
      <c r="Y197" s="37">
        <v>103.03406448709499</v>
      </c>
      <c r="Z197" s="37">
        <v>103.03399658203099</v>
      </c>
      <c r="AA197" s="1"/>
      <c r="AB197" s="1"/>
      <c r="AC197" s="1"/>
    </row>
    <row r="198" spans="1:29" x14ac:dyDescent="0.35">
      <c r="A198" s="1"/>
      <c r="B198" s="5"/>
      <c r="C198" s="25" t="s">
        <v>357</v>
      </c>
      <c r="D198" s="25" t="s">
        <v>862</v>
      </c>
      <c r="E198" s="25" t="s">
        <v>1025</v>
      </c>
      <c r="F198" s="25" t="s">
        <v>1026</v>
      </c>
      <c r="G198" s="50">
        <v>676.52200000000005</v>
      </c>
      <c r="H198" s="50">
        <v>2</v>
      </c>
      <c r="I198" s="37">
        <v>11.9799995422363</v>
      </c>
      <c r="J198" s="37">
        <v>12.1300001144409</v>
      </c>
      <c r="K198" s="37">
        <v>12.0549998283386</v>
      </c>
      <c r="L198" s="37">
        <v>11.9799995422363</v>
      </c>
      <c r="M198" s="37">
        <v>67.330001831054702</v>
      </c>
      <c r="N198" s="37">
        <v>67.9739990234375</v>
      </c>
      <c r="O198" s="37">
        <v>67.652000427246094</v>
      </c>
      <c r="P198" s="37">
        <v>67.9739990234375</v>
      </c>
      <c r="Q198" s="50">
        <v>1348.0640000000001</v>
      </c>
      <c r="R198" s="50">
        <v>1</v>
      </c>
      <c r="S198" s="37">
        <v>12</v>
      </c>
      <c r="T198" s="37">
        <v>12</v>
      </c>
      <c r="U198" s="37">
        <v>12</v>
      </c>
      <c r="V198" s="37">
        <v>12</v>
      </c>
      <c r="W198" s="37">
        <v>67.402999877929702</v>
      </c>
      <c r="X198" s="37">
        <v>67.402999877929702</v>
      </c>
      <c r="Y198" s="37">
        <v>67.402999877929702</v>
      </c>
      <c r="Z198" s="37">
        <v>67.402999877929702</v>
      </c>
      <c r="AA198" s="1"/>
      <c r="AB198" s="1"/>
      <c r="AC198" s="1"/>
    </row>
    <row r="199" spans="1:29" x14ac:dyDescent="0.35">
      <c r="A199" s="1"/>
      <c r="B199" s="5"/>
      <c r="C199" s="25" t="s">
        <v>361</v>
      </c>
      <c r="D199" s="25" t="s">
        <v>862</v>
      </c>
      <c r="E199" s="25" t="s">
        <v>877</v>
      </c>
      <c r="F199" s="25" t="s">
        <v>878</v>
      </c>
      <c r="G199" s="50">
        <v>33043.684849999998</v>
      </c>
      <c r="H199" s="50">
        <v>16</v>
      </c>
      <c r="I199" s="37">
        <v>12.545000076293899</v>
      </c>
      <c r="J199" s="37">
        <v>12.6000003814697</v>
      </c>
      <c r="K199" s="37">
        <v>12.5818031750175</v>
      </c>
      <c r="L199" s="37">
        <v>12.5970001220703</v>
      </c>
      <c r="M199" s="37">
        <v>91.609001159667997</v>
      </c>
      <c r="N199" s="37">
        <v>91.762001037597699</v>
      </c>
      <c r="O199" s="37">
        <v>91.660005302270505</v>
      </c>
      <c r="P199" s="37">
        <v>91.617996215820298</v>
      </c>
      <c r="Q199" s="50">
        <v>0</v>
      </c>
      <c r="R199" s="25"/>
      <c r="S199" s="25"/>
      <c r="T199" s="25"/>
      <c r="U199" s="25"/>
      <c r="V199" s="25"/>
      <c r="W199" s="25"/>
      <c r="X199" s="25"/>
      <c r="Y199" s="25"/>
      <c r="Z199" s="25"/>
      <c r="AA199" s="1"/>
      <c r="AB199" s="1"/>
      <c r="AC199" s="1"/>
    </row>
    <row r="200" spans="1:29" x14ac:dyDescent="0.35">
      <c r="A200" s="1"/>
      <c r="B200" s="5"/>
      <c r="C200" s="25" t="s">
        <v>365</v>
      </c>
      <c r="D200" s="25" t="s">
        <v>862</v>
      </c>
      <c r="E200" s="25" t="s">
        <v>1027</v>
      </c>
      <c r="F200" s="25" t="s">
        <v>1028</v>
      </c>
      <c r="G200" s="50">
        <v>79103.147299999997</v>
      </c>
      <c r="H200" s="50">
        <v>4</v>
      </c>
      <c r="I200" s="37">
        <v>12.25</v>
      </c>
      <c r="J200" s="37">
        <v>12.277000427246101</v>
      </c>
      <c r="K200" s="37">
        <v>12.2550265291821</v>
      </c>
      <c r="L200" s="37">
        <v>12.25</v>
      </c>
      <c r="M200" s="37">
        <v>80.422996520996094</v>
      </c>
      <c r="N200" s="37">
        <v>80.483001708984403</v>
      </c>
      <c r="O200" s="37">
        <v>80.470814119884196</v>
      </c>
      <c r="P200" s="37">
        <v>80.480003356933594</v>
      </c>
      <c r="Q200" s="50">
        <v>0</v>
      </c>
      <c r="R200" s="25"/>
      <c r="S200" s="25"/>
      <c r="T200" s="25"/>
      <c r="U200" s="25"/>
      <c r="V200" s="25"/>
      <c r="W200" s="25"/>
      <c r="X200" s="25"/>
      <c r="Y200" s="25"/>
      <c r="Z200" s="25"/>
      <c r="AA200" s="1"/>
      <c r="AB200" s="1"/>
      <c r="AC200" s="1"/>
    </row>
    <row r="201" spans="1:29" x14ac:dyDescent="0.35">
      <c r="A201" s="1"/>
      <c r="B201" s="5"/>
      <c r="C201" s="25" t="s">
        <v>369</v>
      </c>
      <c r="D201" s="25" t="s">
        <v>862</v>
      </c>
      <c r="E201" s="25" t="s">
        <v>879</v>
      </c>
      <c r="F201" s="25" t="s">
        <v>880</v>
      </c>
      <c r="G201" s="50">
        <v>50924.976300000002</v>
      </c>
      <c r="H201" s="50">
        <v>6</v>
      </c>
      <c r="I201" s="37">
        <v>12.6269998550415</v>
      </c>
      <c r="J201" s="37">
        <v>12.725999832153301</v>
      </c>
      <c r="K201" s="37">
        <v>12.7108548299628</v>
      </c>
      <c r="L201" s="37">
        <v>12.7200002670288</v>
      </c>
      <c r="M201" s="37">
        <v>91.399002075195298</v>
      </c>
      <c r="N201" s="37">
        <v>91.535003662109403</v>
      </c>
      <c r="O201" s="37">
        <v>91.4267714824026</v>
      </c>
      <c r="P201" s="37">
        <v>91.406997680664105</v>
      </c>
      <c r="Q201" s="50">
        <v>1975088.9011200001</v>
      </c>
      <c r="R201" s="50">
        <v>37</v>
      </c>
      <c r="S201" s="37">
        <v>11.8999996185303</v>
      </c>
      <c r="T201" s="37">
        <v>12.1000003814697</v>
      </c>
      <c r="U201" s="37">
        <v>12.006849315689299</v>
      </c>
      <c r="V201" s="37">
        <v>12</v>
      </c>
      <c r="W201" s="37">
        <v>91.513000488281307</v>
      </c>
      <c r="X201" s="37">
        <v>91.544998168945298</v>
      </c>
      <c r="Y201" s="37">
        <v>91.535764265736901</v>
      </c>
      <c r="Z201" s="37">
        <v>91.513000488281307</v>
      </c>
      <c r="AA201" s="1"/>
      <c r="AB201" s="1"/>
      <c r="AC201" s="1"/>
    </row>
    <row r="202" spans="1:29" x14ac:dyDescent="0.35">
      <c r="A202" s="1"/>
      <c r="B202" s="5"/>
      <c r="C202" s="25" t="s">
        <v>373</v>
      </c>
      <c r="D202" s="25" t="s">
        <v>862</v>
      </c>
      <c r="E202" s="25" t="s">
        <v>881</v>
      </c>
      <c r="F202" s="25" t="s">
        <v>882</v>
      </c>
      <c r="G202" s="50">
        <v>36825.415595999999</v>
      </c>
      <c r="H202" s="50">
        <v>9</v>
      </c>
      <c r="I202" s="37">
        <v>12.1409997940063</v>
      </c>
      <c r="J202" s="37">
        <v>12.2550001144409</v>
      </c>
      <c r="K202" s="37">
        <v>12.2418057379336</v>
      </c>
      <c r="L202" s="37">
        <v>12.2399997711182</v>
      </c>
      <c r="M202" s="37">
        <v>111.51999664306599</v>
      </c>
      <c r="N202" s="37">
        <v>112.29799652099599</v>
      </c>
      <c r="O202" s="37">
        <v>111.611964647832</v>
      </c>
      <c r="P202" s="37">
        <v>111.62200164794901</v>
      </c>
      <c r="Q202" s="50">
        <v>384753.75</v>
      </c>
      <c r="R202" s="50">
        <v>13</v>
      </c>
      <c r="S202" s="37">
        <v>7</v>
      </c>
      <c r="T202" s="37">
        <v>12</v>
      </c>
      <c r="U202" s="37">
        <v>10.016521592071101</v>
      </c>
      <c r="V202" s="37">
        <v>9</v>
      </c>
      <c r="W202" s="37">
        <v>111.486000061035</v>
      </c>
      <c r="X202" s="37">
        <v>111.65599822998</v>
      </c>
      <c r="Y202" s="37">
        <v>111.52232486890701</v>
      </c>
      <c r="Z202" s="37">
        <v>111.560997009277</v>
      </c>
      <c r="AA202" s="1"/>
      <c r="AB202" s="1"/>
      <c r="AC202" s="1"/>
    </row>
    <row r="203" spans="1:29" x14ac:dyDescent="0.35">
      <c r="A203" s="1"/>
      <c r="B203" s="5"/>
      <c r="C203" s="25" t="s">
        <v>377</v>
      </c>
      <c r="D203" s="25" t="s">
        <v>862</v>
      </c>
      <c r="E203" s="25" t="s">
        <v>883</v>
      </c>
      <c r="F203" s="25" t="s">
        <v>884</v>
      </c>
      <c r="G203" s="50">
        <v>111056.679</v>
      </c>
      <c r="H203" s="50">
        <v>3</v>
      </c>
      <c r="I203" s="37">
        <v>12.2749996185303</v>
      </c>
      <c r="J203" s="37">
        <v>12.329999923706101</v>
      </c>
      <c r="K203" s="37">
        <v>12.318498115946801</v>
      </c>
      <c r="L203" s="37">
        <v>12.329999923706101</v>
      </c>
      <c r="M203" s="37">
        <v>79.014999389648395</v>
      </c>
      <c r="N203" s="37">
        <v>79.153999328613295</v>
      </c>
      <c r="O203" s="37">
        <v>79.043568539874002</v>
      </c>
      <c r="P203" s="37">
        <v>79.014999389648395</v>
      </c>
      <c r="Q203" s="50">
        <v>0</v>
      </c>
      <c r="R203" s="25"/>
      <c r="S203" s="25"/>
      <c r="T203" s="25"/>
      <c r="U203" s="25"/>
      <c r="V203" s="25"/>
      <c r="W203" s="25"/>
      <c r="X203" s="25"/>
      <c r="Y203" s="25"/>
      <c r="Z203" s="25"/>
      <c r="AA203" s="1"/>
      <c r="AB203" s="1"/>
      <c r="AC203" s="1"/>
    </row>
    <row r="204" spans="1:29" x14ac:dyDescent="0.35">
      <c r="A204" s="1"/>
      <c r="B204" s="5"/>
      <c r="C204" s="25" t="s">
        <v>381</v>
      </c>
      <c r="D204" s="25" t="s">
        <v>862</v>
      </c>
      <c r="E204" s="25" t="s">
        <v>885</v>
      </c>
      <c r="F204" s="25" t="s">
        <v>886</v>
      </c>
      <c r="G204" s="50">
        <v>49319.187484000002</v>
      </c>
      <c r="H204" s="50">
        <v>6</v>
      </c>
      <c r="I204" s="37">
        <v>12.175000190734901</v>
      </c>
      <c r="J204" s="37">
        <v>12.185000419616699</v>
      </c>
      <c r="K204" s="37">
        <v>12.180000305175801</v>
      </c>
      <c r="L204" s="37">
        <v>12.180000305175801</v>
      </c>
      <c r="M204" s="37">
        <v>81.260002136230497</v>
      </c>
      <c r="N204" s="37">
        <v>81.339996337890597</v>
      </c>
      <c r="O204" s="37">
        <v>81.2875870912561</v>
      </c>
      <c r="P204" s="37">
        <v>81.283996582031307</v>
      </c>
      <c r="Q204" s="50">
        <v>7726.0074999999997</v>
      </c>
      <c r="R204" s="50">
        <v>3</v>
      </c>
      <c r="S204" s="37">
        <v>12</v>
      </c>
      <c r="T204" s="37">
        <v>12.1499996185303</v>
      </c>
      <c r="U204" s="37">
        <v>12.031578867059</v>
      </c>
      <c r="V204" s="37">
        <v>12</v>
      </c>
      <c r="W204" s="37">
        <v>81.317001342773395</v>
      </c>
      <c r="X204" s="37">
        <v>81.486000061035199</v>
      </c>
      <c r="Y204" s="37">
        <v>81.325896012155596</v>
      </c>
      <c r="Z204" s="37">
        <v>81.317001342773395</v>
      </c>
      <c r="AA204" s="1"/>
      <c r="AB204" s="1"/>
      <c r="AC204" s="1"/>
    </row>
    <row r="205" spans="1:29" x14ac:dyDescent="0.35">
      <c r="A205" s="1"/>
      <c r="B205" s="5"/>
      <c r="C205" s="25" t="s">
        <v>385</v>
      </c>
      <c r="D205" s="25" t="s">
        <v>862</v>
      </c>
      <c r="E205" s="25" t="s">
        <v>887</v>
      </c>
      <c r="F205" s="25" t="s">
        <v>888</v>
      </c>
      <c r="G205" s="50">
        <v>122192.64</v>
      </c>
      <c r="H205" s="50">
        <v>5</v>
      </c>
      <c r="I205" s="37">
        <v>12.1199998855591</v>
      </c>
      <c r="J205" s="37">
        <v>12.1199998855591</v>
      </c>
      <c r="K205" s="37">
        <v>12.1199998855591</v>
      </c>
      <c r="L205" s="37">
        <v>12.1199998855591</v>
      </c>
      <c r="M205" s="37">
        <v>95.462997436523395</v>
      </c>
      <c r="N205" s="37">
        <v>95.462997436523395</v>
      </c>
      <c r="O205" s="37">
        <v>95.462997436523395</v>
      </c>
      <c r="P205" s="37">
        <v>95.462997436523395</v>
      </c>
      <c r="Q205" s="50">
        <v>60987.89</v>
      </c>
      <c r="R205" s="50">
        <v>6</v>
      </c>
      <c r="S205" s="37">
        <v>11.5</v>
      </c>
      <c r="T205" s="37">
        <v>12.1499996185303</v>
      </c>
      <c r="U205" s="37">
        <v>11.9781251549721</v>
      </c>
      <c r="V205" s="37">
        <v>12.0200004577637</v>
      </c>
      <c r="W205" s="37">
        <v>95.249000549316406</v>
      </c>
      <c r="X205" s="37">
        <v>95.606002807617202</v>
      </c>
      <c r="Y205" s="37">
        <v>95.293578505516095</v>
      </c>
      <c r="Z205" s="37">
        <v>95.606002807617202</v>
      </c>
      <c r="AA205" s="1"/>
      <c r="AB205" s="1"/>
      <c r="AC205" s="1"/>
    </row>
    <row r="206" spans="1:29" x14ac:dyDescent="0.35">
      <c r="A206" s="1"/>
      <c r="B206" s="5"/>
      <c r="C206" s="25" t="s">
        <v>389</v>
      </c>
      <c r="D206" s="25" t="s">
        <v>862</v>
      </c>
      <c r="E206" s="25" t="s">
        <v>889</v>
      </c>
      <c r="F206" s="25" t="s">
        <v>890</v>
      </c>
      <c r="G206" s="50">
        <v>684.92</v>
      </c>
      <c r="H206" s="50">
        <v>2</v>
      </c>
      <c r="I206" s="37">
        <v>11.8999996185303</v>
      </c>
      <c r="J206" s="37">
        <v>12.0340003967285</v>
      </c>
      <c r="K206" s="37">
        <v>11.9670000076294</v>
      </c>
      <c r="L206" s="37">
        <v>11.8999996185303</v>
      </c>
      <c r="M206" s="37">
        <v>68.137001037597699</v>
      </c>
      <c r="N206" s="37">
        <v>68.846000671386705</v>
      </c>
      <c r="O206" s="37">
        <v>68.491500854492202</v>
      </c>
      <c r="P206" s="37">
        <v>68.846000671386705</v>
      </c>
      <c r="Q206" s="50">
        <v>41015.202499999999</v>
      </c>
      <c r="R206" s="50">
        <v>5</v>
      </c>
      <c r="S206" s="37">
        <v>11.800000190734901</v>
      </c>
      <c r="T206" s="37">
        <v>12.1499996185303</v>
      </c>
      <c r="U206" s="37">
        <v>11.921074449523401</v>
      </c>
      <c r="V206" s="37">
        <v>11.800000190734901</v>
      </c>
      <c r="W206" s="37">
        <v>67.791999816894503</v>
      </c>
      <c r="X206" s="37">
        <v>67.829002380371094</v>
      </c>
      <c r="Y206" s="37">
        <v>67.793223042133405</v>
      </c>
      <c r="Z206" s="37">
        <v>67.791999816894503</v>
      </c>
      <c r="AA206" s="1"/>
      <c r="AB206" s="1"/>
      <c r="AC206" s="1"/>
    </row>
    <row r="207" spans="1:29" x14ac:dyDescent="0.35">
      <c r="A207" s="1"/>
      <c r="B207" s="5"/>
      <c r="C207" s="25" t="s">
        <v>393</v>
      </c>
      <c r="D207" s="25" t="s">
        <v>862</v>
      </c>
      <c r="E207" s="25" t="s">
        <v>891</v>
      </c>
      <c r="F207" s="25" t="s">
        <v>892</v>
      </c>
      <c r="G207" s="50">
        <v>2092.462916</v>
      </c>
      <c r="H207" s="50">
        <v>1</v>
      </c>
      <c r="I207" s="37">
        <v>12.2749996185303</v>
      </c>
      <c r="J207" s="37">
        <v>12.2749996185303</v>
      </c>
      <c r="K207" s="37">
        <v>12.2749996185303</v>
      </c>
      <c r="L207" s="37">
        <v>12.2749996185303</v>
      </c>
      <c r="M207" s="37">
        <v>102.19100189209</v>
      </c>
      <c r="N207" s="37">
        <v>102.19100189209</v>
      </c>
      <c r="O207" s="37">
        <v>102.19100189209</v>
      </c>
      <c r="P207" s="37">
        <v>102.19100189209</v>
      </c>
      <c r="Q207" s="50">
        <v>403051.04</v>
      </c>
      <c r="R207" s="50">
        <v>13</v>
      </c>
      <c r="S207" s="37">
        <v>11.5</v>
      </c>
      <c r="T207" s="37">
        <v>12.1499996185303</v>
      </c>
      <c r="U207" s="37">
        <v>11.9069620204877</v>
      </c>
      <c r="V207" s="37">
        <v>11.5</v>
      </c>
      <c r="W207" s="37">
        <v>101.76799774169901</v>
      </c>
      <c r="X207" s="37">
        <v>102.125</v>
      </c>
      <c r="Y207" s="37">
        <v>102.038037650193</v>
      </c>
      <c r="Z207" s="37">
        <v>101.93099975585901</v>
      </c>
      <c r="AA207" s="1"/>
      <c r="AB207" s="1"/>
      <c r="AC207" s="1"/>
    </row>
    <row r="208" spans="1:29" x14ac:dyDescent="0.35">
      <c r="A208" s="1"/>
      <c r="B208" s="5"/>
      <c r="C208" s="25" t="s">
        <v>893</v>
      </c>
      <c r="D208" s="25" t="s">
        <v>894</v>
      </c>
      <c r="E208" s="25" t="s">
        <v>1029</v>
      </c>
      <c r="F208" s="25" t="s">
        <v>1030</v>
      </c>
      <c r="G208" s="50">
        <v>63.980975000000001</v>
      </c>
      <c r="H208" s="50">
        <v>1</v>
      </c>
      <c r="I208" s="37">
        <v>0</v>
      </c>
      <c r="J208" s="37">
        <v>0</v>
      </c>
      <c r="K208" s="37">
        <v>0</v>
      </c>
      <c r="L208" s="37">
        <v>0</v>
      </c>
      <c r="M208" s="37">
        <v>100.050003051758</v>
      </c>
      <c r="N208" s="37">
        <v>100.050003051758</v>
      </c>
      <c r="O208" s="37">
        <v>100.050003051758</v>
      </c>
      <c r="P208" s="37">
        <v>100.050003051758</v>
      </c>
      <c r="Q208" s="50">
        <v>0</v>
      </c>
      <c r="R208" s="25"/>
      <c r="S208" s="25"/>
      <c r="T208" s="25"/>
      <c r="U208" s="25"/>
      <c r="V208" s="25"/>
      <c r="W208" s="25"/>
      <c r="X208" s="25"/>
      <c r="Y208" s="25"/>
      <c r="Z208" s="25"/>
      <c r="AA208" s="1"/>
      <c r="AB208" s="1"/>
      <c r="AC208" s="1"/>
    </row>
    <row r="209" spans="1:29" x14ac:dyDescent="0.35">
      <c r="A209" s="1"/>
      <c r="B209" s="5"/>
      <c r="C209" s="25" t="s">
        <v>893</v>
      </c>
      <c r="D209" s="25" t="s">
        <v>894</v>
      </c>
      <c r="E209" s="25" t="s">
        <v>948</v>
      </c>
      <c r="F209" s="25" t="s">
        <v>1031</v>
      </c>
      <c r="G209" s="50">
        <v>57.970970999999999</v>
      </c>
      <c r="H209" s="50">
        <v>1</v>
      </c>
      <c r="I209" s="37">
        <v>0</v>
      </c>
      <c r="J209" s="37">
        <v>0</v>
      </c>
      <c r="K209" s="37">
        <v>0</v>
      </c>
      <c r="L209" s="37">
        <v>0</v>
      </c>
      <c r="M209" s="37">
        <v>100.050003051758</v>
      </c>
      <c r="N209" s="37">
        <v>100.050003051758</v>
      </c>
      <c r="O209" s="37">
        <v>100.050003051758</v>
      </c>
      <c r="P209" s="37">
        <v>100.050003051758</v>
      </c>
      <c r="Q209" s="50">
        <v>0</v>
      </c>
      <c r="R209" s="25"/>
      <c r="S209" s="25"/>
      <c r="T209" s="25"/>
      <c r="U209" s="25"/>
      <c r="V209" s="25"/>
      <c r="W209" s="25"/>
      <c r="X209" s="25"/>
      <c r="Y209" s="25"/>
      <c r="Z209" s="25"/>
      <c r="AA209" s="1"/>
      <c r="AB209" s="1"/>
      <c r="AC209" s="1"/>
    </row>
    <row r="210" spans="1:29" x14ac:dyDescent="0.35">
      <c r="A210" s="1"/>
      <c r="B210" s="5"/>
      <c r="C210" s="25" t="s">
        <v>893</v>
      </c>
      <c r="D210" s="25" t="s">
        <v>894</v>
      </c>
      <c r="E210" s="25" t="s">
        <v>1032</v>
      </c>
      <c r="F210" s="25" t="s">
        <v>1033</v>
      </c>
      <c r="G210" s="50">
        <v>835.95274400000005</v>
      </c>
      <c r="H210" s="50">
        <v>2</v>
      </c>
      <c r="I210" s="37">
        <v>0</v>
      </c>
      <c r="J210" s="37">
        <v>0</v>
      </c>
      <c r="K210" s="37">
        <v>0</v>
      </c>
      <c r="L210" s="37">
        <v>0</v>
      </c>
      <c r="M210" s="37">
        <v>99.400001525878906</v>
      </c>
      <c r="N210" s="37">
        <v>100.199996948242</v>
      </c>
      <c r="O210" s="37">
        <v>99.799999237060504</v>
      </c>
      <c r="P210" s="37">
        <v>100.199996948242</v>
      </c>
      <c r="Q210" s="50">
        <v>0</v>
      </c>
      <c r="R210" s="25"/>
      <c r="S210" s="25"/>
      <c r="T210" s="25"/>
      <c r="U210" s="25"/>
      <c r="V210" s="25"/>
      <c r="W210" s="25"/>
      <c r="X210" s="25"/>
      <c r="Y210" s="25"/>
      <c r="Z210" s="25"/>
      <c r="AA210" s="1"/>
      <c r="AB210" s="1"/>
      <c r="AC210" s="1"/>
    </row>
    <row r="211" spans="1:29" x14ac:dyDescent="0.35">
      <c r="A211" s="1"/>
      <c r="B211" s="5"/>
      <c r="C211" s="25" t="s">
        <v>893</v>
      </c>
      <c r="D211" s="25" t="s">
        <v>894</v>
      </c>
      <c r="E211" s="25" t="s">
        <v>1034</v>
      </c>
      <c r="F211" s="25" t="s">
        <v>1035</v>
      </c>
      <c r="G211" s="50">
        <v>68.707336999999995</v>
      </c>
      <c r="H211" s="50">
        <v>1</v>
      </c>
      <c r="I211" s="37">
        <v>0</v>
      </c>
      <c r="J211" s="37">
        <v>0</v>
      </c>
      <c r="K211" s="37">
        <v>0</v>
      </c>
      <c r="L211" s="37">
        <v>0</v>
      </c>
      <c r="M211" s="37">
        <v>100.050003051758</v>
      </c>
      <c r="N211" s="37">
        <v>100.050003051758</v>
      </c>
      <c r="O211" s="37">
        <v>100.050003051758</v>
      </c>
      <c r="P211" s="37">
        <v>100.050003051758</v>
      </c>
      <c r="Q211" s="50">
        <v>0</v>
      </c>
      <c r="R211" s="25"/>
      <c r="S211" s="25"/>
      <c r="T211" s="25"/>
      <c r="U211" s="25"/>
      <c r="V211" s="25"/>
      <c r="W211" s="25"/>
      <c r="X211" s="25"/>
      <c r="Y211" s="25"/>
      <c r="Z211" s="25"/>
      <c r="AA211" s="1"/>
      <c r="AB211" s="1"/>
      <c r="AC211" s="1"/>
    </row>
    <row r="212" spans="1:29" x14ac:dyDescent="0.35">
      <c r="A212" s="1"/>
      <c r="B212" s="5"/>
      <c r="C212" s="25" t="s">
        <v>893</v>
      </c>
      <c r="D212" s="25" t="s">
        <v>894</v>
      </c>
      <c r="E212" s="25" t="s">
        <v>1036</v>
      </c>
      <c r="F212" s="25" t="s">
        <v>1037</v>
      </c>
      <c r="G212" s="50">
        <v>293.36861099999999</v>
      </c>
      <c r="H212" s="50">
        <v>2</v>
      </c>
      <c r="I212" s="37">
        <v>0</v>
      </c>
      <c r="J212" s="37">
        <v>0</v>
      </c>
      <c r="K212" s="37">
        <v>0</v>
      </c>
      <c r="L212" s="37">
        <v>0</v>
      </c>
      <c r="M212" s="37">
        <v>100.050003051758</v>
      </c>
      <c r="N212" s="37">
        <v>100.050003051758</v>
      </c>
      <c r="O212" s="37">
        <v>100.050003051758</v>
      </c>
      <c r="P212" s="37">
        <v>100.050003051758</v>
      </c>
      <c r="Q212" s="50">
        <v>0</v>
      </c>
      <c r="R212" s="25"/>
      <c r="S212" s="25"/>
      <c r="T212" s="25"/>
      <c r="U212" s="25"/>
      <c r="V212" s="25"/>
      <c r="W212" s="25"/>
      <c r="X212" s="25"/>
      <c r="Y212" s="25"/>
      <c r="Z212" s="25"/>
      <c r="AA212" s="1"/>
      <c r="AB212" s="1"/>
      <c r="AC212" s="1"/>
    </row>
    <row r="213" spans="1:29" x14ac:dyDescent="0.35">
      <c r="A213" s="1"/>
      <c r="B213" s="5"/>
      <c r="C213" s="25" t="s">
        <v>893</v>
      </c>
      <c r="D213" s="25" t="s">
        <v>894</v>
      </c>
      <c r="E213" s="25" t="s">
        <v>493</v>
      </c>
      <c r="F213" s="25" t="s">
        <v>1038</v>
      </c>
      <c r="G213" s="50">
        <v>319.11279400000001</v>
      </c>
      <c r="H213" s="50">
        <v>1</v>
      </c>
      <c r="I213" s="37">
        <v>0</v>
      </c>
      <c r="J213" s="37">
        <v>0</v>
      </c>
      <c r="K213" s="37">
        <v>0</v>
      </c>
      <c r="L213" s="37">
        <v>0</v>
      </c>
      <c r="M213" s="37">
        <v>100.09999847412099</v>
      </c>
      <c r="N213" s="37">
        <v>100.09999847412099</v>
      </c>
      <c r="O213" s="37">
        <v>100.09999847412099</v>
      </c>
      <c r="P213" s="37">
        <v>100.09999847412099</v>
      </c>
      <c r="Q213" s="50">
        <v>0</v>
      </c>
      <c r="R213" s="25"/>
      <c r="S213" s="25"/>
      <c r="T213" s="25"/>
      <c r="U213" s="25"/>
      <c r="V213" s="25"/>
      <c r="W213" s="25"/>
      <c r="X213" s="25"/>
      <c r="Y213" s="25"/>
      <c r="Z213" s="25"/>
      <c r="AA213" s="1"/>
      <c r="AB213" s="1"/>
      <c r="AC213" s="1"/>
    </row>
    <row r="214" spans="1:29" x14ac:dyDescent="0.35">
      <c r="A214" s="1"/>
      <c r="B214" s="5"/>
      <c r="C214" s="25" t="s">
        <v>893</v>
      </c>
      <c r="D214" s="25" t="s">
        <v>894</v>
      </c>
      <c r="E214" s="25" t="s">
        <v>494</v>
      </c>
      <c r="F214" s="25" t="s">
        <v>1039</v>
      </c>
      <c r="G214" s="50">
        <v>312.42590200000001</v>
      </c>
      <c r="H214" s="50">
        <v>2</v>
      </c>
      <c r="I214" s="37">
        <v>0</v>
      </c>
      <c r="J214" s="37">
        <v>0</v>
      </c>
      <c r="K214" s="37">
        <v>0</v>
      </c>
      <c r="L214" s="37">
        <v>0</v>
      </c>
      <c r="M214" s="37">
        <v>99.199996948242202</v>
      </c>
      <c r="N214" s="37">
        <v>100.199996948242</v>
      </c>
      <c r="O214" s="37">
        <v>99.699996948242202</v>
      </c>
      <c r="P214" s="37">
        <v>100.199996948242</v>
      </c>
      <c r="Q214" s="50">
        <v>0</v>
      </c>
      <c r="R214" s="25"/>
      <c r="S214" s="25"/>
      <c r="T214" s="25"/>
      <c r="U214" s="25"/>
      <c r="V214" s="25"/>
      <c r="W214" s="25"/>
      <c r="X214" s="25"/>
      <c r="Y214" s="25"/>
      <c r="Z214" s="25"/>
      <c r="AA214" s="1"/>
      <c r="AB214" s="1"/>
      <c r="AC214" s="1"/>
    </row>
    <row r="215" spans="1:29" x14ac:dyDescent="0.35">
      <c r="A215" s="1"/>
      <c r="B215" s="5"/>
      <c r="C215" s="25" t="s">
        <v>893</v>
      </c>
      <c r="D215" s="25" t="s">
        <v>894</v>
      </c>
      <c r="E215" s="25" t="s">
        <v>497</v>
      </c>
      <c r="F215" s="25" t="s">
        <v>1040</v>
      </c>
      <c r="G215" s="50">
        <v>427.64112899999998</v>
      </c>
      <c r="H215" s="50">
        <v>3</v>
      </c>
      <c r="I215" s="37">
        <v>0</v>
      </c>
      <c r="J215" s="37">
        <v>0</v>
      </c>
      <c r="K215" s="37">
        <v>0</v>
      </c>
      <c r="L215" s="37">
        <v>0</v>
      </c>
      <c r="M215" s="37">
        <v>98.599998474121094</v>
      </c>
      <c r="N215" s="37">
        <v>100.199996948242</v>
      </c>
      <c r="O215" s="37">
        <v>98.874731416464201</v>
      </c>
      <c r="P215" s="37">
        <v>100.199996948242</v>
      </c>
      <c r="Q215" s="50">
        <v>0</v>
      </c>
      <c r="R215" s="25"/>
      <c r="S215" s="25"/>
      <c r="T215" s="25"/>
      <c r="U215" s="25"/>
      <c r="V215" s="25"/>
      <c r="W215" s="25"/>
      <c r="X215" s="25"/>
      <c r="Y215" s="25"/>
      <c r="Z215" s="25"/>
      <c r="AA215" s="1"/>
      <c r="AB215" s="1"/>
      <c r="AC215" s="1"/>
    </row>
    <row r="216" spans="1:29" x14ac:dyDescent="0.35">
      <c r="A216" s="1"/>
      <c r="B216" s="5"/>
      <c r="C216" s="25" t="s">
        <v>893</v>
      </c>
      <c r="D216" s="25" t="s">
        <v>894</v>
      </c>
      <c r="E216" s="25" t="s">
        <v>502</v>
      </c>
      <c r="F216" s="25" t="s">
        <v>1041</v>
      </c>
      <c r="G216" s="50">
        <v>200.95675600000001</v>
      </c>
      <c r="H216" s="50">
        <v>1</v>
      </c>
      <c r="I216" s="37">
        <v>0</v>
      </c>
      <c r="J216" s="37">
        <v>0</v>
      </c>
      <c r="K216" s="37">
        <v>0</v>
      </c>
      <c r="L216" s="37">
        <v>0</v>
      </c>
      <c r="M216" s="37">
        <v>100.09999847412099</v>
      </c>
      <c r="N216" s="37">
        <v>100.09999847412099</v>
      </c>
      <c r="O216" s="37">
        <v>100.09999847412099</v>
      </c>
      <c r="P216" s="37">
        <v>100.09999847412099</v>
      </c>
      <c r="Q216" s="50">
        <v>0</v>
      </c>
      <c r="R216" s="25"/>
      <c r="S216" s="25"/>
      <c r="T216" s="25"/>
      <c r="U216" s="25"/>
      <c r="V216" s="25"/>
      <c r="W216" s="25"/>
      <c r="X216" s="25"/>
      <c r="Y216" s="25"/>
      <c r="Z216" s="25"/>
      <c r="AA216" s="1"/>
      <c r="AB216" s="1"/>
      <c r="AC216" s="1"/>
    </row>
    <row r="217" spans="1:29" x14ac:dyDescent="0.35">
      <c r="A217" s="1"/>
      <c r="B217" s="5"/>
      <c r="C217" s="25" t="s">
        <v>893</v>
      </c>
      <c r="D217" s="25" t="s">
        <v>894</v>
      </c>
      <c r="E217" s="25" t="s">
        <v>503</v>
      </c>
      <c r="F217" s="25" t="s">
        <v>1042</v>
      </c>
      <c r="G217" s="50">
        <v>8105.4783310000003</v>
      </c>
      <c r="H217" s="50">
        <v>3</v>
      </c>
      <c r="I217" s="37">
        <v>0</v>
      </c>
      <c r="J217" s="37">
        <v>0</v>
      </c>
      <c r="K217" s="37">
        <v>0</v>
      </c>
      <c r="L217" s="37">
        <v>0</v>
      </c>
      <c r="M217" s="37">
        <v>99.5</v>
      </c>
      <c r="N217" s="37">
        <v>100.09999847412099</v>
      </c>
      <c r="O217" s="37">
        <v>100.0294266801</v>
      </c>
      <c r="P217" s="37">
        <v>100</v>
      </c>
      <c r="Q217" s="50">
        <v>0</v>
      </c>
      <c r="R217" s="25"/>
      <c r="S217" s="25"/>
      <c r="T217" s="25"/>
      <c r="U217" s="25"/>
      <c r="V217" s="25"/>
      <c r="W217" s="25"/>
      <c r="X217" s="25"/>
      <c r="Y217" s="25"/>
      <c r="Z217" s="25"/>
      <c r="AA217" s="1"/>
      <c r="AB217" s="1"/>
      <c r="AC217" s="1"/>
    </row>
    <row r="218" spans="1:29" x14ac:dyDescent="0.35">
      <c r="A218" s="1"/>
      <c r="B218" s="5"/>
      <c r="C218" s="25" t="s">
        <v>893</v>
      </c>
      <c r="D218" s="25" t="s">
        <v>894</v>
      </c>
      <c r="E218" s="25" t="s">
        <v>504</v>
      </c>
      <c r="F218" s="25" t="s">
        <v>1043</v>
      </c>
      <c r="G218" s="50">
        <v>781.02124100000003</v>
      </c>
      <c r="H218" s="50">
        <v>1</v>
      </c>
      <c r="I218" s="37">
        <v>0</v>
      </c>
      <c r="J218" s="37">
        <v>0</v>
      </c>
      <c r="K218" s="37">
        <v>0</v>
      </c>
      <c r="L218" s="37">
        <v>0</v>
      </c>
      <c r="M218" s="37">
        <v>100.09999847412099</v>
      </c>
      <c r="N218" s="37">
        <v>100.09999847412099</v>
      </c>
      <c r="O218" s="37">
        <v>100.09999847412099</v>
      </c>
      <c r="P218" s="37">
        <v>100.09999847412099</v>
      </c>
      <c r="Q218" s="50">
        <v>0</v>
      </c>
      <c r="R218" s="25"/>
      <c r="S218" s="25"/>
      <c r="T218" s="25"/>
      <c r="U218" s="25"/>
      <c r="V218" s="25"/>
      <c r="W218" s="25"/>
      <c r="X218" s="25"/>
      <c r="Y218" s="25"/>
      <c r="Z218" s="25"/>
      <c r="AA218" s="1"/>
      <c r="AB218" s="1"/>
      <c r="AC218" s="1"/>
    </row>
    <row r="219" spans="1:29" x14ac:dyDescent="0.35">
      <c r="A219" s="1"/>
      <c r="B219" s="5"/>
      <c r="C219" s="25" t="s">
        <v>893</v>
      </c>
      <c r="D219" s="25" t="s">
        <v>894</v>
      </c>
      <c r="E219" s="25" t="s">
        <v>505</v>
      </c>
      <c r="F219" s="25" t="s">
        <v>822</v>
      </c>
      <c r="G219" s="50">
        <v>1263.3063440000001</v>
      </c>
      <c r="H219" s="50">
        <v>3</v>
      </c>
      <c r="I219" s="37">
        <v>0</v>
      </c>
      <c r="J219" s="37">
        <v>0</v>
      </c>
      <c r="K219" s="37">
        <v>0</v>
      </c>
      <c r="L219" s="37">
        <v>0</v>
      </c>
      <c r="M219" s="37">
        <v>100</v>
      </c>
      <c r="N219" s="37">
        <v>100.25</v>
      </c>
      <c r="O219" s="37">
        <v>100.06212769363</v>
      </c>
      <c r="P219" s="37">
        <v>100.050003051758</v>
      </c>
      <c r="Q219" s="50">
        <v>0</v>
      </c>
      <c r="R219" s="25"/>
      <c r="S219" s="25"/>
      <c r="T219" s="25"/>
      <c r="U219" s="25"/>
      <c r="V219" s="25"/>
      <c r="W219" s="25"/>
      <c r="X219" s="25"/>
      <c r="Y219" s="25"/>
      <c r="Z219" s="25"/>
      <c r="AA219" s="1"/>
      <c r="AB219" s="1"/>
      <c r="AC219" s="1"/>
    </row>
    <row r="220" spans="1:29" x14ac:dyDescent="0.35">
      <c r="A220" s="1"/>
      <c r="B220" s="5"/>
      <c r="C220" s="25" t="s">
        <v>893</v>
      </c>
      <c r="D220" s="25" t="s">
        <v>894</v>
      </c>
      <c r="E220" s="25" t="s">
        <v>506</v>
      </c>
      <c r="F220" s="25" t="s">
        <v>1044</v>
      </c>
      <c r="G220" s="50">
        <v>409.15574700000002</v>
      </c>
      <c r="H220" s="50">
        <v>1</v>
      </c>
      <c r="I220" s="37">
        <v>0</v>
      </c>
      <c r="J220" s="37">
        <v>0</v>
      </c>
      <c r="K220" s="37">
        <v>0</v>
      </c>
      <c r="L220" s="37">
        <v>0</v>
      </c>
      <c r="M220" s="37">
        <v>100.09999847412099</v>
      </c>
      <c r="N220" s="37">
        <v>100.09999847412099</v>
      </c>
      <c r="O220" s="37">
        <v>100.09999847412099</v>
      </c>
      <c r="P220" s="37">
        <v>100.09999847412099</v>
      </c>
      <c r="Q220" s="50">
        <v>0</v>
      </c>
      <c r="R220" s="25"/>
      <c r="S220" s="25"/>
      <c r="T220" s="25"/>
      <c r="U220" s="25"/>
      <c r="V220" s="25"/>
      <c r="W220" s="25"/>
      <c r="X220" s="25"/>
      <c r="Y220" s="25"/>
      <c r="Z220" s="25"/>
      <c r="AA220" s="1"/>
      <c r="AB220" s="1"/>
      <c r="AC220" s="1"/>
    </row>
    <row r="221" spans="1:29" x14ac:dyDescent="0.35">
      <c r="A221" s="1"/>
      <c r="B221" s="5"/>
      <c r="C221" s="25" t="s">
        <v>893</v>
      </c>
      <c r="D221" s="25" t="s">
        <v>894</v>
      </c>
      <c r="E221" s="25" t="s">
        <v>508</v>
      </c>
      <c r="F221" s="25" t="s">
        <v>1045</v>
      </c>
      <c r="G221" s="50">
        <v>663.89122799999996</v>
      </c>
      <c r="H221" s="50">
        <v>2</v>
      </c>
      <c r="I221" s="37">
        <v>0</v>
      </c>
      <c r="J221" s="37">
        <v>0</v>
      </c>
      <c r="K221" s="37">
        <v>0</v>
      </c>
      <c r="L221" s="37">
        <v>0</v>
      </c>
      <c r="M221" s="37">
        <v>100</v>
      </c>
      <c r="N221" s="37">
        <v>100.199996948242</v>
      </c>
      <c r="O221" s="37">
        <v>100.09999847412099</v>
      </c>
      <c r="P221" s="37">
        <v>100.199996948242</v>
      </c>
      <c r="Q221" s="50">
        <v>0</v>
      </c>
      <c r="R221" s="25"/>
      <c r="S221" s="25"/>
      <c r="T221" s="25"/>
      <c r="U221" s="25"/>
      <c r="V221" s="25"/>
      <c r="W221" s="25"/>
      <c r="X221" s="25"/>
      <c r="Y221" s="25"/>
      <c r="Z221" s="25"/>
      <c r="AA221" s="1"/>
      <c r="AB221" s="1"/>
      <c r="AC221" s="1"/>
    </row>
    <row r="222" spans="1:29" x14ac:dyDescent="0.35">
      <c r="A222" s="1"/>
      <c r="B222" s="5"/>
      <c r="C222" s="25" t="s">
        <v>893</v>
      </c>
      <c r="D222" s="25" t="s">
        <v>894</v>
      </c>
      <c r="E222" s="25" t="s">
        <v>509</v>
      </c>
      <c r="F222" s="25" t="s">
        <v>1046</v>
      </c>
      <c r="G222" s="50">
        <v>46465.247760999999</v>
      </c>
      <c r="H222" s="50">
        <v>4</v>
      </c>
      <c r="I222" s="37">
        <v>0</v>
      </c>
      <c r="J222" s="37">
        <v>0</v>
      </c>
      <c r="K222" s="37">
        <v>0</v>
      </c>
      <c r="L222" s="37">
        <v>0</v>
      </c>
      <c r="M222" s="37">
        <v>100</v>
      </c>
      <c r="N222" s="37">
        <v>100.09999847412099</v>
      </c>
      <c r="O222" s="37">
        <v>100.046046937855</v>
      </c>
      <c r="P222" s="37">
        <v>100.09999847412099</v>
      </c>
      <c r="Q222" s="50">
        <v>0</v>
      </c>
      <c r="R222" s="25"/>
      <c r="S222" s="25"/>
      <c r="T222" s="25"/>
      <c r="U222" s="25"/>
      <c r="V222" s="25"/>
      <c r="W222" s="25"/>
      <c r="X222" s="25"/>
      <c r="Y222" s="25"/>
      <c r="Z222" s="25"/>
      <c r="AA222" s="1"/>
      <c r="AB222" s="1"/>
      <c r="AC222" s="1"/>
    </row>
    <row r="223" spans="1:29" x14ac:dyDescent="0.35">
      <c r="A223" s="1"/>
      <c r="B223" s="5"/>
      <c r="C223" s="25" t="s">
        <v>893</v>
      </c>
      <c r="D223" s="25" t="s">
        <v>894</v>
      </c>
      <c r="E223" s="25" t="s">
        <v>510</v>
      </c>
      <c r="F223" s="25" t="s">
        <v>934</v>
      </c>
      <c r="G223" s="50">
        <v>6038.5701790000003</v>
      </c>
      <c r="H223" s="50">
        <v>6</v>
      </c>
      <c r="I223" s="37">
        <v>0</v>
      </c>
      <c r="J223" s="37">
        <v>0</v>
      </c>
      <c r="K223" s="37">
        <v>0</v>
      </c>
      <c r="L223" s="37">
        <v>0</v>
      </c>
      <c r="M223" s="37">
        <v>98</v>
      </c>
      <c r="N223" s="37">
        <v>100.199996948242</v>
      </c>
      <c r="O223" s="37">
        <v>99.882532876747604</v>
      </c>
      <c r="P223" s="37">
        <v>100.199996948242</v>
      </c>
      <c r="Q223" s="50">
        <v>0</v>
      </c>
      <c r="R223" s="25"/>
      <c r="S223" s="25"/>
      <c r="T223" s="25"/>
      <c r="U223" s="25"/>
      <c r="V223" s="25"/>
      <c r="W223" s="25"/>
      <c r="X223" s="25"/>
      <c r="Y223" s="25"/>
      <c r="Z223" s="25"/>
      <c r="AA223" s="1"/>
      <c r="AB223" s="1"/>
      <c r="AC223" s="1"/>
    </row>
    <row r="224" spans="1:29" x14ac:dyDescent="0.35">
      <c r="A224" s="1"/>
      <c r="B224" s="5"/>
      <c r="C224" s="25" t="s">
        <v>893</v>
      </c>
      <c r="D224" s="25" t="s">
        <v>894</v>
      </c>
      <c r="E224" s="25" t="s">
        <v>511</v>
      </c>
      <c r="F224" s="25" t="s">
        <v>1047</v>
      </c>
      <c r="G224" s="50">
        <v>1736.5388359999999</v>
      </c>
      <c r="H224" s="50">
        <v>1</v>
      </c>
      <c r="I224" s="37">
        <v>0</v>
      </c>
      <c r="J224" s="37">
        <v>0</v>
      </c>
      <c r="K224" s="37">
        <v>0</v>
      </c>
      <c r="L224" s="37">
        <v>0</v>
      </c>
      <c r="M224" s="37">
        <v>100.050003051758</v>
      </c>
      <c r="N224" s="37">
        <v>100.050003051758</v>
      </c>
      <c r="O224" s="37">
        <v>100.050003051758</v>
      </c>
      <c r="P224" s="37">
        <v>100.050003051758</v>
      </c>
      <c r="Q224" s="50">
        <v>0</v>
      </c>
      <c r="R224" s="25"/>
      <c r="S224" s="25"/>
      <c r="T224" s="25"/>
      <c r="U224" s="25"/>
      <c r="V224" s="25"/>
      <c r="W224" s="25"/>
      <c r="X224" s="25"/>
      <c r="Y224" s="25"/>
      <c r="Z224" s="25"/>
      <c r="AA224" s="1"/>
      <c r="AB224" s="1"/>
      <c r="AC224" s="1"/>
    </row>
    <row r="225" spans="1:29" x14ac:dyDescent="0.35">
      <c r="A225" s="1"/>
      <c r="B225" s="5"/>
      <c r="C225" s="25" t="s">
        <v>893</v>
      </c>
      <c r="D225" s="25" t="s">
        <v>894</v>
      </c>
      <c r="E225" s="25" t="s">
        <v>512</v>
      </c>
      <c r="F225" s="25" t="s">
        <v>895</v>
      </c>
      <c r="G225" s="50">
        <v>6483.5958479999999</v>
      </c>
      <c r="H225" s="50">
        <v>11</v>
      </c>
      <c r="I225" s="37">
        <v>0</v>
      </c>
      <c r="J225" s="37">
        <v>0</v>
      </c>
      <c r="K225" s="37">
        <v>0</v>
      </c>
      <c r="L225" s="37">
        <v>0</v>
      </c>
      <c r="M225" s="37">
        <v>98</v>
      </c>
      <c r="N225" s="37">
        <v>100.25</v>
      </c>
      <c r="O225" s="37">
        <v>99.985655938438697</v>
      </c>
      <c r="P225" s="37">
        <v>100.199996948242</v>
      </c>
      <c r="Q225" s="50">
        <v>0</v>
      </c>
      <c r="R225" s="25"/>
      <c r="S225" s="25"/>
      <c r="T225" s="25"/>
      <c r="U225" s="25"/>
      <c r="V225" s="25"/>
      <c r="W225" s="25"/>
      <c r="X225" s="25"/>
      <c r="Y225" s="25"/>
      <c r="Z225" s="25"/>
      <c r="AA225" s="1"/>
      <c r="AB225" s="1"/>
      <c r="AC225" s="1"/>
    </row>
    <row r="226" spans="1:29" x14ac:dyDescent="0.35">
      <c r="A226" s="1"/>
      <c r="B226" s="5"/>
      <c r="C226" s="25" t="s">
        <v>893</v>
      </c>
      <c r="D226" s="25" t="s">
        <v>894</v>
      </c>
      <c r="E226" s="25" t="s">
        <v>513</v>
      </c>
      <c r="F226" s="25" t="s">
        <v>1048</v>
      </c>
      <c r="G226" s="50">
        <v>4201.2401419999997</v>
      </c>
      <c r="H226" s="50">
        <v>5</v>
      </c>
      <c r="I226" s="37">
        <v>0</v>
      </c>
      <c r="J226" s="37">
        <v>0</v>
      </c>
      <c r="K226" s="37">
        <v>0</v>
      </c>
      <c r="L226" s="37">
        <v>0</v>
      </c>
      <c r="M226" s="37">
        <v>98</v>
      </c>
      <c r="N226" s="37">
        <v>100.09999847412099</v>
      </c>
      <c r="O226" s="37">
        <v>99.191266830140606</v>
      </c>
      <c r="P226" s="37">
        <v>100.09999847412099</v>
      </c>
      <c r="Q226" s="50">
        <v>0</v>
      </c>
      <c r="R226" s="25"/>
      <c r="S226" s="25"/>
      <c r="T226" s="25"/>
      <c r="U226" s="25"/>
      <c r="V226" s="25"/>
      <c r="W226" s="25"/>
      <c r="X226" s="25"/>
      <c r="Y226" s="25"/>
      <c r="Z226" s="25"/>
      <c r="AA226" s="1"/>
      <c r="AB226" s="1"/>
      <c r="AC226" s="1"/>
    </row>
    <row r="227" spans="1:29" x14ac:dyDescent="0.35">
      <c r="A227" s="1"/>
      <c r="B227" s="5"/>
      <c r="C227" s="25" t="s">
        <v>893</v>
      </c>
      <c r="D227" s="25" t="s">
        <v>894</v>
      </c>
      <c r="E227" s="25" t="s">
        <v>514</v>
      </c>
      <c r="F227" s="25" t="s">
        <v>1049</v>
      </c>
      <c r="G227" s="50">
        <v>42988.491218000003</v>
      </c>
      <c r="H227" s="50">
        <v>11</v>
      </c>
      <c r="I227" s="37">
        <v>0</v>
      </c>
      <c r="J227" s="37">
        <v>0</v>
      </c>
      <c r="K227" s="37">
        <v>0</v>
      </c>
      <c r="L227" s="37">
        <v>0</v>
      </c>
      <c r="M227" s="37">
        <v>98.199996948242202</v>
      </c>
      <c r="N227" s="37">
        <v>100.25</v>
      </c>
      <c r="O227" s="37">
        <v>100.069886391064</v>
      </c>
      <c r="P227" s="37">
        <v>100.139999389648</v>
      </c>
      <c r="Q227" s="50">
        <v>0</v>
      </c>
      <c r="R227" s="25"/>
      <c r="S227" s="25"/>
      <c r="T227" s="25"/>
      <c r="U227" s="25"/>
      <c r="V227" s="25"/>
      <c r="W227" s="25"/>
      <c r="X227" s="25"/>
      <c r="Y227" s="25"/>
      <c r="Z227" s="25"/>
      <c r="AA227" s="1"/>
      <c r="AB227" s="1"/>
      <c r="AC227" s="1"/>
    </row>
    <row r="228" spans="1:29" x14ac:dyDescent="0.35">
      <c r="A228" s="1"/>
      <c r="B228" s="5"/>
      <c r="C228" s="25" t="s">
        <v>429</v>
      </c>
      <c r="D228" s="25" t="s">
        <v>896</v>
      </c>
      <c r="E228" s="25" t="s">
        <v>1050</v>
      </c>
      <c r="F228" s="25" t="s">
        <v>1051</v>
      </c>
      <c r="G228" s="50">
        <v>230330.27680399999</v>
      </c>
      <c r="H228" s="50">
        <v>11</v>
      </c>
      <c r="I228" s="37">
        <v>6.5749998092651403</v>
      </c>
      <c r="J228" s="37">
        <v>6.6700000762939498</v>
      </c>
      <c r="K228" s="37">
        <v>6.5878642574576398</v>
      </c>
      <c r="L228" s="37">
        <v>6.6300001144409197</v>
      </c>
      <c r="M228" s="37">
        <v>102.616996765137</v>
      </c>
      <c r="N228" s="37">
        <v>102.97499847412099</v>
      </c>
      <c r="O228" s="37">
        <v>102.92694858994599</v>
      </c>
      <c r="P228" s="37">
        <v>102.76799774169901</v>
      </c>
      <c r="Q228" s="50">
        <v>0</v>
      </c>
      <c r="R228" s="25"/>
      <c r="S228" s="25"/>
      <c r="T228" s="25"/>
      <c r="U228" s="25"/>
      <c r="V228" s="25"/>
      <c r="W228" s="25"/>
      <c r="X228" s="25"/>
      <c r="Y228" s="25"/>
      <c r="Z228" s="25"/>
      <c r="AA228" s="1"/>
      <c r="AB228" s="1"/>
      <c r="AC228" s="1"/>
    </row>
    <row r="229" spans="1:29" x14ac:dyDescent="0.35">
      <c r="A229" s="1"/>
      <c r="B229" s="5"/>
      <c r="C229" s="25" t="s">
        <v>433</v>
      </c>
      <c r="D229" s="25" t="s">
        <v>896</v>
      </c>
      <c r="E229" s="25" t="s">
        <v>897</v>
      </c>
      <c r="F229" s="25" t="s">
        <v>898</v>
      </c>
      <c r="G229" s="50">
        <v>6883.5472490000002</v>
      </c>
      <c r="H229" s="50">
        <v>3</v>
      </c>
      <c r="I229" s="37">
        <v>5.8099999427795401</v>
      </c>
      <c r="J229" s="37">
        <v>5.8150000572204599</v>
      </c>
      <c r="K229" s="37">
        <v>5.8125</v>
      </c>
      <c r="L229" s="37">
        <v>5.8150000572204599</v>
      </c>
      <c r="M229" s="37">
        <v>91.847999572753906</v>
      </c>
      <c r="N229" s="37">
        <v>91.859001159667997</v>
      </c>
      <c r="O229" s="37">
        <v>91.853500366210895</v>
      </c>
      <c r="P229" s="37">
        <v>91.847999572753906</v>
      </c>
      <c r="Q229" s="50">
        <v>0</v>
      </c>
      <c r="R229" s="25"/>
      <c r="S229" s="25"/>
      <c r="T229" s="25"/>
      <c r="U229" s="25"/>
      <c r="V229" s="25"/>
      <c r="W229" s="25"/>
      <c r="X229" s="25"/>
      <c r="Y229" s="25"/>
      <c r="Z229" s="25"/>
      <c r="AA229" s="1"/>
      <c r="AB229" s="1"/>
      <c r="AC229" s="1"/>
    </row>
    <row r="230" spans="1:29" x14ac:dyDescent="0.35">
      <c r="A230" s="1"/>
      <c r="B230" s="5"/>
      <c r="C230" s="25" t="s">
        <v>899</v>
      </c>
      <c r="D230" s="25" t="s">
        <v>896</v>
      </c>
      <c r="E230" s="25" t="s">
        <v>900</v>
      </c>
      <c r="F230" s="25" t="s">
        <v>901</v>
      </c>
      <c r="G230" s="50">
        <v>31161.893769999999</v>
      </c>
      <c r="H230" s="50">
        <v>3</v>
      </c>
      <c r="I230" s="37">
        <v>5.5500001907348597</v>
      </c>
      <c r="J230" s="37">
        <v>5.5549998283386204</v>
      </c>
      <c r="K230" s="37">
        <v>5.5514000892639199</v>
      </c>
      <c r="L230" s="37">
        <v>5.5539999008178702</v>
      </c>
      <c r="M230" s="37">
        <v>99.794998168945298</v>
      </c>
      <c r="N230" s="37">
        <v>99.797996520996094</v>
      </c>
      <c r="O230" s="37">
        <v>99.797263590494794</v>
      </c>
      <c r="P230" s="37">
        <v>99.795997619628906</v>
      </c>
      <c r="Q230" s="50">
        <v>439496.885587</v>
      </c>
      <c r="R230" s="50">
        <v>18</v>
      </c>
      <c r="S230" s="37">
        <v>11</v>
      </c>
      <c r="T230" s="37">
        <v>12.1000003814697</v>
      </c>
      <c r="U230" s="37">
        <v>11.910868212537</v>
      </c>
      <c r="V230" s="37">
        <v>12.1000003814697</v>
      </c>
      <c r="W230" s="37">
        <v>99.827003479003906</v>
      </c>
      <c r="X230" s="37">
        <v>99.917999267578097</v>
      </c>
      <c r="Y230" s="37">
        <v>99.888472240243701</v>
      </c>
      <c r="Z230" s="37">
        <v>99.888999938964801</v>
      </c>
      <c r="AA230" s="1"/>
      <c r="AB230" s="1"/>
      <c r="AC230" s="1"/>
    </row>
    <row r="231" spans="1:29" x14ac:dyDescent="0.35">
      <c r="A231" s="1"/>
      <c r="B231" s="5"/>
      <c r="C231" s="25" t="s">
        <v>437</v>
      </c>
      <c r="D231" s="25" t="s">
        <v>896</v>
      </c>
      <c r="E231" s="25" t="s">
        <v>1052</v>
      </c>
      <c r="F231" s="25" t="s">
        <v>1053</v>
      </c>
      <c r="G231" s="50">
        <v>7536.4918250000001</v>
      </c>
      <c r="H231" s="50">
        <v>1</v>
      </c>
      <c r="I231" s="37">
        <v>6.1869997978210396</v>
      </c>
      <c r="J231" s="37">
        <v>6.1869997978210396</v>
      </c>
      <c r="K231" s="37">
        <v>6.1869997978210396</v>
      </c>
      <c r="L231" s="37">
        <v>6.1869997978210396</v>
      </c>
      <c r="M231" s="37">
        <v>90.510002136230497</v>
      </c>
      <c r="N231" s="37">
        <v>90.510002136230497</v>
      </c>
      <c r="O231" s="37">
        <v>90.510002136230497</v>
      </c>
      <c r="P231" s="37">
        <v>90.510002136230497</v>
      </c>
      <c r="Q231" s="50">
        <v>22668.428413000001</v>
      </c>
      <c r="R231" s="50">
        <v>1</v>
      </c>
      <c r="S231" s="37">
        <v>12.1000003814697</v>
      </c>
      <c r="T231" s="37">
        <v>12.1000003814697</v>
      </c>
      <c r="U231" s="37">
        <v>12.1000003814697</v>
      </c>
      <c r="V231" s="37">
        <v>12.1000003814697</v>
      </c>
      <c r="W231" s="37">
        <v>90.746002197265597</v>
      </c>
      <c r="X231" s="37">
        <v>90.746002197265597</v>
      </c>
      <c r="Y231" s="37">
        <v>90.746002197265597</v>
      </c>
      <c r="Z231" s="37">
        <v>90.746002197265597</v>
      </c>
      <c r="AA231" s="1"/>
      <c r="AB231" s="1"/>
      <c r="AC231" s="1"/>
    </row>
    <row r="232" spans="1:29" x14ac:dyDescent="0.35">
      <c r="A232" s="1"/>
      <c r="B232" s="5"/>
      <c r="C232" s="25" t="s">
        <v>441</v>
      </c>
      <c r="D232" s="25" t="s">
        <v>896</v>
      </c>
      <c r="E232" s="25" t="s">
        <v>1054</v>
      </c>
      <c r="F232" s="25" t="s">
        <v>1055</v>
      </c>
      <c r="G232" s="50">
        <v>0</v>
      </c>
      <c r="H232" s="25"/>
      <c r="I232" s="25"/>
      <c r="J232" s="25"/>
      <c r="K232" s="25"/>
      <c r="L232" s="25"/>
      <c r="M232" s="25"/>
      <c r="N232" s="25"/>
      <c r="O232" s="25"/>
      <c r="P232" s="25"/>
      <c r="Q232" s="50">
        <v>6904.7877920000001</v>
      </c>
      <c r="R232" s="50">
        <v>1</v>
      </c>
      <c r="S232" s="37">
        <v>12.1000003814697</v>
      </c>
      <c r="T232" s="37">
        <v>12.1000003814697</v>
      </c>
      <c r="U232" s="37">
        <v>12.1000003814697</v>
      </c>
      <c r="V232" s="37">
        <v>12.1000003814697</v>
      </c>
      <c r="W232" s="37">
        <v>82.922996520996094</v>
      </c>
      <c r="X232" s="37">
        <v>82.922996520996094</v>
      </c>
      <c r="Y232" s="37">
        <v>82.922996520996094</v>
      </c>
      <c r="Z232" s="37">
        <v>82.922996520996094</v>
      </c>
      <c r="AA232" s="1"/>
      <c r="AB232" s="1"/>
      <c r="AC232" s="1"/>
    </row>
    <row r="233" spans="1:29" x14ac:dyDescent="0.35">
      <c r="A233" s="1"/>
      <c r="B233" s="5"/>
      <c r="C233" s="25" t="s">
        <v>453</v>
      </c>
      <c r="D233" s="25" t="s">
        <v>896</v>
      </c>
      <c r="E233" s="25" t="s">
        <v>1056</v>
      </c>
      <c r="F233" s="25" t="s">
        <v>1057</v>
      </c>
      <c r="G233" s="50">
        <v>14943.070696000001</v>
      </c>
      <c r="H233" s="50">
        <v>2</v>
      </c>
      <c r="I233" s="37">
        <v>6.08500003814697</v>
      </c>
      <c r="J233" s="37">
        <v>6.0869998931884801</v>
      </c>
      <c r="K233" s="37">
        <v>6.0859999656677202</v>
      </c>
      <c r="L233" s="37">
        <v>6.08500003814697</v>
      </c>
      <c r="M233" s="37">
        <v>89.711997985839801</v>
      </c>
      <c r="N233" s="37">
        <v>89.747001647949205</v>
      </c>
      <c r="O233" s="37">
        <v>89.729499816894503</v>
      </c>
      <c r="P233" s="37">
        <v>89.747001647949205</v>
      </c>
      <c r="Q233" s="50">
        <v>0</v>
      </c>
      <c r="R233" s="25"/>
      <c r="S233" s="25"/>
      <c r="T233" s="25"/>
      <c r="U233" s="25"/>
      <c r="V233" s="25"/>
      <c r="W233" s="25"/>
      <c r="X233" s="25"/>
      <c r="Y233" s="25"/>
      <c r="Z233" s="25"/>
      <c r="AA233" s="1"/>
      <c r="AB233" s="1"/>
      <c r="AC233" s="1"/>
    </row>
    <row r="234" spans="1:29" x14ac:dyDescent="0.35">
      <c r="A234" s="1"/>
      <c r="B234" s="5"/>
      <c r="C234" s="25" t="s">
        <v>457</v>
      </c>
      <c r="D234" s="25" t="s">
        <v>896</v>
      </c>
      <c r="E234" s="25" t="s">
        <v>1058</v>
      </c>
      <c r="F234" s="25" t="s">
        <v>1059</v>
      </c>
      <c r="G234" s="50">
        <v>12126.269396</v>
      </c>
      <c r="H234" s="50">
        <v>2</v>
      </c>
      <c r="I234" s="37">
        <v>5.9949998855590803</v>
      </c>
      <c r="J234" s="37">
        <v>6</v>
      </c>
      <c r="K234" s="37">
        <v>5.9974999427795401</v>
      </c>
      <c r="L234" s="37">
        <v>5.9949998855590803</v>
      </c>
      <c r="M234" s="37">
        <v>72.791000366210895</v>
      </c>
      <c r="N234" s="37">
        <v>72.839996337890597</v>
      </c>
      <c r="O234" s="37">
        <v>72.815498352050795</v>
      </c>
      <c r="P234" s="37">
        <v>72.839996337890597</v>
      </c>
      <c r="Q234" s="50">
        <v>3034.6274060000001</v>
      </c>
      <c r="R234" s="50">
        <v>1</v>
      </c>
      <c r="S234" s="37">
        <v>12</v>
      </c>
      <c r="T234" s="37">
        <v>12</v>
      </c>
      <c r="U234" s="37">
        <v>12</v>
      </c>
      <c r="V234" s="37">
        <v>12</v>
      </c>
      <c r="W234" s="37">
        <v>72.888999938964801</v>
      </c>
      <c r="X234" s="37">
        <v>72.888999938964801</v>
      </c>
      <c r="Y234" s="37">
        <v>72.888999938964801</v>
      </c>
      <c r="Z234" s="37">
        <v>72.888999938964801</v>
      </c>
      <c r="AA234" s="1"/>
      <c r="AB234" s="1"/>
      <c r="AC234" s="1"/>
    </row>
    <row r="235" spans="1:29" x14ac:dyDescent="0.35">
      <c r="A235" s="1"/>
      <c r="B235" s="5"/>
      <c r="C235" s="25" t="s">
        <v>461</v>
      </c>
      <c r="D235" s="25" t="s">
        <v>896</v>
      </c>
      <c r="E235" s="25" t="s">
        <v>823</v>
      </c>
      <c r="F235" s="25" t="s">
        <v>1060</v>
      </c>
      <c r="G235" s="50">
        <v>72422.359014999995</v>
      </c>
      <c r="H235" s="50">
        <v>5</v>
      </c>
      <c r="I235" s="37">
        <v>6.1030001640319798</v>
      </c>
      <c r="J235" s="37">
        <v>6.1170001029968297</v>
      </c>
      <c r="K235" s="37">
        <v>6.1080625355243701</v>
      </c>
      <c r="L235" s="37">
        <v>6.1030001640319798</v>
      </c>
      <c r="M235" s="37">
        <v>108.58599853515599</v>
      </c>
      <c r="N235" s="37">
        <v>108.79599761962901</v>
      </c>
      <c r="O235" s="37">
        <v>108.72006011009201</v>
      </c>
      <c r="P235" s="37">
        <v>108.79599761962901</v>
      </c>
      <c r="Q235" s="50">
        <v>0</v>
      </c>
      <c r="R235" s="25"/>
      <c r="S235" s="25"/>
      <c r="T235" s="25"/>
      <c r="U235" s="25"/>
      <c r="V235" s="25"/>
      <c r="W235" s="25"/>
      <c r="X235" s="25"/>
      <c r="Y235" s="25"/>
      <c r="Z235" s="25"/>
      <c r="AA235" s="1"/>
      <c r="AB235" s="1"/>
      <c r="AC235" s="1"/>
    </row>
    <row r="236" spans="1:29" x14ac:dyDescent="0.35">
      <c r="A236" s="1"/>
      <c r="B236" s="9"/>
      <c r="C236" s="51" t="s">
        <v>609</v>
      </c>
      <c r="D236" s="52" t="s">
        <v>5</v>
      </c>
      <c r="E236" s="52" t="s">
        <v>5</v>
      </c>
      <c r="F236" s="52" t="s">
        <v>5</v>
      </c>
      <c r="G236" s="53">
        <v>3369710.2264069999</v>
      </c>
      <c r="H236" s="53">
        <v>472</v>
      </c>
      <c r="I236" s="63">
        <v>1356.2969985008201</v>
      </c>
      <c r="J236" s="63">
        <v>1367.7549986839299</v>
      </c>
      <c r="K236" s="63">
        <v>1363.4615215592301</v>
      </c>
      <c r="L236" s="63">
        <v>1299.36199998856</v>
      </c>
      <c r="M236" s="63">
        <v>13273.5910568237</v>
      </c>
      <c r="N236" s="63">
        <v>13304.688026428201</v>
      </c>
      <c r="O236" s="63">
        <v>13289.3630657793</v>
      </c>
      <c r="P236" s="63">
        <v>13295.029022216801</v>
      </c>
      <c r="Q236" s="53">
        <v>7796025.4163889997</v>
      </c>
      <c r="R236" s="53">
        <v>215</v>
      </c>
      <c r="S236" s="63">
        <v>234.80000114440901</v>
      </c>
      <c r="T236" s="63">
        <v>251.30399799346901</v>
      </c>
      <c r="U236" s="63">
        <v>245.25938810854399</v>
      </c>
      <c r="V236" s="63">
        <v>245.72000122070301</v>
      </c>
      <c r="W236" s="63">
        <v>1966.65100097656</v>
      </c>
      <c r="X236" s="63">
        <v>1969.2270050048801</v>
      </c>
      <c r="Y236" s="63">
        <v>1968.16452552384</v>
      </c>
      <c r="Z236" s="63">
        <v>1968.1219940185499</v>
      </c>
      <c r="AA236" s="1"/>
      <c r="AB236" s="1"/>
      <c r="AC236" s="1"/>
    </row>
    <row r="237" spans="1:29" ht="0" hidden="1" customHeight="1" x14ac:dyDescent="0.35"/>
  </sheetData>
  <mergeCells count="16">
    <mergeCell ref="G95:P95"/>
    <mergeCell ref="Q95:Z95"/>
    <mergeCell ref="I96:L96"/>
    <mergeCell ref="M96:P96"/>
    <mergeCell ref="S96:V96"/>
    <mergeCell ref="W96:Z96"/>
    <mergeCell ref="I15:L15"/>
    <mergeCell ref="M15:P15"/>
    <mergeCell ref="S15:V15"/>
    <mergeCell ref="W15:Z15"/>
    <mergeCell ref="C93:H93"/>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1061</v>
      </c>
      <c r="D5" s="23" t="s">
        <v>638</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1062</v>
      </c>
      <c r="D5" s="23" t="s">
        <v>635</v>
      </c>
      <c r="E5" s="23" t="s">
        <v>1063</v>
      </c>
      <c r="F5" s="23" t="s">
        <v>639</v>
      </c>
      <c r="G5" s="23" t="s">
        <v>643</v>
      </c>
      <c r="H5" s="1"/>
      <c r="I5" s="6"/>
      <c r="J5" s="1"/>
      <c r="K5" s="1"/>
    </row>
    <row r="6" spans="1:11" x14ac:dyDescent="0.35">
      <c r="A6" s="1"/>
      <c r="B6" s="5"/>
      <c r="C6" s="25" t="s">
        <v>516</v>
      </c>
      <c r="D6" s="25">
        <v>90608</v>
      </c>
      <c r="E6" s="25" t="s">
        <v>516</v>
      </c>
      <c r="F6" s="25" t="s">
        <v>682</v>
      </c>
      <c r="G6" s="50">
        <v>606.45000000000005</v>
      </c>
      <c r="H6" s="1"/>
      <c r="I6" s="6"/>
      <c r="J6" s="1"/>
      <c r="K6" s="1"/>
    </row>
    <row r="7" spans="1:11" x14ac:dyDescent="0.35">
      <c r="A7" s="1"/>
      <c r="B7" s="5"/>
      <c r="C7" s="25" t="s">
        <v>516</v>
      </c>
      <c r="D7" s="25">
        <v>90392</v>
      </c>
      <c r="E7" s="25" t="s">
        <v>516</v>
      </c>
      <c r="F7" s="25" t="s">
        <v>690</v>
      </c>
      <c r="G7" s="50">
        <v>200.201853</v>
      </c>
      <c r="H7" s="1"/>
      <c r="I7" s="6"/>
      <c r="J7" s="1"/>
      <c r="K7" s="1"/>
    </row>
    <row r="8" spans="1:11" x14ac:dyDescent="0.35">
      <c r="A8" s="1"/>
      <c r="B8" s="5"/>
      <c r="C8" s="25" t="s">
        <v>516</v>
      </c>
      <c r="D8" s="25">
        <v>90093</v>
      </c>
      <c r="E8" s="25" t="s">
        <v>516</v>
      </c>
      <c r="F8" s="25" t="s">
        <v>707</v>
      </c>
      <c r="G8" s="50">
        <v>10000</v>
      </c>
      <c r="H8" s="1"/>
      <c r="I8" s="6"/>
      <c r="J8" s="1"/>
      <c r="K8" s="1"/>
    </row>
    <row r="9" spans="1:11" x14ac:dyDescent="0.35">
      <c r="A9" s="1"/>
      <c r="B9" s="5"/>
      <c r="C9" s="25" t="s">
        <v>516</v>
      </c>
      <c r="D9" s="25">
        <v>90033</v>
      </c>
      <c r="E9" s="25" t="s">
        <v>516</v>
      </c>
      <c r="F9" s="25" t="s">
        <v>830</v>
      </c>
      <c r="G9" s="50">
        <v>2014.3440000000001</v>
      </c>
      <c r="H9" s="1"/>
      <c r="I9" s="6"/>
      <c r="J9" s="1"/>
      <c r="K9" s="1"/>
    </row>
    <row r="10" spans="1:11" x14ac:dyDescent="0.35">
      <c r="A10" s="1"/>
      <c r="B10" s="5"/>
      <c r="C10" s="25" t="s">
        <v>516</v>
      </c>
      <c r="D10" s="25">
        <v>90034</v>
      </c>
      <c r="E10" s="25" t="s">
        <v>516</v>
      </c>
      <c r="F10" s="25" t="s">
        <v>830</v>
      </c>
      <c r="G10" s="50">
        <v>2018.8303559999999</v>
      </c>
      <c r="H10" s="1"/>
      <c r="I10" s="6"/>
      <c r="J10" s="1"/>
      <c r="K10" s="1"/>
    </row>
    <row r="11" spans="1:11" x14ac:dyDescent="0.35">
      <c r="A11" s="1"/>
      <c r="B11" s="5"/>
      <c r="C11" s="25" t="s">
        <v>516</v>
      </c>
      <c r="D11" s="25">
        <v>90279</v>
      </c>
      <c r="E11" s="25" t="s">
        <v>516</v>
      </c>
      <c r="F11" s="25" t="s">
        <v>724</v>
      </c>
      <c r="G11" s="50">
        <v>3018.873</v>
      </c>
      <c r="H11" s="1"/>
      <c r="I11" s="6"/>
      <c r="J11" s="1"/>
      <c r="K11" s="1"/>
    </row>
    <row r="12" spans="1:11" x14ac:dyDescent="0.35">
      <c r="A12" s="1"/>
      <c r="B12" s="5"/>
      <c r="C12" s="25" t="s">
        <v>516</v>
      </c>
      <c r="D12" s="25">
        <v>90280</v>
      </c>
      <c r="E12" s="25" t="s">
        <v>516</v>
      </c>
      <c r="F12" s="25" t="s">
        <v>724</v>
      </c>
      <c r="G12" s="50">
        <v>3019.8178579999999</v>
      </c>
      <c r="H12" s="1"/>
      <c r="I12" s="6"/>
      <c r="J12" s="1"/>
      <c r="K12" s="1"/>
    </row>
    <row r="13" spans="1:11" x14ac:dyDescent="0.35">
      <c r="A13" s="1"/>
      <c r="B13" s="5"/>
      <c r="C13" s="25" t="s">
        <v>516</v>
      </c>
      <c r="D13" s="25">
        <v>90283</v>
      </c>
      <c r="E13" s="25" t="s">
        <v>516</v>
      </c>
      <c r="F13" s="25" t="s">
        <v>724</v>
      </c>
      <c r="G13" s="50">
        <v>5005.92</v>
      </c>
      <c r="H13" s="1"/>
      <c r="I13" s="6"/>
      <c r="J13" s="1"/>
      <c r="K13" s="1"/>
    </row>
    <row r="14" spans="1:11" x14ac:dyDescent="0.35">
      <c r="A14" s="1"/>
      <c r="B14" s="5"/>
      <c r="C14" s="25" t="s">
        <v>516</v>
      </c>
      <c r="D14" s="25">
        <v>90284</v>
      </c>
      <c r="E14" s="25" t="s">
        <v>516</v>
      </c>
      <c r="F14" s="25" t="s">
        <v>724</v>
      </c>
      <c r="G14" s="50">
        <v>5007.4867709999999</v>
      </c>
      <c r="H14" s="1"/>
      <c r="I14" s="6"/>
      <c r="J14" s="1"/>
      <c r="K14" s="1"/>
    </row>
    <row r="15" spans="1:11" x14ac:dyDescent="0.35">
      <c r="A15" s="1"/>
      <c r="B15" s="5"/>
      <c r="C15" s="25" t="s">
        <v>516</v>
      </c>
      <c r="D15" s="25">
        <v>90330</v>
      </c>
      <c r="E15" s="25" t="s">
        <v>516</v>
      </c>
      <c r="F15" s="25" t="s">
        <v>724</v>
      </c>
      <c r="G15" s="50">
        <v>5013.4949999999999</v>
      </c>
      <c r="H15" s="1"/>
      <c r="I15" s="6"/>
      <c r="J15" s="1"/>
      <c r="K15" s="1"/>
    </row>
    <row r="16" spans="1:11" x14ac:dyDescent="0.35">
      <c r="A16" s="1"/>
      <c r="B16" s="5"/>
      <c r="C16" s="25" t="s">
        <v>516</v>
      </c>
      <c r="D16" s="25">
        <v>90331</v>
      </c>
      <c r="E16" s="25" t="s">
        <v>516</v>
      </c>
      <c r="F16" s="25" t="s">
        <v>724</v>
      </c>
      <c r="G16" s="50">
        <v>5015.0641420000002</v>
      </c>
      <c r="H16" s="1"/>
      <c r="I16" s="6"/>
      <c r="J16" s="1"/>
      <c r="K16" s="1"/>
    </row>
    <row r="17" spans="1:11" x14ac:dyDescent="0.35">
      <c r="A17" s="1"/>
      <c r="B17" s="5"/>
      <c r="C17" s="25" t="s">
        <v>516</v>
      </c>
      <c r="D17" s="25">
        <v>90328</v>
      </c>
      <c r="E17" s="25" t="s">
        <v>516</v>
      </c>
      <c r="F17" s="25" t="s">
        <v>724</v>
      </c>
      <c r="G17" s="50">
        <v>3018.8879999999999</v>
      </c>
      <c r="H17" s="1"/>
      <c r="I17" s="6"/>
      <c r="J17" s="1"/>
      <c r="K17" s="1"/>
    </row>
    <row r="18" spans="1:11" x14ac:dyDescent="0.35">
      <c r="A18" s="1"/>
      <c r="B18" s="5"/>
      <c r="C18" s="25" t="s">
        <v>516</v>
      </c>
      <c r="D18" s="25">
        <v>90329</v>
      </c>
      <c r="E18" s="25" t="s">
        <v>516</v>
      </c>
      <c r="F18" s="25" t="s">
        <v>724</v>
      </c>
      <c r="G18" s="50">
        <v>3019.8328620000002</v>
      </c>
      <c r="H18" s="1"/>
      <c r="I18" s="6"/>
      <c r="J18" s="1"/>
      <c r="K18" s="1"/>
    </row>
    <row r="19" spans="1:11" x14ac:dyDescent="0.35">
      <c r="A19" s="1"/>
      <c r="B19" s="5"/>
      <c r="C19" s="25" t="s">
        <v>516</v>
      </c>
      <c r="D19" s="25">
        <v>90371</v>
      </c>
      <c r="E19" s="25" t="s">
        <v>516</v>
      </c>
      <c r="F19" s="25" t="s">
        <v>724</v>
      </c>
      <c r="G19" s="50">
        <v>5013.42</v>
      </c>
      <c r="H19" s="1"/>
      <c r="I19" s="6"/>
      <c r="J19" s="1"/>
      <c r="K19" s="1"/>
    </row>
    <row r="20" spans="1:11" x14ac:dyDescent="0.35">
      <c r="A20" s="1"/>
      <c r="B20" s="5"/>
      <c r="C20" s="25" t="s">
        <v>516</v>
      </c>
      <c r="D20" s="25">
        <v>90372</v>
      </c>
      <c r="E20" s="25" t="s">
        <v>516</v>
      </c>
      <c r="F20" s="25" t="s">
        <v>724</v>
      </c>
      <c r="G20" s="50">
        <v>5014.9891180000004</v>
      </c>
      <c r="H20" s="1"/>
      <c r="I20" s="6"/>
      <c r="J20" s="1"/>
      <c r="K20" s="1"/>
    </row>
    <row r="21" spans="1:11" x14ac:dyDescent="0.35">
      <c r="A21" s="1"/>
      <c r="B21" s="5"/>
      <c r="C21" s="25" t="s">
        <v>516</v>
      </c>
      <c r="D21" s="25">
        <v>90513</v>
      </c>
      <c r="E21" s="25" t="s">
        <v>516</v>
      </c>
      <c r="F21" s="25" t="s">
        <v>724</v>
      </c>
      <c r="G21" s="50">
        <v>2053.84</v>
      </c>
      <c r="H21" s="1"/>
      <c r="I21" s="6"/>
      <c r="J21" s="1"/>
      <c r="K21" s="1"/>
    </row>
    <row r="22" spans="1:11" x14ac:dyDescent="0.35">
      <c r="A22" s="1"/>
      <c r="B22" s="5"/>
      <c r="C22" s="25" t="s">
        <v>516</v>
      </c>
      <c r="D22" s="25">
        <v>90376</v>
      </c>
      <c r="E22" s="25" t="s">
        <v>516</v>
      </c>
      <c r="F22" s="25" t="s">
        <v>729</v>
      </c>
      <c r="G22" s="50">
        <v>446.35937799999999</v>
      </c>
      <c r="H22" s="1"/>
      <c r="I22" s="6"/>
      <c r="J22" s="1"/>
      <c r="K22" s="1"/>
    </row>
    <row r="23" spans="1:11" x14ac:dyDescent="0.35">
      <c r="A23" s="1"/>
      <c r="B23" s="5"/>
      <c r="C23" s="25" t="s">
        <v>516</v>
      </c>
      <c r="D23" s="25">
        <v>553</v>
      </c>
      <c r="E23" s="25" t="s">
        <v>516</v>
      </c>
      <c r="F23" s="25" t="s">
        <v>916</v>
      </c>
      <c r="G23" s="50">
        <v>18315.570582</v>
      </c>
      <c r="H23" s="1"/>
      <c r="I23" s="6"/>
      <c r="J23" s="1"/>
      <c r="K23" s="1"/>
    </row>
    <row r="24" spans="1:11" x14ac:dyDescent="0.35">
      <c r="A24" s="1"/>
      <c r="B24" s="5"/>
      <c r="C24" s="25" t="s">
        <v>516</v>
      </c>
      <c r="D24" s="25">
        <v>189</v>
      </c>
      <c r="E24" s="25" t="s">
        <v>516</v>
      </c>
      <c r="F24" s="25" t="s">
        <v>1013</v>
      </c>
      <c r="G24" s="50">
        <v>6888.03</v>
      </c>
      <c r="H24" s="1"/>
      <c r="I24" s="6"/>
      <c r="J24" s="1"/>
      <c r="K24" s="1"/>
    </row>
    <row r="25" spans="1:11" x14ac:dyDescent="0.35">
      <c r="A25" s="1"/>
      <c r="B25" s="5"/>
      <c r="C25" s="25" t="s">
        <v>516</v>
      </c>
      <c r="D25" s="25">
        <v>212</v>
      </c>
      <c r="E25" s="25" t="s">
        <v>516</v>
      </c>
      <c r="F25" s="25" t="s">
        <v>333</v>
      </c>
      <c r="G25" s="50">
        <v>199077.20800000001</v>
      </c>
      <c r="H25" s="1"/>
      <c r="I25" s="6"/>
      <c r="J25" s="1"/>
      <c r="K25" s="1"/>
    </row>
    <row r="26" spans="1:11" x14ac:dyDescent="0.35">
      <c r="A26" s="1"/>
      <c r="B26" s="5"/>
      <c r="C26" s="25" t="s">
        <v>516</v>
      </c>
      <c r="D26" s="25">
        <v>213</v>
      </c>
      <c r="E26" s="25" t="s">
        <v>516</v>
      </c>
      <c r="F26" s="25" t="s">
        <v>333</v>
      </c>
      <c r="G26" s="50">
        <v>199139.02898900001</v>
      </c>
      <c r="H26" s="1"/>
      <c r="I26" s="6"/>
      <c r="J26" s="1"/>
      <c r="K26" s="1"/>
    </row>
    <row r="27" spans="1:11" x14ac:dyDescent="0.35">
      <c r="A27" s="1"/>
      <c r="B27" s="5"/>
      <c r="C27" s="25" t="s">
        <v>516</v>
      </c>
      <c r="D27" s="25">
        <v>657</v>
      </c>
      <c r="E27" s="25" t="s">
        <v>516</v>
      </c>
      <c r="F27" s="25" t="s">
        <v>337</v>
      </c>
      <c r="G27" s="50">
        <v>5236.45</v>
      </c>
      <c r="H27" s="1"/>
      <c r="I27" s="6"/>
      <c r="J27" s="1"/>
      <c r="K27" s="1"/>
    </row>
    <row r="28" spans="1:11" x14ac:dyDescent="0.35">
      <c r="A28" s="1"/>
      <c r="B28" s="5"/>
      <c r="C28" s="25" t="s">
        <v>516</v>
      </c>
      <c r="D28" s="25">
        <v>458</v>
      </c>
      <c r="E28" s="25" t="s">
        <v>516</v>
      </c>
      <c r="F28" s="25" t="s">
        <v>389</v>
      </c>
      <c r="G28" s="50">
        <v>13558.5</v>
      </c>
      <c r="H28" s="1"/>
      <c r="I28" s="6"/>
      <c r="J28" s="1"/>
      <c r="K28" s="1"/>
    </row>
    <row r="29" spans="1:11" x14ac:dyDescent="0.35">
      <c r="A29" s="1"/>
      <c r="B29" s="9"/>
      <c r="C29" s="25" t="s">
        <v>516</v>
      </c>
      <c r="D29" s="25">
        <v>459</v>
      </c>
      <c r="E29" s="25" t="s">
        <v>516</v>
      </c>
      <c r="F29" s="25" t="s">
        <v>389</v>
      </c>
      <c r="G29" s="50">
        <v>13562.710426</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1062</v>
      </c>
      <c r="D5" s="23" t="s">
        <v>738</v>
      </c>
      <c r="E5" s="23" t="s">
        <v>1064</v>
      </c>
      <c r="F5" s="23" t="s">
        <v>643</v>
      </c>
      <c r="G5" s="1"/>
      <c r="H5" s="6"/>
      <c r="I5" s="1"/>
      <c r="J5" s="1"/>
    </row>
    <row r="6" spans="1:10" x14ac:dyDescent="0.35">
      <c r="A6" s="1"/>
      <c r="B6" s="5"/>
      <c r="C6" s="25" t="s">
        <v>337</v>
      </c>
      <c r="D6" s="25" t="s">
        <v>1065</v>
      </c>
      <c r="E6" s="50">
        <v>4</v>
      </c>
      <c r="F6" s="50">
        <v>70136.3</v>
      </c>
      <c r="G6" s="1"/>
      <c r="H6" s="6"/>
      <c r="I6" s="1"/>
      <c r="J6" s="1"/>
    </row>
    <row r="7" spans="1:10" x14ac:dyDescent="0.35">
      <c r="A7" s="1"/>
      <c r="B7" s="5"/>
      <c r="C7" s="25" t="s">
        <v>345</v>
      </c>
      <c r="D7" s="25" t="s">
        <v>1065</v>
      </c>
      <c r="E7" s="50">
        <v>1</v>
      </c>
      <c r="F7" s="50">
        <v>2102.1725000000001</v>
      </c>
      <c r="G7" s="1"/>
      <c r="H7" s="6"/>
      <c r="I7" s="1"/>
      <c r="J7" s="1"/>
    </row>
    <row r="8" spans="1:10" x14ac:dyDescent="0.35">
      <c r="A8" s="1"/>
      <c r="B8" s="5"/>
      <c r="C8" s="25" t="s">
        <v>353</v>
      </c>
      <c r="D8" s="25" t="s">
        <v>1065</v>
      </c>
      <c r="E8" s="50">
        <v>3</v>
      </c>
      <c r="F8" s="50">
        <v>38630.027499999997</v>
      </c>
      <c r="G8" s="1"/>
      <c r="H8" s="6"/>
      <c r="I8" s="1"/>
      <c r="J8" s="1"/>
    </row>
    <row r="9" spans="1:10" x14ac:dyDescent="0.3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3"/>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647</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742</v>
      </c>
      <c r="E7" s="75"/>
      <c r="F7" s="75"/>
      <c r="G7" s="75"/>
      <c r="H7" s="76"/>
      <c r="I7" s="1"/>
      <c r="J7" s="6"/>
      <c r="K7" s="1"/>
      <c r="L7" s="1"/>
    </row>
    <row r="8" spans="1:12" x14ac:dyDescent="0.35">
      <c r="A8" s="1"/>
      <c r="B8" s="5"/>
      <c r="C8" s="67"/>
      <c r="D8" s="24" t="s">
        <v>619</v>
      </c>
      <c r="E8" s="24" t="s">
        <v>620</v>
      </c>
      <c r="F8" s="24" t="s">
        <v>621</v>
      </c>
      <c r="G8" s="24" t="s">
        <v>622</v>
      </c>
      <c r="H8" s="24" t="s">
        <v>649</v>
      </c>
      <c r="I8" s="1"/>
      <c r="J8" s="6"/>
      <c r="K8" s="1"/>
      <c r="L8" s="1"/>
    </row>
    <row r="9" spans="1:12" x14ac:dyDescent="0.35">
      <c r="A9" s="1"/>
      <c r="B9" s="5"/>
      <c r="C9" s="25" t="s">
        <v>1066</v>
      </c>
      <c r="D9" s="50">
        <v>1509.783925</v>
      </c>
      <c r="E9" s="50">
        <v>0</v>
      </c>
      <c r="F9" s="50">
        <v>0</v>
      </c>
      <c r="G9" s="50">
        <v>0</v>
      </c>
      <c r="H9" s="50">
        <v>0</v>
      </c>
      <c r="I9" s="1"/>
      <c r="J9" s="6"/>
      <c r="K9" s="1"/>
      <c r="L9" s="1"/>
    </row>
    <row r="10" spans="1:12" x14ac:dyDescent="0.35">
      <c r="A10" s="1"/>
      <c r="B10" s="5"/>
      <c r="C10" s="25" t="s">
        <v>1067</v>
      </c>
      <c r="D10" s="50">
        <v>0</v>
      </c>
      <c r="E10" s="50">
        <v>0</v>
      </c>
      <c r="F10" s="50">
        <v>7114.087982</v>
      </c>
      <c r="G10" s="50">
        <v>0</v>
      </c>
      <c r="H10" s="50">
        <v>0</v>
      </c>
      <c r="I10" s="1"/>
      <c r="J10" s="6"/>
      <c r="K10" s="1"/>
      <c r="L10" s="1"/>
    </row>
    <row r="11" spans="1:12" x14ac:dyDescent="0.35">
      <c r="A11" s="1"/>
      <c r="B11" s="5"/>
      <c r="C11" s="25" t="s">
        <v>1068</v>
      </c>
      <c r="D11" s="50">
        <v>1009.015974</v>
      </c>
      <c r="E11" s="50">
        <v>0</v>
      </c>
      <c r="F11" s="50">
        <v>0</v>
      </c>
      <c r="G11" s="50">
        <v>0</v>
      </c>
      <c r="H11" s="50">
        <v>0</v>
      </c>
      <c r="I11" s="1"/>
      <c r="J11" s="6"/>
      <c r="K11" s="1"/>
      <c r="L11" s="1"/>
    </row>
    <row r="12" spans="1:12" x14ac:dyDescent="0.35">
      <c r="A12" s="1"/>
      <c r="B12" s="5"/>
      <c r="C12" s="25" t="s">
        <v>1069</v>
      </c>
      <c r="D12" s="50">
        <v>0</v>
      </c>
      <c r="E12" s="50">
        <v>489.31222400000001</v>
      </c>
      <c r="F12" s="50">
        <v>0</v>
      </c>
      <c r="G12" s="50">
        <v>0</v>
      </c>
      <c r="H12" s="50">
        <v>0</v>
      </c>
      <c r="I12" s="1"/>
      <c r="J12" s="6"/>
      <c r="K12" s="1"/>
      <c r="L12" s="1"/>
    </row>
    <row r="13" spans="1:12" x14ac:dyDescent="0.35">
      <c r="A13" s="1"/>
      <c r="B13" s="5"/>
      <c r="C13" s="25" t="s">
        <v>749</v>
      </c>
      <c r="D13" s="50">
        <v>502.01531199999999</v>
      </c>
      <c r="E13" s="50">
        <v>0</v>
      </c>
      <c r="F13" s="50">
        <v>0</v>
      </c>
      <c r="G13" s="50">
        <v>0</v>
      </c>
      <c r="H13" s="50">
        <v>0</v>
      </c>
      <c r="I13" s="1"/>
      <c r="J13" s="6"/>
      <c r="K13" s="1"/>
      <c r="L13" s="1"/>
    </row>
    <row r="14" spans="1:12" x14ac:dyDescent="0.35">
      <c r="A14" s="1"/>
      <c r="B14" s="5"/>
      <c r="C14" s="25" t="s">
        <v>753</v>
      </c>
      <c r="D14" s="50">
        <v>0</v>
      </c>
      <c r="E14" s="50">
        <v>1021.740512</v>
      </c>
      <c r="F14" s="50">
        <v>0</v>
      </c>
      <c r="G14" s="50">
        <v>0</v>
      </c>
      <c r="H14" s="50">
        <v>0</v>
      </c>
      <c r="I14" s="1"/>
      <c r="J14" s="6"/>
      <c r="K14" s="1"/>
      <c r="L14" s="1"/>
    </row>
    <row r="15" spans="1:12" x14ac:dyDescent="0.35">
      <c r="A15" s="1"/>
      <c r="B15" s="5"/>
      <c r="C15" s="25" t="s">
        <v>1070</v>
      </c>
      <c r="D15" s="50">
        <v>0</v>
      </c>
      <c r="E15" s="50">
        <v>140.85229699999999</v>
      </c>
      <c r="F15" s="50">
        <v>0</v>
      </c>
      <c r="G15" s="50">
        <v>0</v>
      </c>
      <c r="H15" s="50">
        <v>0</v>
      </c>
      <c r="I15" s="1"/>
      <c r="J15" s="6"/>
      <c r="K15" s="1"/>
      <c r="L15" s="1"/>
    </row>
    <row r="16" spans="1:12" x14ac:dyDescent="0.35">
      <c r="A16" s="1"/>
      <c r="B16" s="5"/>
      <c r="C16" s="25" t="s">
        <v>1071</v>
      </c>
      <c r="D16" s="50">
        <v>0</v>
      </c>
      <c r="E16" s="50">
        <v>0</v>
      </c>
      <c r="F16" s="50">
        <v>95.287244999999999</v>
      </c>
      <c r="G16" s="50">
        <v>0</v>
      </c>
      <c r="H16" s="50">
        <v>0</v>
      </c>
      <c r="I16" s="1"/>
      <c r="J16" s="6"/>
      <c r="K16" s="1"/>
      <c r="L16" s="1"/>
    </row>
    <row r="17" spans="1:12" x14ac:dyDescent="0.35">
      <c r="A17" s="1"/>
      <c r="B17" s="5"/>
      <c r="C17" s="25" t="s">
        <v>1072</v>
      </c>
      <c r="D17" s="50">
        <v>0</v>
      </c>
      <c r="E17" s="50">
        <v>161.388317</v>
      </c>
      <c r="F17" s="50">
        <v>484.39784400000002</v>
      </c>
      <c r="G17" s="50">
        <v>0</v>
      </c>
      <c r="H17" s="50">
        <v>0</v>
      </c>
      <c r="I17" s="1"/>
      <c r="J17" s="6"/>
      <c r="K17" s="1"/>
      <c r="L17" s="1"/>
    </row>
    <row r="18" spans="1:12" x14ac:dyDescent="0.35">
      <c r="A18" s="1"/>
      <c r="B18" s="5"/>
      <c r="C18" s="25" t="s">
        <v>1073</v>
      </c>
      <c r="D18" s="50">
        <v>1484.0026909999999</v>
      </c>
      <c r="E18" s="50">
        <v>189.643631</v>
      </c>
      <c r="F18" s="50">
        <v>0</v>
      </c>
      <c r="G18" s="50">
        <v>0</v>
      </c>
      <c r="H18" s="50">
        <v>0</v>
      </c>
      <c r="I18" s="1"/>
      <c r="J18" s="6"/>
      <c r="K18" s="1"/>
      <c r="L18" s="1"/>
    </row>
    <row r="19" spans="1:12" x14ac:dyDescent="0.35">
      <c r="A19" s="1"/>
      <c r="B19" s="5"/>
      <c r="C19" s="25" t="s">
        <v>1074</v>
      </c>
      <c r="D19" s="50">
        <v>245.395803</v>
      </c>
      <c r="E19" s="50">
        <v>0</v>
      </c>
      <c r="F19" s="50">
        <v>0</v>
      </c>
      <c r="G19" s="50">
        <v>0</v>
      </c>
      <c r="H19" s="50">
        <v>0</v>
      </c>
      <c r="I19" s="1"/>
      <c r="J19" s="6"/>
      <c r="K19" s="1"/>
      <c r="L19" s="1"/>
    </row>
    <row r="20" spans="1:12" x14ac:dyDescent="0.35">
      <c r="A20" s="1"/>
      <c r="B20" s="5"/>
      <c r="C20" s="25" t="s">
        <v>1075</v>
      </c>
      <c r="D20" s="50">
        <v>5506.4451209999997</v>
      </c>
      <c r="E20" s="50">
        <v>0</v>
      </c>
      <c r="F20" s="50">
        <v>0</v>
      </c>
      <c r="G20" s="50">
        <v>0</v>
      </c>
      <c r="H20" s="50">
        <v>0</v>
      </c>
      <c r="I20" s="1"/>
      <c r="J20" s="6"/>
      <c r="K20" s="1"/>
      <c r="L20" s="1"/>
    </row>
    <row r="21" spans="1:12" x14ac:dyDescent="0.35">
      <c r="A21" s="1"/>
      <c r="B21" s="5"/>
      <c r="C21" s="25" t="s">
        <v>1076</v>
      </c>
      <c r="D21" s="50">
        <v>513.20985399999995</v>
      </c>
      <c r="E21" s="50">
        <v>0</v>
      </c>
      <c r="F21" s="50">
        <v>0</v>
      </c>
      <c r="G21" s="50">
        <v>0</v>
      </c>
      <c r="H21" s="50">
        <v>0</v>
      </c>
      <c r="I21" s="1"/>
      <c r="J21" s="6"/>
      <c r="K21" s="1"/>
      <c r="L21" s="1"/>
    </row>
    <row r="22" spans="1:12" x14ac:dyDescent="0.35">
      <c r="A22" s="1"/>
      <c r="B22" s="5"/>
      <c r="C22" s="25" t="s">
        <v>682</v>
      </c>
      <c r="D22" s="50">
        <v>35356.155743000003</v>
      </c>
      <c r="E22" s="50">
        <v>0</v>
      </c>
      <c r="F22" s="50">
        <v>0</v>
      </c>
      <c r="G22" s="50">
        <v>0</v>
      </c>
      <c r="H22" s="50">
        <v>0</v>
      </c>
      <c r="I22" s="1"/>
      <c r="J22" s="6"/>
      <c r="K22" s="1"/>
      <c r="L22" s="1"/>
    </row>
    <row r="23" spans="1:12" x14ac:dyDescent="0.35">
      <c r="A23" s="1"/>
      <c r="B23" s="5"/>
      <c r="C23" s="25" t="s">
        <v>777</v>
      </c>
      <c r="D23" s="50">
        <v>7677.9848490000004</v>
      </c>
      <c r="E23" s="50">
        <v>0</v>
      </c>
      <c r="F23" s="50">
        <v>318.61056600000001</v>
      </c>
      <c r="G23" s="50">
        <v>0</v>
      </c>
      <c r="H23" s="50">
        <v>0</v>
      </c>
      <c r="I23" s="1"/>
      <c r="J23" s="6"/>
      <c r="K23" s="1"/>
      <c r="L23" s="1"/>
    </row>
    <row r="24" spans="1:12" x14ac:dyDescent="0.35">
      <c r="A24" s="1"/>
      <c r="B24" s="5"/>
      <c r="C24" s="25" t="s">
        <v>782</v>
      </c>
      <c r="D24" s="50">
        <v>4580.7812709999998</v>
      </c>
      <c r="E24" s="50">
        <v>0</v>
      </c>
      <c r="F24" s="50">
        <v>0</v>
      </c>
      <c r="G24" s="50">
        <v>0</v>
      </c>
      <c r="H24" s="50">
        <v>0</v>
      </c>
      <c r="I24" s="1"/>
      <c r="J24" s="6"/>
      <c r="K24" s="1"/>
      <c r="L24" s="1"/>
    </row>
    <row r="25" spans="1:12" x14ac:dyDescent="0.35">
      <c r="A25" s="1"/>
      <c r="B25" s="5"/>
      <c r="C25" s="25" t="s">
        <v>791</v>
      </c>
      <c r="D25" s="50">
        <v>20622.745148000002</v>
      </c>
      <c r="E25" s="50">
        <v>0</v>
      </c>
      <c r="F25" s="50">
        <v>0</v>
      </c>
      <c r="G25" s="50">
        <v>0</v>
      </c>
      <c r="H25" s="50">
        <v>358.89110899999997</v>
      </c>
      <c r="I25" s="1"/>
      <c r="J25" s="6"/>
      <c r="K25" s="1"/>
      <c r="L25" s="1"/>
    </row>
    <row r="26" spans="1:12" x14ac:dyDescent="0.35">
      <c r="A26" s="1"/>
      <c r="B26" s="5"/>
      <c r="C26" s="25" t="s">
        <v>807</v>
      </c>
      <c r="D26" s="50">
        <v>7587.3266270000004</v>
      </c>
      <c r="E26" s="50">
        <v>0</v>
      </c>
      <c r="F26" s="50">
        <v>0</v>
      </c>
      <c r="G26" s="50">
        <v>0</v>
      </c>
      <c r="H26" s="50">
        <v>0</v>
      </c>
      <c r="I26" s="1"/>
      <c r="J26" s="6"/>
      <c r="K26" s="1"/>
      <c r="L26" s="1"/>
    </row>
    <row r="27" spans="1:12" x14ac:dyDescent="0.35">
      <c r="A27" s="1"/>
      <c r="B27" s="5"/>
      <c r="C27" s="25" t="s">
        <v>707</v>
      </c>
      <c r="D27" s="50">
        <v>2473.787108</v>
      </c>
      <c r="E27" s="50">
        <v>0</v>
      </c>
      <c r="F27" s="50">
        <v>0</v>
      </c>
      <c r="G27" s="50">
        <v>0</v>
      </c>
      <c r="H27" s="50">
        <v>0</v>
      </c>
      <c r="I27" s="1"/>
      <c r="J27" s="6"/>
      <c r="K27" s="1"/>
      <c r="L27" s="1"/>
    </row>
    <row r="28" spans="1:12" x14ac:dyDescent="0.35">
      <c r="A28" s="1"/>
      <c r="B28" s="5"/>
      <c r="C28" s="25" t="s">
        <v>714</v>
      </c>
      <c r="D28" s="50">
        <v>3503.9163100000001</v>
      </c>
      <c r="E28" s="50">
        <v>0</v>
      </c>
      <c r="F28" s="50">
        <v>0</v>
      </c>
      <c r="G28" s="50">
        <v>0</v>
      </c>
      <c r="H28" s="50">
        <v>0</v>
      </c>
      <c r="I28" s="1"/>
      <c r="J28" s="6"/>
      <c r="K28" s="1"/>
      <c r="L28" s="1"/>
    </row>
    <row r="29" spans="1:12" x14ac:dyDescent="0.35">
      <c r="A29" s="1"/>
      <c r="B29" s="5"/>
      <c r="C29" s="25" t="s">
        <v>716</v>
      </c>
      <c r="D29" s="50">
        <v>12474.958472</v>
      </c>
      <c r="E29" s="50">
        <v>0</v>
      </c>
      <c r="F29" s="50">
        <v>504.93725000000001</v>
      </c>
      <c r="G29" s="50">
        <v>0</v>
      </c>
      <c r="H29" s="50">
        <v>0</v>
      </c>
      <c r="I29" s="1"/>
      <c r="J29" s="6"/>
      <c r="K29" s="1"/>
      <c r="L29" s="1"/>
    </row>
    <row r="30" spans="1:12" x14ac:dyDescent="0.35">
      <c r="A30" s="1"/>
      <c r="B30" s="5"/>
      <c r="C30" s="25" t="s">
        <v>830</v>
      </c>
      <c r="D30" s="50">
        <v>2016.265502</v>
      </c>
      <c r="E30" s="50">
        <v>3028.256214</v>
      </c>
      <c r="F30" s="50">
        <v>0</v>
      </c>
      <c r="G30" s="50">
        <v>0</v>
      </c>
      <c r="H30" s="50">
        <v>0</v>
      </c>
      <c r="I30" s="1"/>
      <c r="J30" s="6"/>
      <c r="K30" s="1"/>
      <c r="L30" s="1"/>
    </row>
    <row r="31" spans="1:12" x14ac:dyDescent="0.35">
      <c r="A31" s="1"/>
      <c r="B31" s="5"/>
      <c r="C31" s="25" t="s">
        <v>833</v>
      </c>
      <c r="D31" s="50">
        <v>18082.790514</v>
      </c>
      <c r="E31" s="50">
        <v>0</v>
      </c>
      <c r="F31" s="50">
        <v>0</v>
      </c>
      <c r="G31" s="50">
        <v>0</v>
      </c>
      <c r="H31" s="50">
        <v>0</v>
      </c>
      <c r="I31" s="1"/>
      <c r="J31" s="6"/>
      <c r="K31" s="1"/>
      <c r="L31" s="1"/>
    </row>
    <row r="32" spans="1:12" x14ac:dyDescent="0.35">
      <c r="A32" s="1"/>
      <c r="B32" s="5"/>
      <c r="C32" s="25" t="s">
        <v>844</v>
      </c>
      <c r="D32" s="50">
        <v>8432.8757650000007</v>
      </c>
      <c r="E32" s="50">
        <v>0</v>
      </c>
      <c r="F32" s="50">
        <v>0</v>
      </c>
      <c r="G32" s="50">
        <v>0</v>
      </c>
      <c r="H32" s="50">
        <v>0</v>
      </c>
      <c r="I32" s="1"/>
      <c r="J32" s="6"/>
      <c r="K32" s="1"/>
      <c r="L32" s="1"/>
    </row>
    <row r="33" spans="1:12" x14ac:dyDescent="0.35">
      <c r="A33" s="1"/>
      <c r="B33" s="5"/>
      <c r="C33" s="25" t="s">
        <v>724</v>
      </c>
      <c r="D33" s="50">
        <v>17350.166667000001</v>
      </c>
      <c r="E33" s="50">
        <v>0</v>
      </c>
      <c r="F33" s="50">
        <v>0</v>
      </c>
      <c r="G33" s="50">
        <v>0</v>
      </c>
      <c r="H33" s="50">
        <v>0</v>
      </c>
      <c r="I33" s="1"/>
      <c r="J33" s="6"/>
      <c r="K33" s="1"/>
      <c r="L33" s="1"/>
    </row>
    <row r="34" spans="1:12" x14ac:dyDescent="0.35">
      <c r="A34" s="1"/>
      <c r="B34" s="5"/>
      <c r="C34" s="25" t="s">
        <v>852</v>
      </c>
      <c r="D34" s="50">
        <v>15430.119006000001</v>
      </c>
      <c r="E34" s="50">
        <v>0</v>
      </c>
      <c r="F34" s="50">
        <v>0</v>
      </c>
      <c r="G34" s="50">
        <v>0</v>
      </c>
      <c r="H34" s="50">
        <v>0</v>
      </c>
      <c r="I34" s="1"/>
      <c r="J34" s="6"/>
      <c r="K34" s="1"/>
      <c r="L34" s="1"/>
    </row>
    <row r="35" spans="1:12" x14ac:dyDescent="0.35">
      <c r="A35" s="1"/>
      <c r="B35" s="5"/>
      <c r="C35" s="25" t="s">
        <v>1016</v>
      </c>
      <c r="D35" s="50">
        <v>29224.321914</v>
      </c>
      <c r="E35" s="50">
        <v>0</v>
      </c>
      <c r="F35" s="50">
        <v>0</v>
      </c>
      <c r="G35" s="50">
        <v>0</v>
      </c>
      <c r="H35" s="50">
        <v>0</v>
      </c>
      <c r="I35" s="1"/>
      <c r="J35" s="6"/>
      <c r="K35" s="1"/>
      <c r="L35" s="1"/>
    </row>
    <row r="36" spans="1:12" x14ac:dyDescent="0.35">
      <c r="A36" s="1"/>
      <c r="B36" s="5"/>
      <c r="C36" s="25" t="s">
        <v>861</v>
      </c>
      <c r="D36" s="50">
        <v>80164.230689999997</v>
      </c>
      <c r="E36" s="50">
        <v>0</v>
      </c>
      <c r="F36" s="50">
        <v>0</v>
      </c>
      <c r="G36" s="50">
        <v>0</v>
      </c>
      <c r="H36" s="50">
        <v>0</v>
      </c>
      <c r="I36" s="1"/>
      <c r="J36" s="6"/>
      <c r="K36" s="1"/>
      <c r="L36" s="1"/>
    </row>
    <row r="37" spans="1:12" x14ac:dyDescent="0.35">
      <c r="A37" s="1"/>
      <c r="B37" s="5"/>
      <c r="C37" s="25" t="s">
        <v>1077</v>
      </c>
      <c r="D37" s="50">
        <v>0</v>
      </c>
      <c r="E37" s="50">
        <v>0</v>
      </c>
      <c r="F37" s="50">
        <v>0</v>
      </c>
      <c r="G37" s="50">
        <v>133.816712</v>
      </c>
      <c r="H37" s="50">
        <v>0</v>
      </c>
      <c r="I37" s="1"/>
      <c r="J37" s="6"/>
      <c r="K37" s="1"/>
      <c r="L37" s="1"/>
    </row>
    <row r="38" spans="1:12" x14ac:dyDescent="0.35">
      <c r="A38" s="1"/>
      <c r="B38" s="5"/>
      <c r="C38" s="25" t="s">
        <v>333</v>
      </c>
      <c r="D38" s="50">
        <v>6273815.982206</v>
      </c>
      <c r="E38" s="50">
        <v>829295.81455699995</v>
      </c>
      <c r="F38" s="50">
        <v>10763.85644</v>
      </c>
      <c r="G38" s="50">
        <v>0</v>
      </c>
      <c r="H38" s="50">
        <v>0</v>
      </c>
      <c r="I38" s="1"/>
      <c r="J38" s="6"/>
      <c r="K38" s="1"/>
      <c r="L38" s="1"/>
    </row>
    <row r="39" spans="1:12" x14ac:dyDescent="0.35">
      <c r="A39" s="1"/>
      <c r="B39" s="5"/>
      <c r="C39" s="25" t="s">
        <v>337</v>
      </c>
      <c r="D39" s="50">
        <v>844919.36926199996</v>
      </c>
      <c r="E39" s="50">
        <v>615407.91950900003</v>
      </c>
      <c r="F39" s="50">
        <v>17896.931283999998</v>
      </c>
      <c r="G39" s="50">
        <v>0</v>
      </c>
      <c r="H39" s="50">
        <v>519.32912899999997</v>
      </c>
      <c r="I39" s="1"/>
      <c r="J39" s="6"/>
      <c r="K39" s="1"/>
      <c r="L39" s="1"/>
    </row>
    <row r="40" spans="1:12" x14ac:dyDescent="0.35">
      <c r="A40" s="1"/>
      <c r="B40" s="5"/>
      <c r="C40" s="25" t="s">
        <v>341</v>
      </c>
      <c r="D40" s="50">
        <v>954170.90413899999</v>
      </c>
      <c r="E40" s="50">
        <v>759772.558861</v>
      </c>
      <c r="F40" s="50">
        <v>3414.6946870000002</v>
      </c>
      <c r="G40" s="50">
        <v>0</v>
      </c>
      <c r="H40" s="50">
        <v>0</v>
      </c>
      <c r="I40" s="1"/>
      <c r="J40" s="6"/>
      <c r="K40" s="1"/>
      <c r="L40" s="1"/>
    </row>
    <row r="41" spans="1:12" x14ac:dyDescent="0.35">
      <c r="A41" s="1"/>
      <c r="B41" s="5"/>
      <c r="C41" s="25" t="s">
        <v>345</v>
      </c>
      <c r="D41" s="50">
        <v>129965.53926600001</v>
      </c>
      <c r="E41" s="50">
        <v>0</v>
      </c>
      <c r="F41" s="50">
        <v>0</v>
      </c>
      <c r="G41" s="50">
        <v>0</v>
      </c>
      <c r="H41" s="50">
        <v>0</v>
      </c>
      <c r="I41" s="1"/>
      <c r="J41" s="6"/>
      <c r="K41" s="1"/>
      <c r="L41" s="1"/>
    </row>
    <row r="42" spans="1:12" x14ac:dyDescent="0.35">
      <c r="A42" s="1"/>
      <c r="B42" s="5"/>
      <c r="C42" s="25" t="s">
        <v>349</v>
      </c>
      <c r="D42" s="50">
        <v>145400.71815100001</v>
      </c>
      <c r="E42" s="50">
        <v>0</v>
      </c>
      <c r="F42" s="50">
        <v>0</v>
      </c>
      <c r="G42" s="50">
        <v>0</v>
      </c>
      <c r="H42" s="50">
        <v>0</v>
      </c>
      <c r="I42" s="1"/>
      <c r="J42" s="6"/>
      <c r="K42" s="1"/>
      <c r="L42" s="1"/>
    </row>
    <row r="43" spans="1:12" x14ac:dyDescent="0.35">
      <c r="A43" s="1"/>
      <c r="B43" s="5"/>
      <c r="C43" s="25" t="s">
        <v>353</v>
      </c>
      <c r="D43" s="50">
        <v>135418.66712999999</v>
      </c>
      <c r="E43" s="50">
        <v>0</v>
      </c>
      <c r="F43" s="50">
        <v>0</v>
      </c>
      <c r="G43" s="50">
        <v>0</v>
      </c>
      <c r="H43" s="50">
        <v>0</v>
      </c>
      <c r="I43" s="1"/>
      <c r="J43" s="6"/>
      <c r="K43" s="1"/>
      <c r="L43" s="1"/>
    </row>
    <row r="44" spans="1:12" x14ac:dyDescent="0.35">
      <c r="A44" s="1"/>
      <c r="B44" s="5"/>
      <c r="C44" s="25" t="s">
        <v>1078</v>
      </c>
      <c r="D44" s="50">
        <v>15025.361299</v>
      </c>
      <c r="E44" s="50">
        <v>0</v>
      </c>
      <c r="F44" s="50">
        <v>0</v>
      </c>
      <c r="G44" s="50">
        <v>0</v>
      </c>
      <c r="H44" s="50">
        <v>0</v>
      </c>
      <c r="I44" s="1"/>
      <c r="J44" s="6"/>
      <c r="K44" s="1"/>
      <c r="L44" s="1"/>
    </row>
    <row r="45" spans="1:12" x14ac:dyDescent="0.35">
      <c r="A45" s="1"/>
      <c r="B45" s="5"/>
      <c r="C45" s="25" t="s">
        <v>357</v>
      </c>
      <c r="D45" s="50">
        <v>1348.4826250000001</v>
      </c>
      <c r="E45" s="50">
        <v>0</v>
      </c>
      <c r="F45" s="50">
        <v>131.439987</v>
      </c>
      <c r="G45" s="50">
        <v>244.04581099999999</v>
      </c>
      <c r="H45" s="50">
        <v>1446.1331299999999</v>
      </c>
      <c r="I45" s="1"/>
      <c r="J45" s="6"/>
      <c r="K45" s="1"/>
      <c r="L45" s="1"/>
    </row>
    <row r="46" spans="1:12" x14ac:dyDescent="0.35">
      <c r="A46" s="1"/>
      <c r="B46" s="5"/>
      <c r="C46" s="25" t="s">
        <v>361</v>
      </c>
      <c r="D46" s="50">
        <v>190332.03995400001</v>
      </c>
      <c r="E46" s="50">
        <v>190502.99246000001</v>
      </c>
      <c r="F46" s="50">
        <v>1843.6080899999999</v>
      </c>
      <c r="G46" s="50">
        <v>0</v>
      </c>
      <c r="H46" s="50">
        <v>0</v>
      </c>
      <c r="I46" s="1"/>
      <c r="J46" s="6"/>
      <c r="K46" s="1"/>
      <c r="L46" s="1"/>
    </row>
    <row r="47" spans="1:12" x14ac:dyDescent="0.35">
      <c r="A47" s="1"/>
      <c r="B47" s="5"/>
      <c r="C47" s="25" t="s">
        <v>369</v>
      </c>
      <c r="D47" s="50">
        <v>3101927.5140920002</v>
      </c>
      <c r="E47" s="50">
        <v>863787.60451099998</v>
      </c>
      <c r="F47" s="50">
        <v>0</v>
      </c>
      <c r="G47" s="50">
        <v>381.81394999999998</v>
      </c>
      <c r="H47" s="50">
        <v>0</v>
      </c>
      <c r="I47" s="1"/>
      <c r="J47" s="6"/>
      <c r="K47" s="1"/>
      <c r="L47" s="1"/>
    </row>
    <row r="48" spans="1:12" x14ac:dyDescent="0.35">
      <c r="A48" s="1"/>
      <c r="B48" s="5"/>
      <c r="C48" s="25" t="s">
        <v>373</v>
      </c>
      <c r="D48" s="50">
        <v>451616.07707599999</v>
      </c>
      <c r="E48" s="50">
        <v>6587.4967829999996</v>
      </c>
      <c r="F48" s="50">
        <v>0</v>
      </c>
      <c r="G48" s="50">
        <v>0</v>
      </c>
      <c r="H48" s="50">
        <v>0</v>
      </c>
      <c r="I48" s="1"/>
      <c r="J48" s="6"/>
      <c r="K48" s="1"/>
      <c r="L48" s="1"/>
    </row>
    <row r="49" spans="1:12" x14ac:dyDescent="0.35">
      <c r="A49" s="1"/>
      <c r="B49" s="5"/>
      <c r="C49" s="25" t="s">
        <v>377</v>
      </c>
      <c r="D49" s="50">
        <v>7917.9477379999998</v>
      </c>
      <c r="E49" s="50">
        <v>4748.7147590000004</v>
      </c>
      <c r="F49" s="50">
        <v>0</v>
      </c>
      <c r="G49" s="50">
        <v>0</v>
      </c>
      <c r="H49" s="50">
        <v>0</v>
      </c>
      <c r="I49" s="1"/>
      <c r="J49" s="6"/>
      <c r="K49" s="1"/>
      <c r="L49" s="1"/>
    </row>
    <row r="50" spans="1:12" x14ac:dyDescent="0.35">
      <c r="A50" s="1"/>
      <c r="B50" s="5"/>
      <c r="C50" s="25" t="s">
        <v>381</v>
      </c>
      <c r="D50" s="50">
        <v>6101.5516740000003</v>
      </c>
      <c r="E50" s="50">
        <v>1629.930433</v>
      </c>
      <c r="F50" s="50">
        <v>283.33124900000001</v>
      </c>
      <c r="G50" s="50">
        <v>0</v>
      </c>
      <c r="H50" s="50">
        <v>0</v>
      </c>
      <c r="I50" s="1"/>
      <c r="J50" s="6"/>
      <c r="K50" s="1"/>
      <c r="L50" s="1"/>
    </row>
    <row r="51" spans="1:12" x14ac:dyDescent="0.35">
      <c r="A51" s="1"/>
      <c r="B51" s="5"/>
      <c r="C51" s="25" t="s">
        <v>385</v>
      </c>
      <c r="D51" s="50">
        <v>194735.90908300001</v>
      </c>
      <c r="E51" s="50">
        <v>89346.583125999998</v>
      </c>
      <c r="F51" s="50">
        <v>0</v>
      </c>
      <c r="G51" s="50">
        <v>0</v>
      </c>
      <c r="H51" s="50">
        <v>0</v>
      </c>
      <c r="I51" s="1"/>
      <c r="J51" s="6"/>
      <c r="K51" s="1"/>
      <c r="L51" s="1"/>
    </row>
    <row r="52" spans="1:12" x14ac:dyDescent="0.35">
      <c r="A52" s="1"/>
      <c r="B52" s="5"/>
      <c r="C52" s="25" t="s">
        <v>389</v>
      </c>
      <c r="D52" s="50">
        <v>59025.212921999999</v>
      </c>
      <c r="E52" s="50">
        <v>19732.352267999999</v>
      </c>
      <c r="F52" s="50">
        <v>0</v>
      </c>
      <c r="G52" s="50">
        <v>0</v>
      </c>
      <c r="H52" s="50">
        <v>0</v>
      </c>
      <c r="I52" s="1"/>
      <c r="J52" s="6"/>
      <c r="K52" s="1"/>
      <c r="L52" s="1"/>
    </row>
    <row r="53" spans="1:12" x14ac:dyDescent="0.35">
      <c r="A53" s="1"/>
      <c r="B53" s="5"/>
      <c r="C53" s="25" t="s">
        <v>393</v>
      </c>
      <c r="D53" s="50">
        <v>229592.65318200001</v>
      </c>
      <c r="E53" s="50">
        <v>179063.02832700001</v>
      </c>
      <c r="F53" s="50">
        <v>0</v>
      </c>
      <c r="G53" s="50">
        <v>0</v>
      </c>
      <c r="H53" s="50">
        <v>0</v>
      </c>
      <c r="I53" s="1"/>
      <c r="J53" s="6"/>
      <c r="K53" s="1"/>
      <c r="L53" s="1"/>
    </row>
    <row r="54" spans="1:12" x14ac:dyDescent="0.35">
      <c r="A54" s="1"/>
      <c r="B54" s="5"/>
      <c r="C54" s="25" t="s">
        <v>429</v>
      </c>
      <c r="D54" s="50">
        <v>17599.594012000001</v>
      </c>
      <c r="E54" s="50">
        <v>0</v>
      </c>
      <c r="F54" s="50">
        <v>0</v>
      </c>
      <c r="G54" s="50">
        <v>0</v>
      </c>
      <c r="H54" s="50">
        <v>0</v>
      </c>
      <c r="I54" s="1"/>
      <c r="J54" s="6"/>
      <c r="K54" s="1"/>
      <c r="L54" s="1"/>
    </row>
    <row r="55" spans="1:12" x14ac:dyDescent="0.35">
      <c r="A55" s="1"/>
      <c r="B55" s="5"/>
      <c r="C55" s="25" t="s">
        <v>433</v>
      </c>
      <c r="D55" s="50">
        <v>198000.10332699999</v>
      </c>
      <c r="E55" s="50">
        <v>19168.513462999999</v>
      </c>
      <c r="F55" s="50">
        <v>308.501689</v>
      </c>
      <c r="G55" s="50">
        <v>0</v>
      </c>
      <c r="H55" s="50">
        <v>0</v>
      </c>
      <c r="I55" s="1"/>
      <c r="J55" s="6"/>
      <c r="K55" s="1"/>
      <c r="L55" s="1"/>
    </row>
    <row r="56" spans="1:12" x14ac:dyDescent="0.35">
      <c r="A56" s="1"/>
      <c r="B56" s="5"/>
      <c r="C56" s="25" t="s">
        <v>899</v>
      </c>
      <c r="D56" s="50">
        <v>576965.568722</v>
      </c>
      <c r="E56" s="50">
        <v>11601.291563999999</v>
      </c>
      <c r="F56" s="50">
        <v>0</v>
      </c>
      <c r="G56" s="50">
        <v>0</v>
      </c>
      <c r="H56" s="50">
        <v>0</v>
      </c>
      <c r="I56" s="1"/>
      <c r="J56" s="6"/>
      <c r="K56" s="1"/>
      <c r="L56" s="1"/>
    </row>
    <row r="57" spans="1:12" x14ac:dyDescent="0.35">
      <c r="A57" s="1"/>
      <c r="B57" s="5"/>
      <c r="C57" s="25" t="s">
        <v>437</v>
      </c>
      <c r="D57" s="50">
        <v>0</v>
      </c>
      <c r="E57" s="50">
        <v>43285.286950000002</v>
      </c>
      <c r="F57" s="50">
        <v>34140.859605999998</v>
      </c>
      <c r="G57" s="50">
        <v>0</v>
      </c>
      <c r="H57" s="50">
        <v>0</v>
      </c>
      <c r="I57" s="1"/>
      <c r="J57" s="6"/>
      <c r="K57" s="1"/>
      <c r="L57" s="1"/>
    </row>
    <row r="58" spans="1:12" x14ac:dyDescent="0.35">
      <c r="A58" s="1"/>
      <c r="B58" s="5"/>
      <c r="C58" s="25" t="s">
        <v>441</v>
      </c>
      <c r="D58" s="50">
        <v>42672.861025999999</v>
      </c>
      <c r="E58" s="50">
        <v>60704.534499000001</v>
      </c>
      <c r="F58" s="50">
        <v>24348.015146000002</v>
      </c>
      <c r="G58" s="50">
        <v>0</v>
      </c>
      <c r="H58" s="50">
        <v>0</v>
      </c>
      <c r="I58" s="1"/>
      <c r="J58" s="6"/>
      <c r="K58" s="1"/>
      <c r="L58" s="1"/>
    </row>
    <row r="59" spans="1:12" x14ac:dyDescent="0.35">
      <c r="A59" s="1"/>
      <c r="B59" s="5"/>
      <c r="C59" s="25" t="s">
        <v>445</v>
      </c>
      <c r="D59" s="50">
        <v>21080.479691</v>
      </c>
      <c r="E59" s="50">
        <v>0</v>
      </c>
      <c r="F59" s="50">
        <v>0</v>
      </c>
      <c r="G59" s="50">
        <v>0</v>
      </c>
      <c r="H59" s="50">
        <v>0</v>
      </c>
      <c r="I59" s="1"/>
      <c r="J59" s="6"/>
      <c r="K59" s="1"/>
      <c r="L59" s="1"/>
    </row>
    <row r="60" spans="1:12" x14ac:dyDescent="0.35">
      <c r="A60" s="1"/>
      <c r="B60" s="5"/>
      <c r="C60" s="25" t="s">
        <v>449</v>
      </c>
      <c r="D60" s="50">
        <v>144654.14002200001</v>
      </c>
      <c r="E60" s="50">
        <v>0</v>
      </c>
      <c r="F60" s="50">
        <v>0</v>
      </c>
      <c r="G60" s="50">
        <v>0</v>
      </c>
      <c r="H60" s="50">
        <v>0</v>
      </c>
      <c r="I60" s="1"/>
      <c r="J60" s="6"/>
      <c r="K60" s="1"/>
      <c r="L60" s="1"/>
    </row>
    <row r="61" spans="1:12" x14ac:dyDescent="0.35">
      <c r="A61" s="1"/>
      <c r="B61" s="5"/>
      <c r="C61" s="25" t="s">
        <v>453</v>
      </c>
      <c r="D61" s="50">
        <v>0</v>
      </c>
      <c r="E61" s="50">
        <v>130609.57244</v>
      </c>
      <c r="F61" s="50">
        <v>18785.442026000001</v>
      </c>
      <c r="G61" s="50">
        <v>0</v>
      </c>
      <c r="H61" s="50">
        <v>0</v>
      </c>
      <c r="I61" s="1"/>
      <c r="J61" s="6"/>
      <c r="K61" s="1"/>
      <c r="L61" s="1"/>
    </row>
    <row r="62" spans="1:12" x14ac:dyDescent="0.35">
      <c r="A62" s="1"/>
      <c r="B62" s="5"/>
      <c r="C62" s="25" t="s">
        <v>457</v>
      </c>
      <c r="D62" s="50">
        <v>44243.092293000002</v>
      </c>
      <c r="E62" s="50">
        <v>75681.181828000001</v>
      </c>
      <c r="F62" s="50">
        <v>17683.062838000002</v>
      </c>
      <c r="G62" s="50">
        <v>0</v>
      </c>
      <c r="H62" s="50">
        <v>0</v>
      </c>
      <c r="I62" s="1"/>
      <c r="J62" s="6"/>
      <c r="K62" s="1"/>
      <c r="L62" s="1"/>
    </row>
    <row r="63" spans="1:12" x14ac:dyDescent="0.35">
      <c r="A63" s="1"/>
      <c r="B63" s="9"/>
      <c r="C63" s="51" t="s">
        <v>609</v>
      </c>
      <c r="D63" s="53">
        <v>14062278.063158</v>
      </c>
      <c r="E63" s="53">
        <v>3905956.5695329998</v>
      </c>
      <c r="F63" s="53">
        <v>138117.063929</v>
      </c>
      <c r="G63" s="53">
        <v>759.67647299999999</v>
      </c>
      <c r="H63" s="53">
        <v>2324.353368</v>
      </c>
      <c r="I63" s="10"/>
      <c r="J63" s="11"/>
      <c r="K63" s="1"/>
      <c r="L63"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1079</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1080</v>
      </c>
      <c r="E7" s="34" t="s">
        <v>1081</v>
      </c>
      <c r="F7" s="34" t="s">
        <v>1082</v>
      </c>
      <c r="G7" s="34" t="s">
        <v>1083</v>
      </c>
      <c r="H7" s="34" t="s">
        <v>1084</v>
      </c>
      <c r="I7" s="34" t="s">
        <v>1085</v>
      </c>
      <c r="J7" s="34" t="s">
        <v>1086</v>
      </c>
      <c r="K7" s="34" t="s">
        <v>1065</v>
      </c>
      <c r="L7" s="1"/>
      <c r="M7" s="1"/>
    </row>
    <row r="8" spans="1:13" ht="56" x14ac:dyDescent="0.35">
      <c r="A8" s="1"/>
      <c r="B8" s="5"/>
      <c r="C8" s="65" t="s">
        <v>1087</v>
      </c>
      <c r="D8" s="65" t="s">
        <v>1088</v>
      </c>
      <c r="E8" s="65" t="s">
        <v>1089</v>
      </c>
      <c r="F8" s="65" t="s">
        <v>1090</v>
      </c>
      <c r="G8" s="65" t="s">
        <v>1091</v>
      </c>
      <c r="H8" s="65" t="s">
        <v>1092</v>
      </c>
      <c r="I8" s="65" t="s">
        <v>1093</v>
      </c>
      <c r="J8" s="65" t="s">
        <v>1094</v>
      </c>
      <c r="K8" s="65" t="s">
        <v>1095</v>
      </c>
      <c r="L8" s="1"/>
      <c r="M8" s="1"/>
    </row>
    <row r="9" spans="1:13" x14ac:dyDescent="0.35">
      <c r="A9" s="1"/>
      <c r="B9" s="5"/>
      <c r="C9" s="25" t="s">
        <v>1096</v>
      </c>
      <c r="D9" s="27">
        <v>0</v>
      </c>
      <c r="E9" s="27">
        <v>0</v>
      </c>
      <c r="F9" s="27">
        <v>0</v>
      </c>
      <c r="G9" s="27">
        <v>3765.5533</v>
      </c>
      <c r="H9" s="27">
        <v>0</v>
      </c>
      <c r="I9" s="27">
        <v>0</v>
      </c>
      <c r="J9" s="27">
        <v>0</v>
      </c>
      <c r="K9" s="27">
        <v>0</v>
      </c>
      <c r="L9" s="1"/>
      <c r="M9" s="1"/>
    </row>
    <row r="10" spans="1:13" x14ac:dyDescent="0.35">
      <c r="A10" s="1"/>
      <c r="B10" s="5"/>
      <c r="C10" s="25" t="s">
        <v>1097</v>
      </c>
      <c r="D10" s="27">
        <v>0</v>
      </c>
      <c r="E10" s="27">
        <v>0</v>
      </c>
      <c r="F10" s="27">
        <v>0</v>
      </c>
      <c r="G10" s="27">
        <v>202090.60294000001</v>
      </c>
      <c r="H10" s="27">
        <v>196571.136876</v>
      </c>
      <c r="I10" s="27">
        <v>0</v>
      </c>
      <c r="J10" s="27">
        <v>2346.5652030000001</v>
      </c>
      <c r="K10" s="27">
        <v>700671.91605</v>
      </c>
      <c r="L10" s="1"/>
      <c r="M10" s="1"/>
    </row>
    <row r="11" spans="1:13" x14ac:dyDescent="0.35">
      <c r="A11" s="1"/>
      <c r="B11" s="5"/>
      <c r="C11" s="25" t="s">
        <v>1098</v>
      </c>
      <c r="D11" s="27">
        <v>0</v>
      </c>
      <c r="E11" s="27">
        <v>0</v>
      </c>
      <c r="F11" s="27">
        <v>0</v>
      </c>
      <c r="G11" s="27">
        <v>60.885658999999997</v>
      </c>
      <c r="H11" s="27">
        <v>0</v>
      </c>
      <c r="I11" s="27">
        <v>0</v>
      </c>
      <c r="J11" s="27">
        <v>0</v>
      </c>
      <c r="K11" s="27">
        <v>0</v>
      </c>
      <c r="L11" s="1"/>
      <c r="M11" s="1"/>
    </row>
    <row r="12" spans="1:13" x14ac:dyDescent="0.35">
      <c r="A12" s="1"/>
      <c r="B12" s="5"/>
      <c r="C12" s="25" t="s">
        <v>1099</v>
      </c>
      <c r="D12" s="27">
        <v>8922.685614</v>
      </c>
      <c r="E12" s="27">
        <v>12102.0046</v>
      </c>
      <c r="F12" s="27">
        <v>0</v>
      </c>
      <c r="G12" s="27">
        <v>7024.81</v>
      </c>
      <c r="H12" s="27">
        <v>0</v>
      </c>
      <c r="I12" s="27">
        <v>0</v>
      </c>
      <c r="J12" s="27">
        <v>0</v>
      </c>
      <c r="K12" s="27">
        <v>7674.45</v>
      </c>
      <c r="L12" s="1"/>
      <c r="M12" s="1"/>
    </row>
    <row r="13" spans="1:13" x14ac:dyDescent="0.35">
      <c r="A13" s="1"/>
      <c r="B13" s="5"/>
      <c r="C13" s="25" t="s">
        <v>1100</v>
      </c>
      <c r="D13" s="27">
        <v>0</v>
      </c>
      <c r="E13" s="27">
        <v>0</v>
      </c>
      <c r="F13" s="27">
        <v>0</v>
      </c>
      <c r="G13" s="27">
        <v>19945.2</v>
      </c>
      <c r="H13" s="27">
        <v>7472.992518</v>
      </c>
      <c r="I13" s="27">
        <v>0</v>
      </c>
      <c r="J13" s="27">
        <v>0</v>
      </c>
      <c r="K13" s="27">
        <v>146572.088307</v>
      </c>
      <c r="L13" s="1"/>
      <c r="M13" s="1"/>
    </row>
    <row r="14" spans="1:13" x14ac:dyDescent="0.35">
      <c r="A14" s="1"/>
      <c r="B14" s="5"/>
      <c r="C14" s="25" t="s">
        <v>1101</v>
      </c>
      <c r="D14" s="27">
        <v>123680.081823</v>
      </c>
      <c r="E14" s="27">
        <v>248.73</v>
      </c>
      <c r="F14" s="27">
        <v>0</v>
      </c>
      <c r="G14" s="27">
        <v>10835.8436</v>
      </c>
      <c r="H14" s="27">
        <v>0</v>
      </c>
      <c r="I14" s="27">
        <v>0</v>
      </c>
      <c r="J14" s="27">
        <v>0</v>
      </c>
      <c r="K14" s="27">
        <v>89532.040609999996</v>
      </c>
      <c r="L14" s="1"/>
      <c r="M14" s="1"/>
    </row>
    <row r="15" spans="1:13" x14ac:dyDescent="0.35">
      <c r="A15" s="1"/>
      <c r="B15" s="5"/>
      <c r="C15" s="25" t="s">
        <v>1102</v>
      </c>
      <c r="D15" s="27">
        <v>0</v>
      </c>
      <c r="E15" s="27">
        <v>0</v>
      </c>
      <c r="F15" s="27">
        <v>0</v>
      </c>
      <c r="G15" s="27">
        <v>4016.67</v>
      </c>
      <c r="H15" s="27">
        <v>65641.135079999993</v>
      </c>
      <c r="I15" s="27">
        <v>0</v>
      </c>
      <c r="J15" s="27">
        <v>0</v>
      </c>
      <c r="K15" s="27">
        <v>696038.49600000004</v>
      </c>
      <c r="L15" s="1"/>
      <c r="M15" s="1"/>
    </row>
    <row r="16" spans="1:13" x14ac:dyDescent="0.35">
      <c r="A16" s="1"/>
      <c r="B16" s="5"/>
      <c r="C16" s="25" t="s">
        <v>1103</v>
      </c>
      <c r="D16" s="27">
        <v>0</v>
      </c>
      <c r="E16" s="27">
        <v>0</v>
      </c>
      <c r="F16" s="27">
        <v>5011.2</v>
      </c>
      <c r="G16" s="27">
        <v>18824.685000000001</v>
      </c>
      <c r="H16" s="27">
        <v>0</v>
      </c>
      <c r="I16" s="27">
        <v>0</v>
      </c>
      <c r="J16" s="27">
        <v>0</v>
      </c>
      <c r="K16" s="27">
        <v>33547.553599999999</v>
      </c>
      <c r="L16" s="1"/>
      <c r="M16" s="1"/>
    </row>
    <row r="17" spans="1:13" x14ac:dyDescent="0.35">
      <c r="A17" s="1"/>
      <c r="B17" s="5"/>
      <c r="C17" s="25" t="s">
        <v>1104</v>
      </c>
      <c r="D17" s="27">
        <v>0</v>
      </c>
      <c r="E17" s="27">
        <v>417.8664</v>
      </c>
      <c r="F17" s="27">
        <v>0</v>
      </c>
      <c r="G17" s="27">
        <v>283.41282000000001</v>
      </c>
      <c r="H17" s="27">
        <v>46728.14905</v>
      </c>
      <c r="I17" s="27">
        <v>0</v>
      </c>
      <c r="J17" s="27">
        <v>0</v>
      </c>
      <c r="K17" s="27">
        <v>29836.57</v>
      </c>
      <c r="L17" s="1"/>
      <c r="M17" s="1"/>
    </row>
    <row r="18" spans="1:13" x14ac:dyDescent="0.35">
      <c r="A18" s="1"/>
      <c r="B18" s="5"/>
      <c r="C18" s="25" t="s">
        <v>1105</v>
      </c>
      <c r="D18" s="27">
        <v>0</v>
      </c>
      <c r="E18" s="27">
        <v>513.88</v>
      </c>
      <c r="F18" s="27">
        <v>0</v>
      </c>
      <c r="G18" s="27">
        <v>48711.92</v>
      </c>
      <c r="H18" s="27">
        <v>0</v>
      </c>
      <c r="I18" s="27">
        <v>0</v>
      </c>
      <c r="J18" s="27">
        <v>0</v>
      </c>
      <c r="K18" s="27">
        <v>12402.146500000001</v>
      </c>
      <c r="L18" s="1"/>
      <c r="M18" s="1"/>
    </row>
    <row r="19" spans="1:13" x14ac:dyDescent="0.35">
      <c r="A19" s="1"/>
      <c r="B19" s="5"/>
      <c r="C19" s="25" t="s">
        <v>1106</v>
      </c>
      <c r="D19" s="27">
        <v>0</v>
      </c>
      <c r="E19" s="27">
        <v>0</v>
      </c>
      <c r="F19" s="27">
        <v>4975.8</v>
      </c>
      <c r="G19" s="27">
        <v>91787.14</v>
      </c>
      <c r="H19" s="27">
        <v>0</v>
      </c>
      <c r="I19" s="27">
        <v>0</v>
      </c>
      <c r="J19" s="27">
        <v>0</v>
      </c>
      <c r="K19" s="27">
        <v>16232.081</v>
      </c>
      <c r="L19" s="1"/>
      <c r="M19" s="1"/>
    </row>
    <row r="20" spans="1:13" x14ac:dyDescent="0.35">
      <c r="A20" s="1"/>
      <c r="B20" s="5"/>
      <c r="C20" s="25" t="s">
        <v>1107</v>
      </c>
      <c r="D20" s="27">
        <v>0</v>
      </c>
      <c r="E20" s="27">
        <v>1082.7782199999999</v>
      </c>
      <c r="F20" s="27">
        <v>0</v>
      </c>
      <c r="G20" s="27">
        <v>16742.807003000002</v>
      </c>
      <c r="H20" s="27">
        <v>0</v>
      </c>
      <c r="I20" s="27">
        <v>169.32614899999999</v>
      </c>
      <c r="J20" s="27">
        <v>0</v>
      </c>
      <c r="K20" s="27">
        <v>1089.7447</v>
      </c>
      <c r="L20" s="1"/>
      <c r="M20" s="1"/>
    </row>
    <row r="21" spans="1:13" x14ac:dyDescent="0.35">
      <c r="A21" s="1"/>
      <c r="B21" s="5"/>
      <c r="C21" s="25" t="s">
        <v>1108</v>
      </c>
      <c r="D21" s="27">
        <v>0</v>
      </c>
      <c r="E21" s="27">
        <v>24945.153900000001</v>
      </c>
      <c r="F21" s="27">
        <v>9982.65</v>
      </c>
      <c r="G21" s="27">
        <v>141173.52392000001</v>
      </c>
      <c r="H21" s="27">
        <v>38399.655744000003</v>
      </c>
      <c r="I21" s="27">
        <v>0</v>
      </c>
      <c r="J21" s="27">
        <v>57428.677932999999</v>
      </c>
      <c r="K21" s="27">
        <v>90468.314499999993</v>
      </c>
      <c r="L21" s="1"/>
      <c r="M21" s="1"/>
    </row>
    <row r="22" spans="1:13" x14ac:dyDescent="0.35">
      <c r="A22" s="1"/>
      <c r="B22" s="5"/>
      <c r="C22" s="25" t="s">
        <v>1109</v>
      </c>
      <c r="D22" s="27">
        <v>0</v>
      </c>
      <c r="E22" s="27">
        <v>6855.82773</v>
      </c>
      <c r="F22" s="27">
        <v>0</v>
      </c>
      <c r="G22" s="27">
        <v>100225.808341</v>
      </c>
      <c r="H22" s="27">
        <v>20590.839487000001</v>
      </c>
      <c r="I22" s="27">
        <v>0</v>
      </c>
      <c r="J22" s="27">
        <v>61941.410958</v>
      </c>
      <c r="K22" s="27">
        <v>189400.46900000001</v>
      </c>
      <c r="L22" s="1"/>
      <c r="M22" s="1"/>
    </row>
    <row r="23" spans="1:13" x14ac:dyDescent="0.35">
      <c r="A23" s="1"/>
      <c r="B23" s="5"/>
      <c r="C23" s="19" t="s">
        <v>609</v>
      </c>
      <c r="D23" s="66">
        <v>132602.767437</v>
      </c>
      <c r="E23" s="66">
        <v>46166.240850000002</v>
      </c>
      <c r="F23" s="66">
        <v>19969.650000000001</v>
      </c>
      <c r="G23" s="66">
        <v>665488.86258299998</v>
      </c>
      <c r="H23" s="66">
        <v>375403.90875499998</v>
      </c>
      <c r="I23" s="66">
        <v>169.32614899999999</v>
      </c>
      <c r="J23" s="66">
        <v>121716.654094</v>
      </c>
      <c r="K23" s="66">
        <v>2013465.870267</v>
      </c>
      <c r="L23" s="1"/>
      <c r="M23" s="1"/>
    </row>
    <row r="24" spans="1:13" ht="29.25" customHeight="1" x14ac:dyDescent="0.35">
      <c r="A24" s="1"/>
      <c r="B24" s="5"/>
      <c r="C24" s="1"/>
      <c r="D24" s="1"/>
      <c r="E24" s="1"/>
      <c r="F24" s="1"/>
      <c r="G24" s="1"/>
      <c r="H24" s="1"/>
      <c r="I24" s="1"/>
      <c r="J24" s="1"/>
      <c r="K24" s="6"/>
      <c r="L24" s="1"/>
      <c r="M24" s="1"/>
    </row>
    <row r="25" spans="1:13" ht="18" x14ac:dyDescent="0.35">
      <c r="A25" s="1"/>
      <c r="B25" s="5"/>
      <c r="C25" s="18" t="s">
        <v>1110</v>
      </c>
      <c r="D25" s="1"/>
      <c r="E25" s="1"/>
      <c r="F25" s="1"/>
      <c r="G25" s="1"/>
      <c r="H25" s="1"/>
      <c r="I25" s="1"/>
      <c r="J25" s="1"/>
      <c r="K25" s="6"/>
      <c r="L25" s="1"/>
      <c r="M25" s="1"/>
    </row>
    <row r="26" spans="1:13" ht="21.4" customHeight="1" x14ac:dyDescent="0.35">
      <c r="A26" s="1"/>
      <c r="B26" s="5"/>
      <c r="C26" s="1"/>
      <c r="D26" s="1"/>
      <c r="E26" s="1"/>
      <c r="F26" s="1"/>
      <c r="G26" s="1"/>
      <c r="H26" s="1"/>
      <c r="I26" s="1"/>
      <c r="J26" s="1"/>
      <c r="K26" s="6"/>
      <c r="L26" s="1"/>
      <c r="M26" s="1"/>
    </row>
    <row r="27" spans="1:13" ht="42" x14ac:dyDescent="0.35">
      <c r="A27" s="1"/>
      <c r="B27" s="5"/>
      <c r="C27" s="64" t="s">
        <v>5</v>
      </c>
      <c r="D27" s="34" t="s">
        <v>1080</v>
      </c>
      <c r="E27" s="34" t="s">
        <v>1081</v>
      </c>
      <c r="F27" s="34" t="s">
        <v>1082</v>
      </c>
      <c r="G27" s="34" t="s">
        <v>1083</v>
      </c>
      <c r="H27" s="34" t="s">
        <v>1084</v>
      </c>
      <c r="I27" s="34" t="s">
        <v>1085</v>
      </c>
      <c r="J27" s="34" t="s">
        <v>1086</v>
      </c>
      <c r="K27" s="34" t="s">
        <v>1065</v>
      </c>
      <c r="L27" s="1"/>
      <c r="M27" s="1"/>
    </row>
    <row r="28" spans="1:13" ht="56" x14ac:dyDescent="0.35">
      <c r="A28" s="1"/>
      <c r="B28" s="5"/>
      <c r="C28" s="65" t="s">
        <v>1087</v>
      </c>
      <c r="D28" s="65" t="s">
        <v>1088</v>
      </c>
      <c r="E28" s="65" t="s">
        <v>1089</v>
      </c>
      <c r="F28" s="65" t="s">
        <v>1090</v>
      </c>
      <c r="G28" s="65" t="s">
        <v>1091</v>
      </c>
      <c r="H28" s="65" t="s">
        <v>1092</v>
      </c>
      <c r="I28" s="65" t="s">
        <v>1093</v>
      </c>
      <c r="J28" s="65" t="s">
        <v>1094</v>
      </c>
      <c r="K28" s="65" t="s">
        <v>1095</v>
      </c>
      <c r="L28" s="1"/>
      <c r="M28" s="1"/>
    </row>
    <row r="29" spans="1:13" x14ac:dyDescent="0.35">
      <c r="A29" s="1"/>
      <c r="B29" s="5"/>
      <c r="C29" s="25" t="s">
        <v>1096</v>
      </c>
      <c r="D29" s="27">
        <v>0</v>
      </c>
      <c r="E29" s="27">
        <v>0</v>
      </c>
      <c r="F29" s="27">
        <v>0</v>
      </c>
      <c r="G29" s="27">
        <v>0</v>
      </c>
      <c r="H29" s="27">
        <v>0</v>
      </c>
      <c r="I29" s="27">
        <v>0</v>
      </c>
      <c r="J29" s="27">
        <v>1488.141852</v>
      </c>
      <c r="K29" s="27">
        <v>0</v>
      </c>
      <c r="L29" s="1"/>
      <c r="M29" s="1"/>
    </row>
    <row r="30" spans="1:13" x14ac:dyDescent="0.35">
      <c r="A30" s="1"/>
      <c r="B30" s="5"/>
      <c r="C30" s="25" t="s">
        <v>1097</v>
      </c>
      <c r="D30" s="27">
        <v>0</v>
      </c>
      <c r="E30" s="27">
        <v>0</v>
      </c>
      <c r="F30" s="27">
        <v>0</v>
      </c>
      <c r="G30" s="27">
        <v>2100.2199999999998</v>
      </c>
      <c r="H30" s="27">
        <v>203174.617707</v>
      </c>
      <c r="I30" s="27">
        <v>0</v>
      </c>
      <c r="J30" s="27">
        <v>703.59900000000005</v>
      </c>
      <c r="K30" s="27">
        <v>1227580.9291940001</v>
      </c>
      <c r="L30" s="1"/>
      <c r="M30" s="1"/>
    </row>
    <row r="31" spans="1:13" x14ac:dyDescent="0.35">
      <c r="A31" s="1"/>
      <c r="B31" s="5"/>
      <c r="C31" s="25" t="s">
        <v>1099</v>
      </c>
      <c r="D31" s="27">
        <v>0</v>
      </c>
      <c r="E31" s="27">
        <v>0</v>
      </c>
      <c r="F31" s="27">
        <v>9982.65</v>
      </c>
      <c r="G31" s="27">
        <v>0</v>
      </c>
      <c r="H31" s="27">
        <v>0</v>
      </c>
      <c r="I31" s="27">
        <v>0</v>
      </c>
      <c r="J31" s="27">
        <v>0</v>
      </c>
      <c r="K31" s="27">
        <v>0</v>
      </c>
      <c r="L31" s="1"/>
      <c r="M31" s="1"/>
    </row>
    <row r="32" spans="1:13" x14ac:dyDescent="0.35">
      <c r="A32" s="1"/>
      <c r="B32" s="5"/>
      <c r="C32" s="25" t="s">
        <v>1100</v>
      </c>
      <c r="D32" s="27">
        <v>0</v>
      </c>
      <c r="E32" s="27">
        <v>0</v>
      </c>
      <c r="F32" s="27">
        <v>0</v>
      </c>
      <c r="G32" s="27">
        <v>0</v>
      </c>
      <c r="H32" s="27">
        <v>3441.5675390000001</v>
      </c>
      <c r="I32" s="27">
        <v>0</v>
      </c>
      <c r="J32" s="27">
        <v>23051.909</v>
      </c>
      <c r="K32" s="27">
        <v>261304.74041599999</v>
      </c>
      <c r="L32" s="1"/>
      <c r="M32" s="1"/>
    </row>
    <row r="33" spans="1:13" x14ac:dyDescent="0.35">
      <c r="A33" s="1"/>
      <c r="B33" s="5"/>
      <c r="C33" s="25" t="s">
        <v>1101</v>
      </c>
      <c r="D33" s="27">
        <v>0</v>
      </c>
      <c r="E33" s="27">
        <v>0</v>
      </c>
      <c r="F33" s="27">
        <v>0</v>
      </c>
      <c r="G33" s="27">
        <v>0</v>
      </c>
      <c r="H33" s="27">
        <v>0</v>
      </c>
      <c r="I33" s="27">
        <v>0</v>
      </c>
      <c r="J33" s="27">
        <v>3900</v>
      </c>
      <c r="K33" s="27">
        <v>94632.354806999996</v>
      </c>
      <c r="L33" s="1"/>
      <c r="M33" s="1"/>
    </row>
    <row r="34" spans="1:13" x14ac:dyDescent="0.35">
      <c r="A34" s="1"/>
      <c r="B34" s="5"/>
      <c r="C34" s="25" t="s">
        <v>1102</v>
      </c>
      <c r="D34" s="27">
        <v>123680.081823</v>
      </c>
      <c r="E34" s="27">
        <v>11135.403899999999</v>
      </c>
      <c r="F34" s="27">
        <v>0</v>
      </c>
      <c r="G34" s="27">
        <v>54995.58</v>
      </c>
      <c r="H34" s="27">
        <v>111406.970277</v>
      </c>
      <c r="I34" s="27">
        <v>0</v>
      </c>
      <c r="J34" s="27">
        <v>0</v>
      </c>
      <c r="K34" s="27">
        <v>26270.202000000001</v>
      </c>
      <c r="L34" s="1"/>
      <c r="M34" s="1"/>
    </row>
    <row r="35" spans="1:13" x14ac:dyDescent="0.35">
      <c r="A35" s="1"/>
      <c r="B35" s="5"/>
      <c r="C35" s="25" t="s">
        <v>1103</v>
      </c>
      <c r="D35" s="27">
        <v>8922.685614</v>
      </c>
      <c r="E35" s="27">
        <v>0</v>
      </c>
      <c r="F35" s="27">
        <v>0</v>
      </c>
      <c r="G35" s="27">
        <v>7661.99</v>
      </c>
      <c r="H35" s="27">
        <v>8276.5327049999996</v>
      </c>
      <c r="I35" s="27">
        <v>0</v>
      </c>
      <c r="J35" s="27">
        <v>0</v>
      </c>
      <c r="K35" s="27">
        <v>98088.244550000003</v>
      </c>
      <c r="L35" s="1"/>
      <c r="M35" s="1"/>
    </row>
    <row r="36" spans="1:13" x14ac:dyDescent="0.35">
      <c r="A36" s="1"/>
      <c r="B36" s="5"/>
      <c r="C36" s="25" t="s">
        <v>1105</v>
      </c>
      <c r="D36" s="27">
        <v>0</v>
      </c>
      <c r="E36" s="27">
        <v>0</v>
      </c>
      <c r="F36" s="27">
        <v>0</v>
      </c>
      <c r="G36" s="27">
        <v>4605.2550000000001</v>
      </c>
      <c r="H36" s="27">
        <v>0</v>
      </c>
      <c r="I36" s="27">
        <v>0</v>
      </c>
      <c r="J36" s="27">
        <v>0</v>
      </c>
      <c r="K36" s="27">
        <v>36316.966500000002</v>
      </c>
      <c r="L36" s="1"/>
      <c r="M36" s="1"/>
    </row>
    <row r="37" spans="1:13" x14ac:dyDescent="0.35">
      <c r="A37" s="1"/>
      <c r="B37" s="5"/>
      <c r="C37" s="25" t="s">
        <v>1106</v>
      </c>
      <c r="D37" s="27">
        <v>0</v>
      </c>
      <c r="E37" s="27">
        <v>5708.82</v>
      </c>
      <c r="F37" s="27">
        <v>0</v>
      </c>
      <c r="G37" s="27">
        <v>300348.04499999998</v>
      </c>
      <c r="H37" s="27">
        <v>0</v>
      </c>
      <c r="I37" s="27">
        <v>0</v>
      </c>
      <c r="J37" s="27">
        <v>0</v>
      </c>
      <c r="K37" s="27">
        <v>37021.443500000001</v>
      </c>
      <c r="L37" s="1"/>
      <c r="M37" s="1"/>
    </row>
    <row r="38" spans="1:13" x14ac:dyDescent="0.35">
      <c r="A38" s="1"/>
      <c r="B38" s="5"/>
      <c r="C38" s="25" t="s">
        <v>1107</v>
      </c>
      <c r="D38" s="27">
        <v>0</v>
      </c>
      <c r="E38" s="27">
        <v>0</v>
      </c>
      <c r="F38" s="27">
        <v>0</v>
      </c>
      <c r="G38" s="27">
        <v>1071.582347</v>
      </c>
      <c r="H38" s="27">
        <v>0</v>
      </c>
      <c r="I38" s="27">
        <v>169.32614899999999</v>
      </c>
      <c r="J38" s="27">
        <v>235.40111200000001</v>
      </c>
      <c r="K38" s="27">
        <v>444.74740000000003</v>
      </c>
      <c r="L38" s="1"/>
      <c r="M38" s="1"/>
    </row>
    <row r="39" spans="1:13" x14ac:dyDescent="0.35">
      <c r="A39" s="1"/>
      <c r="B39" s="5"/>
      <c r="C39" s="25" t="s">
        <v>1108</v>
      </c>
      <c r="D39" s="27">
        <v>0</v>
      </c>
      <c r="E39" s="27">
        <v>23292.61695</v>
      </c>
      <c r="F39" s="27">
        <v>9987</v>
      </c>
      <c r="G39" s="27">
        <v>271420.31931599998</v>
      </c>
      <c r="H39" s="27">
        <v>38407.728466</v>
      </c>
      <c r="I39" s="27">
        <v>0</v>
      </c>
      <c r="J39" s="27">
        <v>62942.210958000003</v>
      </c>
      <c r="K39" s="27">
        <v>94676.877299999993</v>
      </c>
      <c r="L39" s="1"/>
      <c r="M39" s="1"/>
    </row>
    <row r="40" spans="1:13" x14ac:dyDescent="0.35">
      <c r="A40" s="1"/>
      <c r="B40" s="5"/>
      <c r="C40" s="25" t="s">
        <v>1109</v>
      </c>
      <c r="D40" s="27">
        <v>0</v>
      </c>
      <c r="E40" s="27">
        <v>6029.4</v>
      </c>
      <c r="F40" s="27">
        <v>0</v>
      </c>
      <c r="G40" s="27">
        <v>23285.870920000001</v>
      </c>
      <c r="H40" s="27">
        <v>10696.492061000001</v>
      </c>
      <c r="I40" s="27">
        <v>0</v>
      </c>
      <c r="J40" s="27">
        <v>29395.392172</v>
      </c>
      <c r="K40" s="27">
        <v>137129.3646</v>
      </c>
      <c r="L40" s="1"/>
      <c r="M40" s="1"/>
    </row>
    <row r="41" spans="1:13" x14ac:dyDescent="0.35">
      <c r="A41" s="1"/>
      <c r="B41" s="9"/>
      <c r="C41" s="19" t="s">
        <v>609</v>
      </c>
      <c r="D41" s="66">
        <v>132602.767437</v>
      </c>
      <c r="E41" s="66">
        <v>46166.240850000002</v>
      </c>
      <c r="F41" s="66">
        <v>19969.650000000001</v>
      </c>
      <c r="G41" s="66">
        <v>665488.86258299998</v>
      </c>
      <c r="H41" s="66">
        <v>375403.90875499998</v>
      </c>
      <c r="I41" s="66">
        <v>169.32614899999999</v>
      </c>
      <c r="J41" s="66">
        <v>121716.654094</v>
      </c>
      <c r="K41" s="66">
        <v>2013465.870267</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1111</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1112</v>
      </c>
      <c r="F7" s="23" t="s">
        <v>1064</v>
      </c>
      <c r="G7" s="23" t="s">
        <v>1113</v>
      </c>
      <c r="H7" s="23" t="s">
        <v>1114</v>
      </c>
      <c r="I7" s="23" t="s">
        <v>1115</v>
      </c>
      <c r="J7" s="23" t="s">
        <v>1116</v>
      </c>
      <c r="K7" s="23" t="s">
        <v>1117</v>
      </c>
      <c r="L7" s="6"/>
      <c r="M7" s="1"/>
      <c r="N7" s="1"/>
    </row>
    <row r="8" spans="1:14" x14ac:dyDescent="0.35">
      <c r="A8" s="1"/>
      <c r="B8" s="5"/>
      <c r="C8" s="25" t="s">
        <v>1118</v>
      </c>
      <c r="D8" s="50">
        <v>77.13</v>
      </c>
      <c r="E8" s="50">
        <v>30</v>
      </c>
      <c r="F8" s="50">
        <v>3</v>
      </c>
      <c r="G8" s="37">
        <v>2571</v>
      </c>
      <c r="H8" s="36">
        <v>-2.76096822995462E-2</v>
      </c>
      <c r="I8" s="37">
        <v>2571</v>
      </c>
      <c r="J8" s="37">
        <v>2571</v>
      </c>
      <c r="K8" s="25">
        <f>VLOOKUP(C8,[1]Table1!$A$1:$J$8,9,0)</f>
        <v>7747</v>
      </c>
      <c r="L8" s="6"/>
      <c r="M8" s="1"/>
      <c r="N8" s="1"/>
    </row>
    <row r="9" spans="1:14" x14ac:dyDescent="0.35">
      <c r="A9" s="1"/>
      <c r="B9" s="5"/>
      <c r="C9" s="25" t="s">
        <v>1119</v>
      </c>
      <c r="D9" s="50">
        <v>47832.18</v>
      </c>
      <c r="E9" s="50">
        <v>184</v>
      </c>
      <c r="F9" s="50">
        <v>2</v>
      </c>
      <c r="G9" s="37">
        <v>103.983</v>
      </c>
      <c r="H9" s="36">
        <v>8.5253724394787102E-3</v>
      </c>
      <c r="I9" s="37">
        <v>103.983</v>
      </c>
      <c r="J9" s="37">
        <v>103.983</v>
      </c>
      <c r="K9" s="25">
        <f>VLOOKUP(C9,[1]Table1!$A$1:$J$8,9,0)</f>
        <v>1286</v>
      </c>
      <c r="L9" s="6"/>
      <c r="M9" s="1"/>
      <c r="N9" s="1"/>
    </row>
    <row r="10" spans="1:14" x14ac:dyDescent="0.35">
      <c r="A10" s="1"/>
      <c r="B10" s="5"/>
      <c r="C10" s="25" t="s">
        <v>1120</v>
      </c>
      <c r="D10" s="50">
        <v>27343.926500000001</v>
      </c>
      <c r="E10" s="50">
        <v>170</v>
      </c>
      <c r="F10" s="50">
        <v>46</v>
      </c>
      <c r="G10" s="37">
        <v>3207.6</v>
      </c>
      <c r="H10" s="36">
        <v>-7.8564800494896891E-3</v>
      </c>
      <c r="I10" s="37">
        <v>3205.86</v>
      </c>
      <c r="J10" s="37">
        <v>3232.35</v>
      </c>
      <c r="K10" s="25">
        <f>VLOOKUP(C10,[1]Table1!$A$1:$J$8,9,0)</f>
        <v>19678</v>
      </c>
      <c r="L10" s="6"/>
      <c r="M10" s="1"/>
      <c r="N10" s="1"/>
    </row>
    <row r="11" spans="1:14" x14ac:dyDescent="0.35">
      <c r="A11" s="1"/>
      <c r="B11" s="5"/>
      <c r="C11" s="25" t="s">
        <v>1121</v>
      </c>
      <c r="D11" s="50">
        <v>165.23500000000001</v>
      </c>
      <c r="E11" s="50">
        <v>1</v>
      </c>
      <c r="F11" s="50">
        <v>1</v>
      </c>
      <c r="G11" s="37">
        <v>3304.7</v>
      </c>
      <c r="H11" s="36">
        <v>-2.7761851594798599E-3</v>
      </c>
      <c r="I11" s="37">
        <v>3304.7</v>
      </c>
      <c r="J11" s="37">
        <v>3304.7</v>
      </c>
      <c r="K11" s="25">
        <f>VLOOKUP(C11,[1]Table1!$A$1:$J$8,9,0)</f>
        <v>3625</v>
      </c>
      <c r="L11" s="6"/>
      <c r="M11" s="1"/>
      <c r="N11" s="1"/>
    </row>
    <row r="12" spans="1:14" x14ac:dyDescent="0.35">
      <c r="A12" s="1"/>
      <c r="B12" s="5"/>
      <c r="C12" s="25" t="s">
        <v>1122</v>
      </c>
      <c r="D12" s="50">
        <v>48.307949999999998</v>
      </c>
      <c r="E12" s="50">
        <v>15</v>
      </c>
      <c r="F12" s="50">
        <v>1</v>
      </c>
      <c r="G12" s="37">
        <v>3220.53</v>
      </c>
      <c r="H12" s="36">
        <v>-2.0791760141791698E-3</v>
      </c>
      <c r="I12" s="37">
        <v>3220.53</v>
      </c>
      <c r="J12" s="37">
        <v>3220.53</v>
      </c>
      <c r="K12" s="25">
        <f>VLOOKUP(C12,[1]Table1!$A$1:$J$8,9,0)</f>
        <v>13958</v>
      </c>
      <c r="L12" s="6"/>
      <c r="M12" s="1"/>
      <c r="N12" s="1"/>
    </row>
    <row r="13" spans="1:14" x14ac:dyDescent="0.35">
      <c r="A13" s="1"/>
      <c r="B13" s="5"/>
      <c r="C13" s="25" t="s">
        <v>1123</v>
      </c>
      <c r="D13" s="50">
        <v>16342</v>
      </c>
      <c r="E13" s="50">
        <v>5000</v>
      </c>
      <c r="F13" s="50">
        <v>1</v>
      </c>
      <c r="G13" s="37">
        <v>3268.4</v>
      </c>
      <c r="H13" s="36">
        <v>-4.0800904384496999E-3</v>
      </c>
      <c r="I13" s="37">
        <v>3268.4</v>
      </c>
      <c r="J13" s="37">
        <v>3268.4</v>
      </c>
      <c r="K13" s="25">
        <f>VLOOKUP(C13,[1]Table1!$A$1:$J$8,9,0)</f>
        <v>35663</v>
      </c>
      <c r="L13" s="6"/>
      <c r="M13" s="1"/>
      <c r="N13" s="1"/>
    </row>
    <row r="14" spans="1:14" x14ac:dyDescent="0.35">
      <c r="A14" s="1"/>
      <c r="B14" s="5"/>
      <c r="C14" s="25" t="s">
        <v>1124</v>
      </c>
      <c r="D14" s="50">
        <v>152.0162</v>
      </c>
      <c r="E14" s="50">
        <v>46</v>
      </c>
      <c r="F14" s="50">
        <v>1</v>
      </c>
      <c r="G14" s="37">
        <v>3304.7</v>
      </c>
      <c r="H14" s="36">
        <v>-1.90274841437643E-3</v>
      </c>
      <c r="I14" s="37">
        <v>3304.7</v>
      </c>
      <c r="J14" s="37">
        <v>3304.7</v>
      </c>
      <c r="K14" s="25">
        <f>VLOOKUP(C14,[1]Table1!$A$1:$J$8,9,0)</f>
        <v>454</v>
      </c>
      <c r="L14" s="6"/>
      <c r="M14" s="1"/>
      <c r="N14" s="1"/>
    </row>
    <row r="15" spans="1:14" ht="27.4" customHeight="1" x14ac:dyDescent="0.35">
      <c r="A15" s="1"/>
      <c r="B15" s="5"/>
      <c r="C15" s="1"/>
      <c r="D15" s="1"/>
      <c r="E15" s="1"/>
      <c r="F15" s="1"/>
      <c r="G15" s="1"/>
      <c r="H15" s="1"/>
      <c r="I15" s="1"/>
      <c r="J15" s="1"/>
      <c r="K15" s="1"/>
      <c r="L15" s="6"/>
      <c r="M15" s="1"/>
      <c r="N15" s="1"/>
    </row>
    <row r="16" spans="1:14" ht="18" customHeight="1" x14ac:dyDescent="0.35">
      <c r="A16" s="1"/>
      <c r="B16" s="5"/>
      <c r="C16" s="91" t="s">
        <v>1125</v>
      </c>
      <c r="D16" s="67"/>
      <c r="E16" s="67"/>
      <c r="F16" s="1"/>
      <c r="G16" s="1"/>
      <c r="H16" s="1"/>
      <c r="I16" s="1"/>
      <c r="J16" s="1"/>
      <c r="K16" s="1"/>
      <c r="L16" s="6"/>
      <c r="M16" s="1"/>
      <c r="N16" s="1"/>
    </row>
    <row r="17" spans="1:14" ht="18" customHeight="1" x14ac:dyDescent="0.35">
      <c r="A17" s="1"/>
      <c r="B17" s="5"/>
      <c r="C17" s="1"/>
      <c r="D17" s="1"/>
      <c r="E17" s="1"/>
      <c r="F17" s="1"/>
      <c r="G17" s="1"/>
      <c r="H17" s="1"/>
      <c r="I17" s="1"/>
      <c r="J17" s="1"/>
      <c r="K17" s="1"/>
      <c r="L17" s="6"/>
      <c r="M17" s="1"/>
      <c r="N17" s="1"/>
    </row>
    <row r="18" spans="1:14" ht="26" x14ac:dyDescent="0.35">
      <c r="A18" s="1"/>
      <c r="B18" s="5"/>
      <c r="C18" s="23" t="s">
        <v>328</v>
      </c>
      <c r="D18" s="23" t="s">
        <v>650</v>
      </c>
      <c r="E18" s="23" t="s">
        <v>1112</v>
      </c>
      <c r="F18" s="23" t="s">
        <v>1064</v>
      </c>
      <c r="G18" s="23" t="s">
        <v>1113</v>
      </c>
      <c r="H18" s="23" t="s">
        <v>1114</v>
      </c>
      <c r="I18" s="23" t="s">
        <v>1115</v>
      </c>
      <c r="J18" s="23" t="s">
        <v>1116</v>
      </c>
      <c r="K18" s="23" t="s">
        <v>1117</v>
      </c>
      <c r="L18" s="6"/>
      <c r="M18" s="1"/>
      <c r="N18" s="1"/>
    </row>
    <row r="19" spans="1:14" x14ac:dyDescent="0.35">
      <c r="A19" s="1"/>
      <c r="B19" s="9"/>
      <c r="C19" s="25" t="s">
        <v>1126</v>
      </c>
      <c r="D19" s="50">
        <v>14553</v>
      </c>
      <c r="E19" s="50">
        <v>49</v>
      </c>
      <c r="F19" s="50">
        <v>1</v>
      </c>
      <c r="G19" s="37">
        <v>825</v>
      </c>
      <c r="H19" s="36">
        <v>0</v>
      </c>
      <c r="I19" s="37">
        <v>825</v>
      </c>
      <c r="J19" s="37">
        <v>825</v>
      </c>
      <c r="K19" s="25"/>
      <c r="L19" s="11"/>
      <c r="M19" s="1"/>
      <c r="N19" s="1"/>
    </row>
    <row r="20" spans="1:14" ht="0" hidden="1" customHeight="1" x14ac:dyDescent="0.35"/>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C68C9E5-507B-4885-95FF-1BF7702736FF}"/>
</file>

<file path=customXml/itemProps2.xml><?xml version="1.0" encoding="utf-8"?>
<ds:datastoreItem xmlns:ds="http://schemas.openxmlformats.org/officeDocument/2006/customXml" ds:itemID="{DFCCC433-3C11-4026-9939-E35213B017B6}"/>
</file>

<file path=customXml/itemProps3.xml><?xml version="1.0" encoding="utf-8"?>
<ds:datastoreItem xmlns:ds="http://schemas.openxmlformats.org/officeDocument/2006/customXml" ds:itemID="{5624D221-D989-46CE-B238-4FE4CB8B9FEF}"/>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2026-07-28T12:49:30Z</dcterms:created>
  <dcterms:modified xsi:type="dcterms:W3CDTF">2026-07-28T12:49:30Z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