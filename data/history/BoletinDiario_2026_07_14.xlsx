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14/"/>
    </mc:Choice>
  </mc:AlternateContent>
  <xr:revisionPtr revIDLastSave="0" documentId="8_{D3448AC8-83A8-44AF-9FA2-3E7C08FF8FC7}"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externalReferences>
    <externalReference r:id="rId2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24" l="1"/>
  <c r="K10" i="24"/>
  <c r="K11" i="24"/>
  <c r="K12" i="24"/>
  <c r="K8" i="24"/>
</calcChain>
</file>

<file path=xl/sharedStrings.xml><?xml version="1.0" encoding="utf-8"?>
<sst xmlns="http://schemas.openxmlformats.org/spreadsheetml/2006/main" count="3209" uniqueCount="1181">
  <si>
    <t>Centro de Información Bursátil / Market Information Center</t>
  </si>
  <si>
    <t>Boletín diario / Daily Report</t>
  </si>
  <si>
    <r>
      <rPr>
        <b/>
        <sz val="14"/>
        <color rgb="FF4B0082"/>
        <rFont val="Arial"/>
      </rPr>
      <t xml:space="preserve">Rueda N / Board N: </t>
    </r>
    <r>
      <rPr>
        <b/>
        <sz val="14"/>
        <color rgb="FF4B0082"/>
        <rFont val="Arial"/>
      </rPr>
      <t>128</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</si>
  <si>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</si>
  <si>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</si>
  <si>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</si>
  <si>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</si>
  <si>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</si>
  <si>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</si>
  <si>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</si>
  <si>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</si>
  <si>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</si>
  <si>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</si>
  <si>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</si>
  <si>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</si>
  <si>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</si>
  <si>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</si>
  <si>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</si>
  <si>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</si>
  <si>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</si>
  <si>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</si>
  <si>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</si>
  <si>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</si>
  <si>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</si>
  <si>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</si>
  <si>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</si>
  <si>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</si>
  <si>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</si>
  <si>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</si>
  <si>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</si>
  <si>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</si>
  <si>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</si>
  <si>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</si>
  <si>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</si>
  <si>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</si>
  <si>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</si>
  <si>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</si>
  <si>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</si>
  <si>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</si>
  <si>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</si>
  <si>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</si>
  <si>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</si>
  <si>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</si>
  <si>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</si>
  <si>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</si>
  <si>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</si>
  <si>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</si>
  <si>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</si>
  <si>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</si>
  <si>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</si>
  <si>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</si>
  <si>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</si>
  <si>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</si>
  <si>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</si>
  <si>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</si>
  <si>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</si>
  <si>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</si>
  <si>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</si>
  <si>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</si>
  <si>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</si>
  <si>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</si>
  <si>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</si>
  <si>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</si>
  <si>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</si>
  <si>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</si>
  <si>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</si>
  <si>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</si>
  <si>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</si>
  <si>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</si>
  <si>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</si>
  <si>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</si>
  <si>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</si>
  <si>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</si>
  <si>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</si>
  <si>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</si>
  <si>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</si>
  <si>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</si>
  <si>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</si>
  <si>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</si>
  <si>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</si>
  <si>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</si>
  <si>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</si>
  <si>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</si>
  <si>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</si>
  <si>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</si>
  <si>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</si>
  <si>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</si>
  <si>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</si>
  <si>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</si>
  <si>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</si>
  <si>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</si>
  <si>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</si>
  <si>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</si>
  <si>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</si>
  <si>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</si>
  <si>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</si>
  <si>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</si>
  <si>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</si>
  <si>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</si>
  <si>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</si>
  <si>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</si>
  <si>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</si>
  <si>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</si>
  <si>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</si>
  <si>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</si>
  <si>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</si>
  <si>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</si>
  <si>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</si>
  <si>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</si>
  <si>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</si>
  <si>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</si>
  <si>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</si>
  <si>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</si>
  <si>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</si>
  <si>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</si>
  <si>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</si>
  <si>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</si>
  <si>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</si>
  <si>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</si>
  <si>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</si>
  <si>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</si>
  <si>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</si>
  <si>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</si>
  <si>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</si>
  <si>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</si>
  <si>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</si>
  <si>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</si>
  <si>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</si>
  <si>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</si>
  <si>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</si>
  <si>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</si>
  <si>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</si>
  <si>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</si>
  <si>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</si>
  <si>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</si>
  <si>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</si>
  <si>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</si>
  <si>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</si>
  <si>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</si>
  <si>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</si>
  <si>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</si>
  <si>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</si>
  <si>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</si>
  <si>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</si>
  <si>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</si>
  <si>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</si>
  <si>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</si>
  <si>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</si>
  <si>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</si>
  <si>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</si>
  <si>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</si>
  <si>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</si>
  <si>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</si>
  <si>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</si>
  <si>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</si>
  <si>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</si>
  <si>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</si>
  <si>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</si>
  <si>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</si>
  <si>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</si>
  <si>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</si>
  <si>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</si>
  <si>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</si>
  <si>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</si>
  <si>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</si>
  <si>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</si>
  <si>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</si>
  <si>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</si>
  <si>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</si>
  <si>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</si>
  <si>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</si>
  <si>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</si>
  <si>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</si>
  <si>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</si>
  <si>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</si>
  <si>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</si>
  <si>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</si>
  <si>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</si>
  <si>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</si>
  <si>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</si>
  <si>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</si>
  <si>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</si>
  <si>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</si>
  <si>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</si>
  <si>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</si>
  <si>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</si>
  <si>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</si>
  <si>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</si>
  <si>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</si>
  <si>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</si>
  <si>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</si>
  <si>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</si>
  <si>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</si>
  <si>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</si>
  <si>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</si>
  <si>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</si>
  <si>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</si>
  <si>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</si>
  <si>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</si>
  <si>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</si>
  <si>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</si>
  <si>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</si>
  <si>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</si>
  <si>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</si>
  <si>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</si>
  <si>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</si>
  <si>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</si>
  <si>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</si>
  <si>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</si>
  <si>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</si>
  <si>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</si>
  <si>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</si>
  <si>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</si>
  <si>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</si>
  <si>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</si>
  <si>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</si>
  <si>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</si>
  <si>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</si>
  <si>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</si>
  <si>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</si>
  <si>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</si>
  <si>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</si>
  <si>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</si>
  <si>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</si>
  <si>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</si>
  <si>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</si>
  <si>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</si>
  <si>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</si>
  <si>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</si>
  <si>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</si>
  <si>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</si>
  <si>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</si>
  <si>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</si>
  <si>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</si>
  <si>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</si>
  <si>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</si>
  <si>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</si>
  <si>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</si>
  <si>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</si>
  <si>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</si>
  <si>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</si>
  <si>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</si>
  <si>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</si>
  <si>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</si>
  <si>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</si>
  <si>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</si>
  <si>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</si>
  <si>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</si>
  <si>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</si>
  <si>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</si>
  <si>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</si>
  <si>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</si>
  <si>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</si>
  <si>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</si>
  <si>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</si>
  <si>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</si>
  <si>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</si>
  <si>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</si>
  <si>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</si>
  <si>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</si>
  <si>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</si>
  <si>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</si>
  <si>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</si>
  <si>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</si>
  <si>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</si>
  <si>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</si>
  <si>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</si>
  <si>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</si>
  <si>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</si>
  <si>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</si>
  <si>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</si>
  <si>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</si>
  <si>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</si>
  <si>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</si>
  <si>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</si>
  <si>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</si>
  <si>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</si>
  <si>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</si>
  <si>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</si>
  <si>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</si>
  <si>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</si>
  <si>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</si>
  <si>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</si>
  <si>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</si>
  <si>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</si>
  <si>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</si>
  <si>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</si>
  <si>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</si>
  <si>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</si>
  <si>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</si>
  <si>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</si>
  <si>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</si>
  <si>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</si>
  <si>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</si>
  <si>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</si>
  <si>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</si>
  <si>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</si>
  <si>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</si>
  <si>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</si>
  <si>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</si>
  <si>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</si>
  <si>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</si>
  <si>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</si>
  <si>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</si>
  <si>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</si>
  <si>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</si>
  <si>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</si>
  <si>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</si>
  <si>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</si>
  <si>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</si>
  <si>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</si>
  <si>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</si>
  <si>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</si>
  <si>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</si>
  <si>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</si>
  <si>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</si>
  <si>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</si>
  <si>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</si>
  <si>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</si>
  <si>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</si>
  <si>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</si>
  <si>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</si>
  <si>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</si>
  <si>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</si>
  <si>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</si>
  <si>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</si>
  <si>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</si>
  <si>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</si>
  <si>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</si>
  <si>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</si>
  <si>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</si>
  <si>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</si>
  <si>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</si>
  <si>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</si>
  <si>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</si>
  <si>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</si>
  <si>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107.09</t>
  </si>
  <si>
    <t>TFIT05270230</t>
  </si>
  <si>
    <t>COLTES 27/02/30</t>
  </si>
  <si>
    <t>0.2637404078</t>
  </si>
  <si>
    <t>105.562</t>
  </si>
  <si>
    <t>TFIT08031127</t>
  </si>
  <si>
    <t>COLTES 03/11/27</t>
  </si>
  <si>
    <t>0.1925715128</t>
  </si>
  <si>
    <t>96.76</t>
  </si>
  <si>
    <t>TFIT10260331</t>
  </si>
  <si>
    <t>COLTES 26/03/31</t>
  </si>
  <si>
    <t>0.2684713068</t>
  </si>
  <si>
    <t>84.618</t>
  </si>
  <si>
    <t>TFIT11090233</t>
  </si>
  <si>
    <t>COLTES 09/02/33</t>
  </si>
  <si>
    <t>0.4344958406</t>
  </si>
  <si>
    <t>111.272</t>
  </si>
  <si>
    <t>TFIT11240135</t>
  </si>
  <si>
    <t>COLTES 24/01/35</t>
  </si>
  <si>
    <t>0.3838460955</t>
  </si>
  <si>
    <t>104.779</t>
  </si>
  <si>
    <t>TFIT16090736</t>
  </si>
  <si>
    <t>COLTES 09/07/36</t>
  </si>
  <si>
    <t>0.1336322697</t>
  </si>
  <si>
    <t>68.44</t>
  </si>
  <si>
    <t>TFIT16180930</t>
  </si>
  <si>
    <t>COLTES 18/09/30</t>
  </si>
  <si>
    <t>0.219881027</t>
  </si>
  <si>
    <t>92.631</t>
  </si>
  <si>
    <t>TFIT16181034</t>
  </si>
  <si>
    <t>COLTES 18/10/34</t>
  </si>
  <si>
    <t>0.1364563166</t>
  </si>
  <si>
    <t>81.947</t>
  </si>
  <si>
    <t>TFIT16280428</t>
  </si>
  <si>
    <t>COLTES 28/04/28</t>
  </si>
  <si>
    <t>0.3341497934</t>
  </si>
  <si>
    <t>91.627</t>
  </si>
  <si>
    <t>TFIT16281140</t>
  </si>
  <si>
    <t>COLTES 28/11/40</t>
  </si>
  <si>
    <t>0.2187831991</t>
  </si>
  <si>
    <t>113.144</t>
  </si>
  <si>
    <t>TFIT16300632</t>
  </si>
  <si>
    <t>COLTES 30/06/32</t>
  </si>
  <si>
    <t>0.2397427675</t>
  </si>
  <si>
    <t>80.186</t>
  </si>
  <si>
    <t>TFIT21280542</t>
  </si>
  <si>
    <t>COLTES 28/05/42</t>
  </si>
  <si>
    <t>0.407921073</t>
  </si>
  <si>
    <t>82.499</t>
  </si>
  <si>
    <t>TFIT23250746</t>
  </si>
  <si>
    <t>COLTES 25/07/46</t>
  </si>
  <si>
    <t>0.3317885635</t>
  </si>
  <si>
    <t>107.736</t>
  </si>
  <si>
    <t>TFIT31261050</t>
  </si>
  <si>
    <t>COLTES 26/10/50</t>
  </si>
  <si>
    <t>0.1728375784</t>
  </si>
  <si>
    <t>68.325</t>
  </si>
  <si>
    <t>TFIT34130358</t>
  </si>
  <si>
    <t>COLTES 13/03/58</t>
  </si>
  <si>
    <t>0.1277998766</t>
  </si>
  <si>
    <t>102.215</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</si>
  <si>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</si>
  <si>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</si>
  <si>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</si>
  <si>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</si>
  <si>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</si>
  <si>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</si>
  <si>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</si>
  <si>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</si>
  <si>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</si>
  <si>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</si>
  <si>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</si>
  <si>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</si>
  <si>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</si>
  <si>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</si>
  <si>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</si>
  <si>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</si>
  <si>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</si>
  <si>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</si>
  <si>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</si>
  <si>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</si>
  <si>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</si>
  <si>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</si>
  <si>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</si>
  <si>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</si>
  <si>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</si>
  <si>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</si>
  <si>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</si>
  <si>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</si>
  <si>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</si>
  <si>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</si>
  <si>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</si>
  <si>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</si>
  <si>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</si>
  <si>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</si>
  <si>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</si>
  <si>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102.69</t>
  </si>
  <si>
    <t>TUVT10180429</t>
  </si>
  <si>
    <t>COLTES UVR 18/04/29</t>
  </si>
  <si>
    <t>0.162637071</t>
  </si>
  <si>
    <t>91.691</t>
  </si>
  <si>
    <t>TUVT17200341</t>
  </si>
  <si>
    <t>COLTES UVR 20/03/41</t>
  </si>
  <si>
    <t>0.0915981385</t>
  </si>
  <si>
    <t>89.729</t>
  </si>
  <si>
    <t>TUVT18250237</t>
  </si>
  <si>
    <t>COLTES UVR 25/02/37</t>
  </si>
  <si>
    <t>0.4842187768</t>
  </si>
  <si>
    <t>82.094</t>
  </si>
  <si>
    <t>TUVT20040435</t>
  </si>
  <si>
    <t>COLTES UVR 04/04/35</t>
  </si>
  <si>
    <t>0.3337307837</t>
  </si>
  <si>
    <t>91.834</t>
  </si>
  <si>
    <t>TUVT20250333</t>
  </si>
  <si>
    <t>COLTES UVR 25/03/33</t>
  </si>
  <si>
    <t>0.1586782089</t>
  </si>
  <si>
    <t>83.524</t>
  </si>
  <si>
    <t>TUVT31190555</t>
  </si>
  <si>
    <t>COLTES UVR 19/05/55</t>
  </si>
  <si>
    <t>0.1232718344</t>
  </si>
  <si>
    <t>89.075</t>
  </si>
  <si>
    <t>TUVT32160649</t>
  </si>
  <si>
    <t>COLTES UVR 16/06/49</t>
  </si>
  <si>
    <t>0.351834676</t>
  </si>
  <si>
    <t>73.01</t>
  </si>
  <si>
    <t>TUVT38010262</t>
  </si>
  <si>
    <t>COLTES UVR 01/02/62</t>
  </si>
  <si>
    <t>0.2852054677</t>
  </si>
  <si>
    <t>107.475</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</si>
  <si>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</si>
  <si>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</si>
  <si>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</si>
  <si>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</si>
  <si>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</si>
  <si>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</si>
  <si>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</si>
  <si>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</si>
  <si>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</si>
  <si>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</si>
  <si>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</si>
  <si>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</si>
  <si>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</si>
  <si>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</si>
  <si>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</si>
  <si>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</si>
  <si>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</si>
  <si>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</si>
  <si>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</si>
  <si>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</si>
  <si>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</si>
  <si>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</si>
  <si>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2026-05-28</t>
  </si>
  <si>
    <t>2026-05-29</t>
  </si>
  <si>
    <t>2026-06-01</t>
  </si>
  <si>
    <t>2026-06-02</t>
  </si>
  <si>
    <t>2026-06-03</t>
  </si>
  <si>
    <t>2026-06-04</t>
  </si>
  <si>
    <t>2026-06-05</t>
  </si>
  <si>
    <t>2026-06-09</t>
  </si>
  <si>
    <t>2026-06-10</t>
  </si>
  <si>
    <t>2026-06-11</t>
  </si>
  <si>
    <t>2026-06-12</t>
  </si>
  <si>
    <t>2026-06-16</t>
  </si>
  <si>
    <t>2026-06-17</t>
  </si>
  <si>
    <t>2026-06-18</t>
  </si>
  <si>
    <t>2026-06-19</t>
  </si>
  <si>
    <t>2026-06-22</t>
  </si>
  <si>
    <t>2026-06-23</t>
  </si>
  <si>
    <t>2026-06-24</t>
  </si>
  <si>
    <t>2026-06-25</t>
  </si>
  <si>
    <t>2026-06-26</t>
  </si>
  <si>
    <t>2026-06-30</t>
  </si>
  <si>
    <t>2026-07-01</t>
  </si>
  <si>
    <t>2026-07-02</t>
  </si>
  <si>
    <t>2026-07-03</t>
  </si>
  <si>
    <t>2026-07-06</t>
  </si>
  <si>
    <t>2026-07-07</t>
  </si>
  <si>
    <t>2026-07-08</t>
  </si>
  <si>
    <t>2026-07-09</t>
  </si>
  <si>
    <t>2026-07-10</t>
  </si>
  <si>
    <t>2026-07-14</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</si>
  <si>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</si>
  <si>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</si>
  <si>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</si>
  <si>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</si>
  <si>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</si>
  <si>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</si>
  <si>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</si>
  <si>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</si>
  <si>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</si>
  <si>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</si>
  <si>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</si>
  <si>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</si>
  <si>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</si>
  <si>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</si>
  <si>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2025-12-31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</si>
  <si>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</si>
  <si>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</si>
  <si>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</si>
  <si>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</si>
  <si>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</si>
  <si>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</si>
  <si>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</si>
  <si>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</si>
  <si>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</si>
  <si>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</si>
  <si>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</si>
  <si>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</si>
  <si>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</si>
  <si>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</si>
  <si>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</si>
  <si>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</si>
  <si>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</si>
  <si>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</si>
  <si>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</si>
  <si>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</si>
  <si>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</si>
  <si>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</si>
  <si>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</si>
  <si>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</si>
  <si>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</si>
  <si>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</si>
  <si>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</si>
  <si>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</si>
  <si>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</si>
  <si>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</si>
  <si>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</si>
  <si>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</si>
  <si>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</si>
  <si>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</si>
  <si>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</si>
  <si>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</si>
  <si>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</si>
  <si>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</si>
  <si>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</si>
  <si>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</si>
  <si>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</si>
  <si>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</si>
  <si>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</si>
  <si>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</si>
  <si>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</si>
  <si>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</si>
  <si>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</si>
  <si>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</si>
  <si>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</si>
  <si>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</si>
  <si>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</si>
  <si>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</si>
  <si>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</si>
  <si>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</si>
  <si>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</si>
  <si>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</si>
  <si>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</si>
  <si>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</si>
  <si>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</si>
  <si>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</si>
  <si>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</si>
  <si>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</si>
  <si>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</si>
  <si>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</si>
  <si>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</si>
  <si>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</si>
  <si>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</si>
  <si>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</si>
  <si>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</si>
  <si>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</si>
  <si>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</si>
  <si>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</si>
  <si>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</si>
  <si>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</si>
  <si>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</si>
  <si>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</si>
  <si>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</si>
  <si>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</si>
  <si>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</si>
  <si>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</si>
  <si>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</si>
  <si>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</si>
  <si>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</si>
  <si>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</si>
  <si>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</si>
  <si>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</si>
  <si>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</si>
  <si>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</si>
  <si>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</si>
  <si>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</si>
  <si>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</si>
  <si>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</si>
  <si>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</si>
  <si>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</si>
  <si>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</si>
  <si>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</si>
  <si>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</si>
  <si>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</si>
  <si>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</si>
  <si>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</si>
  <si>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</si>
  <si>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</si>
  <si>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</si>
  <si>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</si>
  <si>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</si>
  <si>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</si>
  <si>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</si>
  <si>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</si>
  <si>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</si>
  <si>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</si>
  <si>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</si>
  <si>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</si>
  <si>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CELSIA    </t>
  </si>
  <si>
    <t xml:space="preserve">CEMARGOS  </t>
  </si>
  <si>
    <t xml:space="preserve">CIBEST    </t>
  </si>
  <si>
    <t xml:space="preserve">ECOPETROL </t>
  </si>
  <si>
    <t xml:space="preserve">GEB       </t>
  </si>
  <si>
    <t xml:space="preserve">ISA       </t>
  </si>
  <si>
    <t xml:space="preserve">PEI       </t>
  </si>
  <si>
    <t xml:space="preserve">PFAVAL    </t>
  </si>
  <si>
    <t xml:space="preserve">PFCIBEST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</si>
  <si>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</si>
  <si>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</si>
  <si>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</si>
  <si>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</si>
  <si>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</si>
  <si>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</si>
  <si>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</si>
  <si>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</si>
  <si>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</si>
  <si>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</si>
  <si>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</si>
  <si>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</si>
  <si>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</si>
  <si>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</si>
  <si>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</si>
  <si>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</si>
  <si>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</si>
  <si>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</si>
  <si>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</si>
  <si>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ASPT</t>
  </si>
  <si>
    <t>ATTV</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</si>
  <si>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</si>
  <si>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</si>
  <si>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</si>
  <si>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</si>
  <si>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</si>
  <si>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</si>
  <si>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</si>
  <si>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</si>
  <si>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</si>
  <si>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</si>
  <si>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</si>
  <si>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</si>
  <si>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</si>
  <si>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</si>
  <si>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CDTBBO80</t>
  </si>
  <si>
    <t>2027-08-14</t>
  </si>
  <si>
    <t>IB1</t>
  </si>
  <si>
    <t>NOMINAL</t>
  </si>
  <si>
    <t>MV</t>
  </si>
  <si>
    <t>2027-09-14</t>
  </si>
  <si>
    <t>CDTBBOS0V</t>
  </si>
  <si>
    <t>2027-05-13</t>
  </si>
  <si>
    <t>FS</t>
  </si>
  <si>
    <t>PV</t>
  </si>
  <si>
    <t>2027-05-14</t>
  </si>
  <si>
    <t>2027-10-14</t>
  </si>
  <si>
    <t>TV</t>
  </si>
  <si>
    <t>2028-01-14</t>
  </si>
  <si>
    <t>2028-07-14</t>
  </si>
  <si>
    <t>CDTBBOS0VA</t>
  </si>
  <si>
    <t>CDTBCX80</t>
  </si>
  <si>
    <t>BANCO DE COMERCIO EXTERIOR DE COLOMBIA S.A.</t>
  </si>
  <si>
    <t>2027-07-14</t>
  </si>
  <si>
    <t>CDTBGAS0V</t>
  </si>
  <si>
    <t>BANCO BILBAO VIZCAYA ARGENTARIA COLOMBIA S.A. BBVA COLOMBIA</t>
  </si>
  <si>
    <t>CDTBMMS0V</t>
  </si>
  <si>
    <t>BANCO MUNDO MUJER S.A.</t>
  </si>
  <si>
    <t>2027-01-14</t>
  </si>
  <si>
    <t>2029-01-14</t>
  </si>
  <si>
    <t>CDTBOC80P</t>
  </si>
  <si>
    <t>CDTBOCS0V</t>
  </si>
  <si>
    <t>2026-10-14</t>
  </si>
  <si>
    <t>CDTBOOS0VD</t>
  </si>
  <si>
    <t>BANCO COOMEVA S.A.</t>
  </si>
  <si>
    <t>CDTBPOS0V</t>
  </si>
  <si>
    <t>2029-07-14</t>
  </si>
  <si>
    <t>CDTBTG80PA</t>
  </si>
  <si>
    <t>BANCO BTG PACTUAL COLOMBIA</t>
  </si>
  <si>
    <t>CDTCFC90</t>
  </si>
  <si>
    <t>CORPORACION FINANCIERA COLOMBIANA CORFICOLOMBIANA</t>
  </si>
  <si>
    <t>IPC</t>
  </si>
  <si>
    <t>CDTCFCS0V</t>
  </si>
  <si>
    <t>CDTCLPS0V</t>
  </si>
  <si>
    <t>DAVIBANK S.A.</t>
  </si>
  <si>
    <t>CDTCZFS0V</t>
  </si>
  <si>
    <t>CREZCAMOS S.A. COMPANIA DE FINANCIAMIENTO</t>
  </si>
  <si>
    <t>CDTDVI95</t>
  </si>
  <si>
    <t>CDTDVIS0V</t>
  </si>
  <si>
    <t>2027-02-14</t>
  </si>
  <si>
    <t>CDTFDT90P</t>
  </si>
  <si>
    <t>FINANCIERA DE DESARROLLO TERRITORIAL S.A.</t>
  </si>
  <si>
    <t>CDTGMAS5V</t>
  </si>
  <si>
    <t>GM FINANCIAL COLOMBIA S.A. COMPA#IA DE FINANCIAMIENTO</t>
  </si>
  <si>
    <t>CDTHIPS0V</t>
  </si>
  <si>
    <t>LA HIPOTECARIA COMPANIA DE FINANCIAMIENTO S.A.</t>
  </si>
  <si>
    <t>CDTITUS0V</t>
  </si>
  <si>
    <t>ITAU CORPBANCA COLOMBIA S.A.</t>
  </si>
  <si>
    <t>2026-11-14</t>
  </si>
  <si>
    <t>CDTMIAS0VD</t>
  </si>
  <si>
    <t>BANCO DE LAS MICROFINANZAS BANCAMIA S.A.</t>
  </si>
  <si>
    <t>CDTRCIS0</t>
  </si>
  <si>
    <t>RCI COLOMBIA S.A. COMPANIA DE FINANCIAMIENTO</t>
  </si>
  <si>
    <t>CDTTYAS0V</t>
  </si>
  <si>
    <t>COMPANIA DE FINANCIAMIENTO TUYA S.A.</t>
  </si>
  <si>
    <t>2027-04-14</t>
  </si>
  <si>
    <t>TDS</t>
  </si>
  <si>
    <t>GOBIERNO REPUBLICA DE COLOMBIA</t>
  </si>
  <si>
    <t>2026-07-13</t>
  </si>
  <si>
    <t>2027-07-13</t>
  </si>
  <si>
    <t>EFECTIVA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</si>
  <si>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</si>
  <si>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</si>
  <si>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</si>
  <si>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</si>
  <si>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</si>
  <si>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</si>
  <si>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</si>
  <si>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</si>
  <si>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</si>
  <si>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</si>
  <si>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</si>
  <si>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</si>
  <si>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BBBO226SE036</t>
  </si>
  <si>
    <t xml:space="preserve">Bonos ordinarios              </t>
  </si>
  <si>
    <t>2029-06-24</t>
  </si>
  <si>
    <t>BBCB03119D15</t>
  </si>
  <si>
    <t>2011-11-02</t>
  </si>
  <si>
    <t>2026-11-02</t>
  </si>
  <si>
    <t>BBGA01119G18</t>
  </si>
  <si>
    <t xml:space="preserve">Bonos subordinados            </t>
  </si>
  <si>
    <t>2011-09-19</t>
  </si>
  <si>
    <t>2026-09-19</t>
  </si>
  <si>
    <t>BDVI0219C084</t>
  </si>
  <si>
    <t>2021-02-18</t>
  </si>
  <si>
    <t>2028-02-18</t>
  </si>
  <si>
    <t>BDVI126SF030</t>
  </si>
  <si>
    <t>2026-05-20</t>
  </si>
  <si>
    <t>2028-11-20</t>
  </si>
  <si>
    <t>BDVI2169C120</t>
  </si>
  <si>
    <t>2016-09-28</t>
  </si>
  <si>
    <t>2026-09-28</t>
  </si>
  <si>
    <t>BECO1139C15</t>
  </si>
  <si>
    <t xml:space="preserve">Bonos deuda publica interna   </t>
  </si>
  <si>
    <t>2013-08-27</t>
  </si>
  <si>
    <t>2028-08-27</t>
  </si>
  <si>
    <t>BPEISSA4</t>
  </si>
  <si>
    <t xml:space="preserve">Bonos pensionales             </t>
  </si>
  <si>
    <t>2026-04-23</t>
  </si>
  <si>
    <t>2027-09-28</t>
  </si>
  <si>
    <t>BPEMINHTA4</t>
  </si>
  <si>
    <t>2006-10-20</t>
  </si>
  <si>
    <t>2031-01-06</t>
  </si>
  <si>
    <t>2017-01-25</t>
  </si>
  <si>
    <t>2032-08-16</t>
  </si>
  <si>
    <t>CDTBBO90</t>
  </si>
  <si>
    <t>Cert deposito termino bancario</t>
  </si>
  <si>
    <t>2023-02-06</t>
  </si>
  <si>
    <t>2027-02-06</t>
  </si>
  <si>
    <t>2023-02-08</t>
  </si>
  <si>
    <t>2028-02-08</t>
  </si>
  <si>
    <t>2025-04-25</t>
  </si>
  <si>
    <t>2027-04-25</t>
  </si>
  <si>
    <t>2025-05-08</t>
  </si>
  <si>
    <t>2026-11-08</t>
  </si>
  <si>
    <t>2025-07-10</t>
  </si>
  <si>
    <t>2027-07-10</t>
  </si>
  <si>
    <t>2025-07-17</t>
  </si>
  <si>
    <t>2026-07-17</t>
  </si>
  <si>
    <t>2025-08-27</t>
  </si>
  <si>
    <t>2027-05-27</t>
  </si>
  <si>
    <t>2027-08-27</t>
  </si>
  <si>
    <t>2026-01-13</t>
  </si>
  <si>
    <t>2027-01-13</t>
  </si>
  <si>
    <t>2026-03-04</t>
  </si>
  <si>
    <t>2027-03-04</t>
  </si>
  <si>
    <t>2028-06-26</t>
  </si>
  <si>
    <t>2028-07-02</t>
  </si>
  <si>
    <t>CDTBCB90</t>
  </si>
  <si>
    <t>2022-09-28</t>
  </si>
  <si>
    <t>2037-09-28</t>
  </si>
  <si>
    <t>2022-12-16</t>
  </si>
  <si>
    <t>2034-12-16</t>
  </si>
  <si>
    <t>CDTBCBS0V</t>
  </si>
  <si>
    <t>2023-08-02</t>
  </si>
  <si>
    <t>2023-08-04</t>
  </si>
  <si>
    <t>2027-08-04</t>
  </si>
  <si>
    <t>2025-05-26</t>
  </si>
  <si>
    <t>2027-05-26</t>
  </si>
  <si>
    <t>2026-02-12</t>
  </si>
  <si>
    <t>2027-02-12</t>
  </si>
  <si>
    <t>2026-02-23</t>
  </si>
  <si>
    <t>2026-08-23</t>
  </si>
  <si>
    <t>2026-03-03</t>
  </si>
  <si>
    <t>2026-12-03</t>
  </si>
  <si>
    <t>2026-08-28</t>
  </si>
  <si>
    <t>2017-09-20</t>
  </si>
  <si>
    <t>2027-09-20</t>
  </si>
  <si>
    <t>2022-05-17</t>
  </si>
  <si>
    <t>2027-05-17</t>
  </si>
  <si>
    <t>2022-05-26</t>
  </si>
  <si>
    <t>2022-06-03</t>
  </si>
  <si>
    <t>2027-06-03</t>
  </si>
  <si>
    <t>2023-07-25</t>
  </si>
  <si>
    <t>2029-07-25</t>
  </si>
  <si>
    <t>2023-10-12</t>
  </si>
  <si>
    <t>2026-10-12</t>
  </si>
  <si>
    <t>2024-11-18</t>
  </si>
  <si>
    <t>2028-11-18</t>
  </si>
  <si>
    <t>2024-11-19</t>
  </si>
  <si>
    <t>2026-11-19</t>
  </si>
  <si>
    <t>2028-11-19</t>
  </si>
  <si>
    <t>2024-11-21</t>
  </si>
  <si>
    <t>2028-11-21</t>
  </si>
  <si>
    <t>2024-12-17</t>
  </si>
  <si>
    <t>2028-12-17</t>
  </si>
  <si>
    <t>2025-05-07</t>
  </si>
  <si>
    <t>2027-05-07</t>
  </si>
  <si>
    <t>2025-07-03</t>
  </si>
  <si>
    <t>2027-10-03</t>
  </si>
  <si>
    <t>2025-08-13</t>
  </si>
  <si>
    <t>2027-11-13</t>
  </si>
  <si>
    <t>2025-09-04</t>
  </si>
  <si>
    <t>2027-09-04</t>
  </si>
  <si>
    <t>2025-09-12</t>
  </si>
  <si>
    <t>2027-09-12</t>
  </si>
  <si>
    <t>2025-10-28</t>
  </si>
  <si>
    <t>2027-10-28</t>
  </si>
  <si>
    <t>2026-01-06</t>
  </si>
  <si>
    <t>2027-01-06</t>
  </si>
  <si>
    <t>2023-08-23</t>
  </si>
  <si>
    <t>2027-08-23</t>
  </si>
  <si>
    <t>2025-03-05</t>
  </si>
  <si>
    <t>2027-03-05</t>
  </si>
  <si>
    <t>2025-04-23</t>
  </si>
  <si>
    <t>2027-04-23</t>
  </si>
  <si>
    <t>2028-06-09</t>
  </si>
  <si>
    <t xml:space="preserve">Cert.dep.term.corp.financiera </t>
  </si>
  <si>
    <t>2020-08-21</t>
  </si>
  <si>
    <t>2026-08-21</t>
  </si>
  <si>
    <t>2022-06-01</t>
  </si>
  <si>
    <t>2027-06-01</t>
  </si>
  <si>
    <t>2024-08-15</t>
  </si>
  <si>
    <t>2026-08-15</t>
  </si>
  <si>
    <t>2025-02-26</t>
  </si>
  <si>
    <t>2027-02-26</t>
  </si>
  <si>
    <t>2025-05-21</t>
  </si>
  <si>
    <t>2027-05-21</t>
  </si>
  <si>
    <t>2025-08-20</t>
  </si>
  <si>
    <t>2027-02-20</t>
  </si>
  <si>
    <t>2023-07-14</t>
  </si>
  <si>
    <t>2023-07-17</t>
  </si>
  <si>
    <t>2028-07-17</t>
  </si>
  <si>
    <t>2025-06-16</t>
  </si>
  <si>
    <t>2026-12-16</t>
  </si>
  <si>
    <t>2025-07-31</t>
  </si>
  <si>
    <t>2027-01-31</t>
  </si>
  <si>
    <t>2028-01-31</t>
  </si>
  <si>
    <t>2026-02-04</t>
  </si>
  <si>
    <t>2028-02-04</t>
  </si>
  <si>
    <t>2026-02-26</t>
  </si>
  <si>
    <t>CDTFDT80</t>
  </si>
  <si>
    <t xml:space="preserve">Cdt inst. oficial especial    </t>
  </si>
  <si>
    <t>2027-08-12</t>
  </si>
  <si>
    <t>2028-07-08</t>
  </si>
  <si>
    <t>2024-02-22</t>
  </si>
  <si>
    <t>2029-02-22</t>
  </si>
  <si>
    <t>2024-04-23</t>
  </si>
  <si>
    <t>2029-04-23</t>
  </si>
  <si>
    <t>2025-02-04</t>
  </si>
  <si>
    <t>2026-08-04</t>
  </si>
  <si>
    <t>2025-02-24</t>
  </si>
  <si>
    <t>2026-11-24</t>
  </si>
  <si>
    <t>2025-04-10</t>
  </si>
  <si>
    <t>2026-10-10</t>
  </si>
  <si>
    <t>CDTFDTS0V</t>
  </si>
  <si>
    <t>2026-04-07</t>
  </si>
  <si>
    <t>2028-10-07</t>
  </si>
  <si>
    <t>2028-06-04</t>
  </si>
  <si>
    <t>2027-12-22</t>
  </si>
  <si>
    <t>CDTLVSS0V</t>
  </si>
  <si>
    <t>2027-07-01</t>
  </si>
  <si>
    <t>2030-07-02</t>
  </si>
  <si>
    <t>2029-07-07</t>
  </si>
  <si>
    <t>2029-07-08</t>
  </si>
  <si>
    <t>DAVCOREITC</t>
  </si>
  <si>
    <t xml:space="preserve">Tit.part.fondos               </t>
  </si>
  <si>
    <t>2017-09-28</t>
  </si>
  <si>
    <t>2047-09-28</t>
  </si>
  <si>
    <t>TCO364151226</t>
  </si>
  <si>
    <t xml:space="preserve">Titulos tes                   </t>
  </si>
  <si>
    <t>2025-12-16</t>
  </si>
  <si>
    <t>2026-12-15</t>
  </si>
  <si>
    <t>TCO364200427</t>
  </si>
  <si>
    <t>2026-04-21</t>
  </si>
  <si>
    <t>2027-04-20</t>
  </si>
  <si>
    <t>TCO364201026</t>
  </si>
  <si>
    <t>2025-10-21</t>
  </si>
  <si>
    <t>2026-10-20</t>
  </si>
  <si>
    <t>TCO364260127</t>
  </si>
  <si>
    <t>2026-01-27</t>
  </si>
  <si>
    <t>2027-01-26</t>
  </si>
  <si>
    <t>2024-08-22</t>
  </si>
  <si>
    <t>2029-08-22</t>
  </si>
  <si>
    <t>2025-02-27</t>
  </si>
  <si>
    <t>2030-02-27</t>
  </si>
  <si>
    <t>2019-11-03</t>
  </si>
  <si>
    <t>2027-11-03</t>
  </si>
  <si>
    <t>2021-03-26</t>
  </si>
  <si>
    <t>2031-03-26</t>
  </si>
  <si>
    <t>2022-02-09</t>
  </si>
  <si>
    <t>2033-02-09</t>
  </si>
  <si>
    <t>2024-01-24</t>
  </si>
  <si>
    <t>2035-01-24</t>
  </si>
  <si>
    <t>2020-07-09</t>
  </si>
  <si>
    <t>2036-07-09</t>
  </si>
  <si>
    <t>2012-04-28</t>
  </si>
  <si>
    <t>2028-04-28</t>
  </si>
  <si>
    <t>2024-11-28</t>
  </si>
  <si>
    <t>2040-11-28</t>
  </si>
  <si>
    <t>2016-06-30</t>
  </si>
  <si>
    <t>2032-06-30</t>
  </si>
  <si>
    <t>2046-07-25</t>
  </si>
  <si>
    <t>2019-10-26</t>
  </si>
  <si>
    <t>2050-10-26</t>
  </si>
  <si>
    <t>2024-03-13</t>
  </si>
  <si>
    <t>2058-03-13</t>
  </si>
  <si>
    <t xml:space="preserve">Titulos tes en uvr            </t>
  </si>
  <si>
    <t>2024-01-22</t>
  </si>
  <si>
    <t>2031-01-22</t>
  </si>
  <si>
    <t>TUVT11170327</t>
  </si>
  <si>
    <t>2016-03-17</t>
  </si>
  <si>
    <t>2027-03-17</t>
  </si>
  <si>
    <t>2019-02-25</t>
  </si>
  <si>
    <t>2037-02-25</t>
  </si>
  <si>
    <t>2013-03-25</t>
  </si>
  <si>
    <t>2033-03-25</t>
  </si>
  <si>
    <t>2024-02-01</t>
  </si>
  <si>
    <t>2062-02-01</t>
  </si>
  <si>
    <t>Segmento Público - Sistema de Registro / A2A Market - OTC Fixed Income</t>
  </si>
  <si>
    <t>BBBO226SE024</t>
  </si>
  <si>
    <t>2028-06-24</t>
  </si>
  <si>
    <t>BBPO520SB084</t>
  </si>
  <si>
    <t>2020-02-04</t>
  </si>
  <si>
    <t>2027-02-04</t>
  </si>
  <si>
    <t>BDVI121SF060</t>
  </si>
  <si>
    <t>2021-09-07</t>
  </si>
  <si>
    <t>2026-09-07</t>
  </si>
  <si>
    <t>BDVI4179C120</t>
  </si>
  <si>
    <t>2017-06-07</t>
  </si>
  <si>
    <t>2027-06-07</t>
  </si>
  <si>
    <t>BPEI219SA010</t>
  </si>
  <si>
    <t>2019-11-07</t>
  </si>
  <si>
    <t>2029-11-07</t>
  </si>
  <si>
    <t>2025-10-23</t>
  </si>
  <si>
    <t>2025-11-07</t>
  </si>
  <si>
    <t>2026-11-07</t>
  </si>
  <si>
    <t>2025-11-28</t>
  </si>
  <si>
    <t>2027-11-28</t>
  </si>
  <si>
    <t>2026-09-05</t>
  </si>
  <si>
    <t>2027-04-10</t>
  </si>
  <si>
    <t>2027-05-04</t>
  </si>
  <si>
    <t>2023-07-24</t>
  </si>
  <si>
    <t>2030-07-24</t>
  </si>
  <si>
    <t>2026-05-11</t>
  </si>
  <si>
    <t>2026-12-01</t>
  </si>
  <si>
    <t>2026-05-21</t>
  </si>
  <si>
    <t>CDTBGA95</t>
  </si>
  <si>
    <t>2016-03-16</t>
  </si>
  <si>
    <t>2027-03-16</t>
  </si>
  <si>
    <t>2023-07-19</t>
  </si>
  <si>
    <t>2028-07-19</t>
  </si>
  <si>
    <t>2025-05-27</t>
  </si>
  <si>
    <t>2027-02-27</t>
  </si>
  <si>
    <t>2023-01-17</t>
  </si>
  <si>
    <t>2027-01-17</t>
  </si>
  <si>
    <t>2026-04-20</t>
  </si>
  <si>
    <t>2026-02-17</t>
  </si>
  <si>
    <t>2026-09-04</t>
  </si>
  <si>
    <t>CDTBPO80</t>
  </si>
  <si>
    <t>2026-01-19</t>
  </si>
  <si>
    <t>2027-07-19</t>
  </si>
  <si>
    <t>CDTBTG80P</t>
  </si>
  <si>
    <t>2026-01-16</t>
  </si>
  <si>
    <t>2027-07-16</t>
  </si>
  <si>
    <t>2027-04-19</t>
  </si>
  <si>
    <t>2026-01-20</t>
  </si>
  <si>
    <t>2027-01-20</t>
  </si>
  <si>
    <t>2026-01-23</t>
  </si>
  <si>
    <t>2026-01-30</t>
  </si>
  <si>
    <t>2027-04-30</t>
  </si>
  <si>
    <t>2025-01-20</t>
  </si>
  <si>
    <t>2028-01-20</t>
  </si>
  <si>
    <t>2025-05-23</t>
  </si>
  <si>
    <t>2027-05-23</t>
  </si>
  <si>
    <t xml:space="preserve">Cert.dep.term.cia.fcto        </t>
  </si>
  <si>
    <t>CDTDVI80</t>
  </si>
  <si>
    <t>2026-02-18</t>
  </si>
  <si>
    <t>2027-08-18</t>
  </si>
  <si>
    <t>2025-06-04</t>
  </si>
  <si>
    <t>2026-12-04</t>
  </si>
  <si>
    <t>2027-06-17</t>
  </si>
  <si>
    <t>2028-06-17</t>
  </si>
  <si>
    <t>2022-10-05</t>
  </si>
  <si>
    <t>2027-10-05</t>
  </si>
  <si>
    <t>2023-09-04</t>
  </si>
  <si>
    <t>2028-09-04</t>
  </si>
  <si>
    <t>2024-09-03</t>
  </si>
  <si>
    <t>2026-09-03</t>
  </si>
  <si>
    <t>2026-05-25</t>
  </si>
  <si>
    <t>2026-08-25</t>
  </si>
  <si>
    <t>2027-06-22</t>
  </si>
  <si>
    <t>2027-01-09</t>
  </si>
  <si>
    <t>2028-07-09</t>
  </si>
  <si>
    <t>CDTFDN80</t>
  </si>
  <si>
    <t>2026-01-21</t>
  </si>
  <si>
    <t>2027-04-21</t>
  </si>
  <si>
    <t>2026-01-26</t>
  </si>
  <si>
    <t>2027-06-26</t>
  </si>
  <si>
    <t>2026-01-28</t>
  </si>
  <si>
    <t>2027-06-28</t>
  </si>
  <si>
    <t>2027-08-17</t>
  </si>
  <si>
    <t>2029-07-09</t>
  </si>
  <si>
    <t>2025-05-09</t>
  </si>
  <si>
    <t>2027-05-09</t>
  </si>
  <si>
    <t>2026-04-09</t>
  </si>
  <si>
    <t>2028-10-09</t>
  </si>
  <si>
    <t>2027-06-14</t>
  </si>
  <si>
    <t>TCO364130727</t>
  </si>
  <si>
    <t>TFIT15260826</t>
  </si>
  <si>
    <t>2011-08-26</t>
  </si>
  <si>
    <t>2026-08-26</t>
  </si>
  <si>
    <t>2014-09-18</t>
  </si>
  <si>
    <t>2030-09-18</t>
  </si>
  <si>
    <t>2018-10-18</t>
  </si>
  <si>
    <t>2034-10-18</t>
  </si>
  <si>
    <t>2021-05-28</t>
  </si>
  <si>
    <t>2042-05-28</t>
  </si>
  <si>
    <t>TIDISDVL</t>
  </si>
  <si>
    <t>Tidis-tit.devolucion impuestos</t>
  </si>
  <si>
    <t>2026-05-13</t>
  </si>
  <si>
    <t>2027-06-05</t>
  </si>
  <si>
    <t>2027-06-25</t>
  </si>
  <si>
    <t>2027-07-02</t>
  </si>
  <si>
    <t>2027-07-03</t>
  </si>
  <si>
    <t>2027-07-06</t>
  </si>
  <si>
    <t>2027-07-07</t>
  </si>
  <si>
    <t>2027-07-08</t>
  </si>
  <si>
    <t>2027-07-09</t>
  </si>
  <si>
    <t>2027-02-24</t>
  </si>
  <si>
    <t>2019-04-18</t>
  </si>
  <si>
    <t>2029-04-18</t>
  </si>
  <si>
    <t>2024-03-20</t>
  </si>
  <si>
    <t>2041-03-20</t>
  </si>
  <si>
    <t>2024-05-19</t>
  </si>
  <si>
    <t>2055-05-19</t>
  </si>
  <si>
    <t>2017-06-16</t>
  </si>
  <si>
    <t>2049-06-16</t>
  </si>
  <si>
    <t>Punta</t>
  </si>
  <si>
    <t>Fecha</t>
  </si>
  <si>
    <t>Fecha Anulación</t>
  </si>
  <si>
    <t>CDTBTG80TP</t>
  </si>
  <si>
    <t>CDTGMAS0V</t>
  </si>
  <si>
    <t>Núm. Opes</t>
  </si>
  <si>
    <t>TITULOS TES</t>
  </si>
  <si>
    <t>BBOC1199B120</t>
  </si>
  <si>
    <t>BBSC1179B002</t>
  </si>
  <si>
    <t>BCLP7179FS10</t>
  </si>
  <si>
    <t>BGAA1249A015</t>
  </si>
  <si>
    <t>BITU125SA060</t>
  </si>
  <si>
    <t>BSIS3209C007</t>
  </si>
  <si>
    <t>BTSE01119A15</t>
  </si>
  <si>
    <t>TCO364230327</t>
  </si>
  <si>
    <t>TFIC15280427</t>
  </si>
  <si>
    <t>Compradores / Buyers</t>
  </si>
  <si>
    <t>BONOS PENSIONALES</t>
  </si>
  <si>
    <t>BONOS PRIVADOS</t>
  </si>
  <si>
    <t>BONOS PUBLICOS</t>
  </si>
  <si>
    <t>CERTIFICADOS DE DEPOSITO A TER</t>
  </si>
  <si>
    <t>TES UVR</t>
  </si>
  <si>
    <t>TITULOS DE PARTICIPACION</t>
  </si>
  <si>
    <t>TITULOS DEVOLUCION IMPUESTOS</t>
  </si>
  <si>
    <t>Sector</t>
  </si>
  <si>
    <t>PENSION BONDS</t>
  </si>
  <si>
    <t>ORDINARY BONDS</t>
  </si>
  <si>
    <t>PUBLIC INTERNAL DEBT BONDS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</si>
  <si>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</si>
  <si>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</si>
  <si>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</si>
  <si>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</si>
  <si>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</si>
  <si>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</si>
  <si>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</si>
  <si>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</si>
  <si>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</si>
  <si>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</si>
  <si>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</si>
  <si>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</si>
  <si>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</si>
  <si>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</si>
  <si>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</si>
  <si>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</si>
  <si>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</si>
  <si>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</si>
  <si>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</si>
  <si>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</si>
  <si>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</si>
  <si>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</si>
  <si>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</si>
  <si>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</si>
  <si>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</si>
  <si>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</si>
  <si>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</si>
  <si>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ECOU26F</t>
  </si>
  <si>
    <t>PCBU26F</t>
  </si>
  <si>
    <t>TRMQ26F</t>
  </si>
  <si>
    <t>TRMU26F</t>
  </si>
  <si>
    <t>TRXQ26F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</si>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</sst>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11">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685800</xdr:rowOff>
    </xdr:to>
    <xdr:pic>
      <xdr:nvPicPr>
        <xdr:cNvPr id="2" name="2 Imagen" descr="cabezote (2).png">
          <a:extLst>
            <a:ext uri="{FF2B5EF4-FFF2-40B4-BE49-F238E27FC236}">
              <a16:creationId xmlns:a16="http://schemas.microsoft.com/office/drawing/2014/main" id="{CE224A46-A0A7-40BB-BBAA-B609C10EB1B3}"/>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9466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ristian_cifuentes\Desktop\D_CRISTIAN\consulta%20tbopin%2020260714.xls" TargetMode="External"/><Relationship Id="rId1" Type="http://schemas.openxmlformats.org/officeDocument/2006/relationships/externalLinkPath" Target="file:///C:\Users\cristian_cifuentes\Desktop\D_CRISTIAN\consulta%20tbopin%202026071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1"/>
    </sheetNames>
    <sheetDataSet>
      <sheetData sheetId="0">
        <row r="1">
          <cell r="A1" t="str">
            <v>NEMO</v>
          </cell>
          <cell r="B1" t="str">
            <v>GRUPO</v>
          </cell>
          <cell r="C1" t="str">
            <v>NUM_OPE</v>
          </cell>
          <cell r="D1" t="str">
            <v>VAR_P_CIERRE</v>
          </cell>
          <cell r="E1" t="str">
            <v>ULT_PRECIO</v>
          </cell>
          <cell r="F1" t="str">
            <v>MAX_PRECIO</v>
          </cell>
          <cell r="G1" t="str">
            <v>MIN_PRECIO</v>
          </cell>
          <cell r="H1" t="str">
            <v>CANTIDAD</v>
          </cell>
          <cell r="I1" t="str">
            <v>OPIN</v>
          </cell>
          <cell r="J1" t="str">
            <v>MONTO</v>
          </cell>
        </row>
        <row r="2">
          <cell r="A2" t="str">
            <v>ECOU26F</v>
          </cell>
          <cell r="B2" t="str">
            <v>Futuros sobre Acciones / Stock Futures</v>
          </cell>
          <cell r="C2">
            <v>12</v>
          </cell>
          <cell r="D2">
            <v>2.6133743274404202E-2</v>
          </cell>
          <cell r="E2">
            <v>2670</v>
          </cell>
          <cell r="F2">
            <v>2679</v>
          </cell>
          <cell r="G2">
            <v>2636</v>
          </cell>
          <cell r="H2">
            <v>1040</v>
          </cell>
          <cell r="I2">
            <v>8270</v>
          </cell>
          <cell r="J2">
            <v>2776150000</v>
          </cell>
        </row>
        <row r="3">
          <cell r="A3" t="str">
            <v>PCBU26F</v>
          </cell>
          <cell r="B3" t="str">
            <v>Futuros sobre Acciones / Stock Futures</v>
          </cell>
          <cell r="C3">
            <v>2</v>
          </cell>
          <cell r="D3">
            <v>3.3570821239041798E-3</v>
          </cell>
          <cell r="E3">
            <v>68443</v>
          </cell>
          <cell r="F3">
            <v>68443</v>
          </cell>
          <cell r="G3">
            <v>68338</v>
          </cell>
          <cell r="H3">
            <v>9</v>
          </cell>
          <cell r="I3">
            <v>124</v>
          </cell>
          <cell r="J3">
            <v>615567000</v>
          </cell>
        </row>
        <row r="4">
          <cell r="A4" t="str">
            <v>TRMQ26F</v>
          </cell>
          <cell r="B4" t="str">
            <v>Futuros sobre Divisas / FX Futures</v>
          </cell>
          <cell r="C4">
            <v>37</v>
          </cell>
          <cell r="D4">
            <v>3.69420528790365E-3</v>
          </cell>
          <cell r="E4">
            <v>3287.5</v>
          </cell>
          <cell r="F4">
            <v>3288.5</v>
          </cell>
          <cell r="G4">
            <v>3249.47</v>
          </cell>
          <cell r="H4">
            <v>706</v>
          </cell>
          <cell r="I4">
            <v>20219</v>
          </cell>
          <cell r="J4">
            <v>115588683500</v>
          </cell>
        </row>
        <row r="5">
          <cell r="A5" t="str">
            <v>TRMU26F</v>
          </cell>
          <cell r="B5" t="str">
            <v>Futuros sobre Divisas / FX Futures</v>
          </cell>
          <cell r="C5">
            <v>2</v>
          </cell>
          <cell r="D5">
            <v>6.1639444359640203E-3</v>
          </cell>
          <cell r="E5">
            <v>3295.69</v>
          </cell>
          <cell r="F5">
            <v>3295.69</v>
          </cell>
          <cell r="G5">
            <v>3280</v>
          </cell>
          <cell r="H5">
            <v>4</v>
          </cell>
          <cell r="I5">
            <v>4685</v>
          </cell>
          <cell r="J5">
            <v>658353500</v>
          </cell>
        </row>
        <row r="6">
          <cell r="A6" t="str">
            <v>TRXQ26F</v>
          </cell>
          <cell r="B6" t="str">
            <v>Futuros sobre Divisas / FX Futures</v>
          </cell>
          <cell r="C6">
            <v>1</v>
          </cell>
          <cell r="D6">
            <v>-2.47980855518996E-2</v>
          </cell>
          <cell r="E6">
            <v>3260.1</v>
          </cell>
          <cell r="F6">
            <v>3260.1</v>
          </cell>
          <cell r="G6">
            <v>3260.1</v>
          </cell>
          <cell r="H6">
            <v>300</v>
          </cell>
          <cell r="I6">
            <v>12563</v>
          </cell>
          <cell r="J6">
            <v>978030000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46217</v>
      </c>
      <c r="H6" s="1"/>
      <c r="I6" s="1"/>
      <c r="J6" s="6"/>
      <c r="K6" s="1"/>
      <c r="L6" s="1"/>
    </row>
    <row r="7" spans="1:12" ht="17.5" x14ac:dyDescent="0.35">
      <c r="A7" s="1"/>
      <c r="B7" s="5"/>
      <c r="C7" s="1"/>
      <c r="D7" s="1"/>
      <c r="E7" s="1"/>
      <c r="F7" s="1"/>
      <c r="G7" s="8">
        <v>46217</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2298.73</v>
      </c>
      <c r="F8" s="21">
        <v>2307.67</v>
      </c>
      <c r="G8" s="21">
        <v>8.9400000000000492</v>
      </c>
      <c r="H8" s="22">
        <v>-3.8740374490287E-3</v>
      </c>
      <c r="I8" s="21">
        <v>0.36044481532115302</v>
      </c>
      <c r="J8" s="22">
        <v>0.111566191652845</v>
      </c>
      <c r="K8" s="22">
        <v>1.30669698732526E-2</v>
      </c>
      <c r="L8" s="1"/>
      <c r="M8" s="1"/>
      <c r="N8" s="1"/>
      <c r="O8" s="1"/>
      <c r="P8" s="1"/>
      <c r="Q8" s="1"/>
      <c r="R8" s="6"/>
      <c r="S8" s="1"/>
      <c r="T8" s="1"/>
    </row>
    <row r="9" spans="1:20" x14ac:dyDescent="0.35">
      <c r="A9" s="1"/>
      <c r="B9" s="5"/>
      <c r="C9" s="71" t="s">
        <v>220</v>
      </c>
      <c r="D9" s="20" t="s">
        <v>221</v>
      </c>
      <c r="E9" s="21">
        <v>381.04</v>
      </c>
      <c r="F9" s="21">
        <v>380.93</v>
      </c>
      <c r="G9" s="21">
        <v>-0.110000000000014</v>
      </c>
      <c r="H9" s="22">
        <v>2.8876696505930599E-4</v>
      </c>
      <c r="I9" s="21">
        <v>7.7510392217854801E-2</v>
      </c>
      <c r="J9" s="22">
        <v>8.5151221734920596E-2</v>
      </c>
      <c r="K9" s="22">
        <v>6.3916327716444501E-3</v>
      </c>
      <c r="L9" s="1"/>
      <c r="M9" s="1"/>
      <c r="N9" s="1"/>
      <c r="O9" s="1"/>
      <c r="P9" s="1"/>
      <c r="Q9" s="1"/>
      <c r="R9" s="6"/>
      <c r="S9" s="1"/>
      <c r="T9" s="1"/>
    </row>
    <row r="10" spans="1:20" x14ac:dyDescent="0.35">
      <c r="A10" s="1"/>
      <c r="B10" s="5"/>
      <c r="C10" s="72"/>
      <c r="D10" s="20" t="s">
        <v>222</v>
      </c>
      <c r="E10" s="21">
        <v>408.6</v>
      </c>
      <c r="F10" s="21">
        <v>409.49</v>
      </c>
      <c r="G10" s="21">
        <v>0.88999999999998602</v>
      </c>
      <c r="H10" s="22">
        <v>-2.1734352487240401E-3</v>
      </c>
      <c r="I10" s="21">
        <v>0.121356825292277</v>
      </c>
      <c r="J10" s="22">
        <v>0.11023557862130801</v>
      </c>
      <c r="K10" s="22">
        <v>5.6608417425547701E-3</v>
      </c>
      <c r="L10" s="1"/>
      <c r="M10" s="1"/>
      <c r="N10" s="1"/>
      <c r="O10" s="1"/>
      <c r="P10" s="1"/>
      <c r="Q10" s="1"/>
      <c r="R10" s="6"/>
      <c r="S10" s="1"/>
      <c r="T10" s="1"/>
    </row>
    <row r="11" spans="1:20" x14ac:dyDescent="0.35">
      <c r="A11" s="1"/>
      <c r="B11" s="5"/>
      <c r="C11" s="72"/>
      <c r="D11" s="20" t="s">
        <v>223</v>
      </c>
      <c r="E11" s="21">
        <v>446.3</v>
      </c>
      <c r="F11" s="21">
        <v>447.98</v>
      </c>
      <c r="G11" s="21">
        <v>1.6800000000000099</v>
      </c>
      <c r="H11" s="22">
        <v>-3.7501674181883399E-3</v>
      </c>
      <c r="I11" s="21">
        <v>0.14315719371942301</v>
      </c>
      <c r="J11" s="22">
        <v>0.12562738026179701</v>
      </c>
      <c r="K11" s="22">
        <v>5.1801801801802903E-3</v>
      </c>
      <c r="L11" s="1"/>
      <c r="M11" s="1"/>
      <c r="N11" s="1"/>
      <c r="O11" s="1"/>
      <c r="P11" s="1"/>
      <c r="Q11" s="1"/>
      <c r="R11" s="6"/>
      <c r="S11" s="1"/>
      <c r="T11" s="1"/>
    </row>
    <row r="12" spans="1:20" x14ac:dyDescent="0.35">
      <c r="A12" s="1"/>
      <c r="B12" s="5"/>
      <c r="C12" s="72"/>
      <c r="D12" s="20" t="s">
        <v>224</v>
      </c>
      <c r="E12" s="21">
        <v>500.5</v>
      </c>
      <c r="F12" s="21">
        <v>500.05</v>
      </c>
      <c r="G12" s="21">
        <v>-0.44999999999998902</v>
      </c>
      <c r="H12" s="22">
        <v>8.9991000899902805E-4</v>
      </c>
      <c r="I12" s="21">
        <v>0.164278403275333</v>
      </c>
      <c r="J12" s="22">
        <v>0.12068965517241401</v>
      </c>
      <c r="K12" s="22">
        <v>7.8939949252889701E-3</v>
      </c>
      <c r="L12" s="1"/>
      <c r="M12" s="1"/>
      <c r="N12" s="1"/>
      <c r="O12" s="1"/>
      <c r="P12" s="1"/>
      <c r="Q12" s="1"/>
      <c r="R12" s="6"/>
      <c r="S12" s="1"/>
      <c r="T12" s="1"/>
    </row>
    <row r="13" spans="1:20" ht="23" x14ac:dyDescent="0.35">
      <c r="A13" s="1"/>
      <c r="B13" s="5"/>
      <c r="C13" s="72"/>
      <c r="D13" s="20" t="s">
        <v>225</v>
      </c>
      <c r="E13" s="21">
        <v>175.67</v>
      </c>
      <c r="F13" s="21">
        <v>175.3</v>
      </c>
      <c r="G13" s="21">
        <v>-0.36999999999997601</v>
      </c>
      <c r="H13" s="22">
        <v>2.1106674272675101E-3</v>
      </c>
      <c r="I13" s="21">
        <v>0.149823275297814</v>
      </c>
      <c r="J13" s="22">
        <v>0.10449544168500501</v>
      </c>
      <c r="K13" s="22">
        <v>1.11667530075403E-2</v>
      </c>
      <c r="L13" s="1"/>
      <c r="M13" s="1"/>
      <c r="N13" s="1"/>
      <c r="O13" s="1"/>
      <c r="P13" s="1"/>
      <c r="Q13" s="1"/>
      <c r="R13" s="6"/>
      <c r="S13" s="1"/>
      <c r="T13" s="1"/>
    </row>
    <row r="14" spans="1:20" x14ac:dyDescent="0.35">
      <c r="A14" s="1"/>
      <c r="B14" s="5"/>
      <c r="C14" s="73"/>
      <c r="D14" s="20" t="s">
        <v>226</v>
      </c>
      <c r="E14" s="21">
        <v>148.80000000000001</v>
      </c>
      <c r="F14" s="21">
        <v>148.72</v>
      </c>
      <c r="G14" s="21">
        <v>-8.0000000000012506E-2</v>
      </c>
      <c r="H14" s="22">
        <v>5.3792361484683603E-4</v>
      </c>
      <c r="I14" s="21">
        <v>0.165504817106603</v>
      </c>
      <c r="J14" s="22">
        <v>0.121495327102804</v>
      </c>
      <c r="K14" s="22">
        <v>6.9702916694862598E-3</v>
      </c>
      <c r="L14" s="1"/>
      <c r="M14" s="1"/>
      <c r="N14" s="1"/>
      <c r="O14" s="1"/>
      <c r="P14" s="1"/>
      <c r="Q14" s="1"/>
      <c r="R14" s="6"/>
      <c r="S14" s="1"/>
      <c r="T14" s="1"/>
    </row>
    <row r="15" spans="1:20" x14ac:dyDescent="0.35">
      <c r="A15" s="1"/>
      <c r="B15" s="5"/>
      <c r="C15" s="20" t="s">
        <v>227</v>
      </c>
      <c r="D15" s="20" t="s">
        <v>228</v>
      </c>
      <c r="E15" s="21">
        <v>296.39515784245901</v>
      </c>
      <c r="F15" s="21">
        <v>296.027294591047</v>
      </c>
      <c r="G15" s="21">
        <v>-0.367863251411848</v>
      </c>
      <c r="H15" s="22">
        <v>1.2426666666668E-3</v>
      </c>
      <c r="I15" s="21">
        <v>0.100042035321218</v>
      </c>
      <c r="J15" s="22">
        <v>5.59100123647613E-2</v>
      </c>
      <c r="K15" s="22">
        <v>4.3394618885424004E-3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154548.96798009999</v>
      </c>
      <c r="E21" s="27">
        <v>39988203</v>
      </c>
      <c r="F21" s="28">
        <v>0.890606663411178</v>
      </c>
      <c r="G21" s="26">
        <v>8136.7474334999997</v>
      </c>
      <c r="H21" s="27">
        <v>561376</v>
      </c>
      <c r="I21" s="28">
        <v>4.6888967150540799E-2</v>
      </c>
      <c r="J21" s="26">
        <v>10109.73794854</v>
      </c>
      <c r="K21" s="27">
        <v>3450775</v>
      </c>
      <c r="L21" s="28">
        <v>5.8258557789075099E-2</v>
      </c>
      <c r="M21" s="26">
        <v>736.78520000000003</v>
      </c>
      <c r="N21" s="27">
        <v>61209</v>
      </c>
      <c r="O21" s="28">
        <v>4.2458116492064104E-3</v>
      </c>
      <c r="P21" s="26">
        <v>0</v>
      </c>
      <c r="Q21" s="25"/>
      <c r="R21" s="28">
        <v>0</v>
      </c>
      <c r="S21" s="1"/>
      <c r="T21" s="1"/>
    </row>
    <row r="22" spans="1:20" x14ac:dyDescent="0.35">
      <c r="A22" s="1"/>
      <c r="B22" s="5"/>
      <c r="C22" s="25" t="s">
        <v>239</v>
      </c>
      <c r="D22" s="26">
        <v>144463.48091730001</v>
      </c>
      <c r="E22" s="27">
        <v>36919046</v>
      </c>
      <c r="F22" s="28">
        <v>0.76252940548804204</v>
      </c>
      <c r="G22" s="26">
        <v>14126.267040000001</v>
      </c>
      <c r="H22" s="27">
        <v>89950</v>
      </c>
      <c r="I22" s="28">
        <v>7.4563439419979893E-2</v>
      </c>
      <c r="J22" s="26">
        <v>21046.56567086</v>
      </c>
      <c r="K22" s="27">
        <v>1296526</v>
      </c>
      <c r="L22" s="28">
        <v>0.11109122600855199</v>
      </c>
      <c r="M22" s="26">
        <v>9816.6830399999999</v>
      </c>
      <c r="N22" s="27">
        <v>163188</v>
      </c>
      <c r="O22" s="28">
        <v>5.1815929083426401E-2</v>
      </c>
      <c r="P22" s="26">
        <v>0</v>
      </c>
      <c r="Q22" s="25"/>
      <c r="R22" s="28">
        <v>0</v>
      </c>
      <c r="S22" s="1"/>
      <c r="T22" s="1"/>
    </row>
    <row r="23" spans="1:20" x14ac:dyDescent="0.35">
      <c r="A23" s="1"/>
      <c r="B23" s="5"/>
      <c r="C23" s="25" t="s">
        <v>240</v>
      </c>
      <c r="D23" s="26">
        <v>117961.725642444</v>
      </c>
      <c r="E23" s="27">
        <v>31915015</v>
      </c>
      <c r="F23" s="28">
        <v>0.45487982081344402</v>
      </c>
      <c r="G23" s="26">
        <v>10368.272117222201</v>
      </c>
      <c r="H23" s="27">
        <v>273399.66666666698</v>
      </c>
      <c r="I23" s="28">
        <v>3.99817630434025E-2</v>
      </c>
      <c r="J23" s="26">
        <v>13054.5211851656</v>
      </c>
      <c r="K23" s="27">
        <v>3469505.7777777798</v>
      </c>
      <c r="L23" s="28">
        <v>5.0340381383644203E-2</v>
      </c>
      <c r="M23" s="26">
        <v>6829.4164711111098</v>
      </c>
      <c r="N23" s="27">
        <v>1406488.5555555599</v>
      </c>
      <c r="O23" s="28">
        <v>2.6335353469275E-2</v>
      </c>
      <c r="P23" s="26">
        <v>111111.1</v>
      </c>
      <c r="Q23" s="27">
        <v>370370.33333333302</v>
      </c>
      <c r="R23" s="28">
        <v>0.42846268129023501</v>
      </c>
      <c r="S23" s="1"/>
      <c r="T23" s="1"/>
    </row>
    <row r="24" spans="1:20" x14ac:dyDescent="0.35">
      <c r="A24" s="1"/>
      <c r="B24" s="5"/>
      <c r="C24" s="25" t="s">
        <v>241</v>
      </c>
      <c r="D24" s="26">
        <v>1061655.5307819999</v>
      </c>
      <c r="E24" s="27">
        <v>287235135</v>
      </c>
      <c r="F24" s="28">
        <v>0.45487982081344502</v>
      </c>
      <c r="G24" s="26">
        <v>93314.449055000005</v>
      </c>
      <c r="H24" s="27">
        <v>2460597</v>
      </c>
      <c r="I24" s="28">
        <v>3.9981763043402598E-2</v>
      </c>
      <c r="J24" s="26">
        <v>117490.69066649</v>
      </c>
      <c r="K24" s="27">
        <v>31225552</v>
      </c>
      <c r="L24" s="28">
        <v>5.0340381383643898E-2</v>
      </c>
      <c r="M24" s="26">
        <v>61464.748240000001</v>
      </c>
      <c r="N24" s="27">
        <v>12658397</v>
      </c>
      <c r="O24" s="28">
        <v>2.6335353469274899E-2</v>
      </c>
      <c r="P24" s="26">
        <v>999999.9</v>
      </c>
      <c r="Q24" s="27">
        <v>3333333</v>
      </c>
      <c r="R24" s="28">
        <v>0.42846268129023402</v>
      </c>
      <c r="S24" s="1"/>
      <c r="T24" s="1"/>
    </row>
    <row r="25" spans="1:20" x14ac:dyDescent="0.35">
      <c r="A25" s="1"/>
      <c r="B25" s="5"/>
      <c r="C25" s="25" t="s">
        <v>242</v>
      </c>
      <c r="D25" s="26">
        <v>234599.22553600799</v>
      </c>
      <c r="E25" s="27">
        <v>44262271.6015625</v>
      </c>
      <c r="F25" s="28">
        <v>0.77625556961726205</v>
      </c>
      <c r="G25" s="26">
        <v>21449.964207035198</v>
      </c>
      <c r="H25" s="27">
        <v>1271581.828125</v>
      </c>
      <c r="I25" s="28">
        <v>7.0974889817981696E-2</v>
      </c>
      <c r="J25" s="26">
        <v>16821.983954781001</v>
      </c>
      <c r="K25" s="27">
        <v>3674777.9375</v>
      </c>
      <c r="L25" s="28">
        <v>5.56615594406841E-2</v>
      </c>
      <c r="M25" s="26">
        <v>5716.63946014062</v>
      </c>
      <c r="N25" s="27">
        <v>960420.015625</v>
      </c>
      <c r="O25" s="28">
        <v>1.89155493173052E-2</v>
      </c>
      <c r="P25" s="26">
        <v>23631.242934191301</v>
      </c>
      <c r="Q25" s="27">
        <v>20168697.1875</v>
      </c>
      <c r="R25" s="28">
        <v>7.8192431806766605E-2</v>
      </c>
      <c r="S25" s="1"/>
      <c r="T25" s="1"/>
    </row>
    <row r="26" spans="1:20" x14ac:dyDescent="0.35">
      <c r="A26" s="1"/>
      <c r="B26" s="5"/>
      <c r="C26" s="25" t="s">
        <v>243</v>
      </c>
      <c r="D26" s="26">
        <v>30028700.868608899</v>
      </c>
      <c r="E26" s="27">
        <v>5665570765</v>
      </c>
      <c r="F26" s="28">
        <v>0.77625556961726205</v>
      </c>
      <c r="G26" s="26">
        <v>2745595.4185004998</v>
      </c>
      <c r="H26" s="27">
        <v>162762474</v>
      </c>
      <c r="I26" s="28">
        <v>7.0974889817981807E-2</v>
      </c>
      <c r="J26" s="26">
        <v>2153213.9462119602</v>
      </c>
      <c r="K26" s="27">
        <v>470371576</v>
      </c>
      <c r="L26" s="28">
        <v>5.56615594406841E-2</v>
      </c>
      <c r="M26" s="26">
        <v>731729.85089799995</v>
      </c>
      <c r="N26" s="27">
        <v>122933762</v>
      </c>
      <c r="O26" s="28">
        <v>1.89155493173053E-2</v>
      </c>
      <c r="P26" s="26">
        <v>3024799.0955764898</v>
      </c>
      <c r="Q26" s="27">
        <v>2581593240</v>
      </c>
      <c r="R26" s="28">
        <v>7.8192431806766993E-2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3923197.1690310002</v>
      </c>
      <c r="E32" s="28">
        <v>0.378620615401974</v>
      </c>
      <c r="F32" s="26">
        <v>6380553.535108</v>
      </c>
      <c r="G32" s="28">
        <v>0.61577560392268504</v>
      </c>
      <c r="H32" s="26">
        <v>58065.344534999997</v>
      </c>
      <c r="I32" s="28">
        <v>5.60378067534123E-3</v>
      </c>
      <c r="J32" s="1"/>
      <c r="K32" s="1"/>
      <c r="L32" s="1"/>
      <c r="M32" s="1"/>
      <c r="N32" s="1"/>
      <c r="O32" s="1"/>
      <c r="P32" s="1"/>
      <c r="Q32" s="1"/>
      <c r="R32" s="6"/>
      <c r="S32" s="1"/>
      <c r="T32" s="1"/>
    </row>
    <row r="33" spans="1:20" x14ac:dyDescent="0.35">
      <c r="A33" s="1"/>
      <c r="B33" s="5"/>
      <c r="C33" s="25" t="s">
        <v>239</v>
      </c>
      <c r="D33" s="26">
        <v>3914368.5451039998</v>
      </c>
      <c r="E33" s="28">
        <v>0.41603281886947502</v>
      </c>
      <c r="F33" s="26">
        <v>5463112.2330679996</v>
      </c>
      <c r="G33" s="28">
        <v>0.58063873034295699</v>
      </c>
      <c r="H33" s="26">
        <v>31316.719441000001</v>
      </c>
      <c r="I33" s="28">
        <v>3.32845078756823E-3</v>
      </c>
      <c r="J33" s="1"/>
      <c r="K33" s="1"/>
      <c r="L33" s="1"/>
      <c r="M33" s="1"/>
      <c r="N33" s="1"/>
      <c r="O33" s="1"/>
      <c r="P33" s="1"/>
      <c r="Q33" s="1"/>
      <c r="R33" s="6"/>
      <c r="S33" s="1"/>
      <c r="T33" s="1"/>
    </row>
    <row r="34" spans="1:20" x14ac:dyDescent="0.35">
      <c r="A34" s="1"/>
      <c r="B34" s="5"/>
      <c r="C34" s="25" t="s">
        <v>240</v>
      </c>
      <c r="D34" s="26">
        <v>4220905.0045112204</v>
      </c>
      <c r="E34" s="28">
        <v>0.37272785400778602</v>
      </c>
      <c r="F34" s="26">
        <v>7066374.3328975597</v>
      </c>
      <c r="G34" s="28">
        <v>0.623997587697809</v>
      </c>
      <c r="H34" s="26">
        <v>37082.282270555603</v>
      </c>
      <c r="I34" s="28">
        <v>3.2745582944043801E-3</v>
      </c>
      <c r="J34" s="1"/>
      <c r="K34" s="1"/>
      <c r="L34" s="1"/>
      <c r="M34" s="1"/>
      <c r="N34" s="1"/>
      <c r="O34" s="1"/>
      <c r="P34" s="1"/>
      <c r="Q34" s="1"/>
      <c r="R34" s="6"/>
      <c r="S34" s="1"/>
      <c r="T34" s="1"/>
    </row>
    <row r="35" spans="1:20" x14ac:dyDescent="0.35">
      <c r="A35" s="1"/>
      <c r="B35" s="5"/>
      <c r="C35" s="25" t="s">
        <v>241</v>
      </c>
      <c r="D35" s="26">
        <v>37988145.040601</v>
      </c>
      <c r="E35" s="28">
        <v>0.37272785400778702</v>
      </c>
      <c r="F35" s="26">
        <v>63597368.996077999</v>
      </c>
      <c r="G35" s="28">
        <v>0.623997587697809</v>
      </c>
      <c r="H35" s="26">
        <v>333740.54043499997</v>
      </c>
      <c r="I35" s="28">
        <v>3.2745582944043801E-3</v>
      </c>
      <c r="J35" s="1"/>
      <c r="K35" s="1"/>
      <c r="L35" s="1"/>
      <c r="M35" s="1"/>
      <c r="N35" s="1"/>
      <c r="O35" s="1"/>
      <c r="P35" s="1"/>
      <c r="Q35" s="1"/>
      <c r="R35" s="6"/>
      <c r="S35" s="1"/>
      <c r="T35" s="1"/>
    </row>
    <row r="36" spans="1:20" x14ac:dyDescent="0.35">
      <c r="A36" s="1"/>
      <c r="B36" s="5"/>
      <c r="C36" s="25" t="s">
        <v>242</v>
      </c>
      <c r="D36" s="26">
        <v>4665844.7194693098</v>
      </c>
      <c r="E36" s="28">
        <v>0.42450232286281803</v>
      </c>
      <c r="F36" s="26">
        <v>6184358.1862383503</v>
      </c>
      <c r="G36" s="28">
        <v>0.56265790512044001</v>
      </c>
      <c r="H36" s="26">
        <v>141126.15935641399</v>
      </c>
      <c r="I36" s="28">
        <v>1.28397720167421E-2</v>
      </c>
      <c r="J36" s="1"/>
      <c r="K36" s="1"/>
      <c r="L36" s="1"/>
      <c r="M36" s="1"/>
      <c r="N36" s="1"/>
      <c r="O36" s="1"/>
      <c r="P36" s="1"/>
      <c r="Q36" s="1"/>
      <c r="R36" s="6"/>
      <c r="S36" s="1"/>
      <c r="T36" s="1"/>
    </row>
    <row r="37" spans="1:20" x14ac:dyDescent="0.35">
      <c r="A37" s="1"/>
      <c r="B37" s="5"/>
      <c r="C37" s="25" t="s">
        <v>243</v>
      </c>
      <c r="D37" s="26">
        <v>597228124.09207106</v>
      </c>
      <c r="E37" s="28">
        <v>0.42450232286281803</v>
      </c>
      <c r="F37" s="26">
        <v>791597847.83850896</v>
      </c>
      <c r="G37" s="28">
        <v>0.56265790512044001</v>
      </c>
      <c r="H37" s="26">
        <v>18064148.397620998</v>
      </c>
      <c r="I37" s="28">
        <v>1.28397720167421E-2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3391.7170000000001</v>
      </c>
      <c r="E43" s="26">
        <v>1049</v>
      </c>
      <c r="F43" s="28">
        <v>2.8119776431777498E-2</v>
      </c>
      <c r="G43" s="26">
        <v>0</v>
      </c>
      <c r="H43" s="25"/>
      <c r="I43" s="28">
        <v>0</v>
      </c>
      <c r="J43" s="26">
        <v>117225.067</v>
      </c>
      <c r="K43" s="26">
        <v>1010</v>
      </c>
      <c r="L43" s="28">
        <v>0.97188022356822201</v>
      </c>
      <c r="M43" s="26">
        <v>0</v>
      </c>
      <c r="N43" s="25"/>
      <c r="O43" s="28">
        <v>0</v>
      </c>
      <c r="P43" s="26">
        <v>0</v>
      </c>
      <c r="Q43" s="25"/>
      <c r="R43" s="28">
        <v>0</v>
      </c>
      <c r="S43" s="1"/>
      <c r="T43" s="1"/>
    </row>
    <row r="44" spans="1:20" x14ac:dyDescent="0.35">
      <c r="A44" s="1"/>
      <c r="B44" s="5"/>
      <c r="C44" s="25" t="s">
        <v>239</v>
      </c>
      <c r="D44" s="26">
        <v>4158.5200000000004</v>
      </c>
      <c r="E44" s="26">
        <v>1391</v>
      </c>
      <c r="F44" s="28">
        <v>1.3226571396710501E-2</v>
      </c>
      <c r="G44" s="26">
        <v>61036.824999999997</v>
      </c>
      <c r="H44" s="26">
        <v>230</v>
      </c>
      <c r="I44" s="28">
        <v>0.19413347144922299</v>
      </c>
      <c r="J44" s="26">
        <v>249211.15349999999</v>
      </c>
      <c r="K44" s="26">
        <v>1522</v>
      </c>
      <c r="L44" s="28">
        <v>0.79263995715406599</v>
      </c>
      <c r="M44" s="26">
        <v>0</v>
      </c>
      <c r="N44" s="25"/>
      <c r="O44" s="28">
        <v>0</v>
      </c>
      <c r="P44" s="26">
        <v>0</v>
      </c>
      <c r="Q44" s="25"/>
      <c r="R44" s="28">
        <v>0</v>
      </c>
      <c r="S44" s="1"/>
      <c r="T44" s="1"/>
    </row>
    <row r="45" spans="1:20" x14ac:dyDescent="0.35">
      <c r="A45" s="1"/>
      <c r="B45" s="5"/>
      <c r="C45" s="25" t="s">
        <v>252</v>
      </c>
      <c r="D45" s="26">
        <v>30315.7574444444</v>
      </c>
      <c r="E45" s="26">
        <v>5640.7777777777801</v>
      </c>
      <c r="F45" s="28">
        <v>1.57434994594804E-3</v>
      </c>
      <c r="G45" s="26">
        <v>8915688.5241666697</v>
      </c>
      <c r="H45" s="26">
        <v>40076.444444444402</v>
      </c>
      <c r="I45" s="28">
        <v>0.46300719260714601</v>
      </c>
      <c r="J45" s="26">
        <v>10309730.4345011</v>
      </c>
      <c r="K45" s="26">
        <v>101400.444444444</v>
      </c>
      <c r="L45" s="28">
        <v>0.53540221061737603</v>
      </c>
      <c r="M45" s="26">
        <v>163.271111111111</v>
      </c>
      <c r="N45" s="26">
        <v>55.5555555555556</v>
      </c>
      <c r="O45" s="28">
        <v>8.4789524201632701E-6</v>
      </c>
      <c r="P45" s="26">
        <v>149.578611111111</v>
      </c>
      <c r="Q45" s="26">
        <v>25.5555555555556</v>
      </c>
      <c r="R45" s="28">
        <v>7.7678771097608292E-6</v>
      </c>
      <c r="S45" s="1"/>
      <c r="T45" s="1"/>
    </row>
    <row r="46" spans="1:20" x14ac:dyDescent="0.35">
      <c r="A46" s="1"/>
      <c r="B46" s="5"/>
      <c r="C46" s="25" t="s">
        <v>241</v>
      </c>
      <c r="D46" s="26">
        <v>19917.486000000001</v>
      </c>
      <c r="E46" s="26">
        <v>5237</v>
      </c>
      <c r="F46" s="28">
        <v>8.7381752475730601E-4</v>
      </c>
      <c r="G46" s="26">
        <v>11557147.1175</v>
      </c>
      <c r="H46" s="26">
        <v>49336</v>
      </c>
      <c r="I46" s="28">
        <v>0.50703375353043501</v>
      </c>
      <c r="J46" s="26">
        <v>11216579.87683</v>
      </c>
      <c r="K46" s="26">
        <v>101205</v>
      </c>
      <c r="L46" s="28">
        <v>0.49209242894480798</v>
      </c>
      <c r="M46" s="26">
        <v>0</v>
      </c>
      <c r="N46" s="25"/>
      <c r="O46" s="28">
        <v>0</v>
      </c>
      <c r="P46" s="26">
        <v>0</v>
      </c>
      <c r="Q46" s="25"/>
      <c r="R46" s="28">
        <v>0</v>
      </c>
      <c r="S46" s="1"/>
      <c r="T46" s="1"/>
    </row>
    <row r="47" spans="1:20" x14ac:dyDescent="0.35">
      <c r="A47" s="1"/>
      <c r="B47" s="5"/>
      <c r="C47" s="25" t="s">
        <v>242</v>
      </c>
      <c r="D47" s="26">
        <v>2131.5766953124999</v>
      </c>
      <c r="E47" s="26">
        <v>396.6171875</v>
      </c>
      <c r="F47" s="28">
        <v>1.57434994594805E-3</v>
      </c>
      <c r="G47" s="26">
        <v>626884.34935546899</v>
      </c>
      <c r="H47" s="26">
        <v>2817.875</v>
      </c>
      <c r="I47" s="28">
        <v>0.46300719260714601</v>
      </c>
      <c r="J47" s="26">
        <v>724902.92117585905</v>
      </c>
      <c r="K47" s="26">
        <v>7129.71875</v>
      </c>
      <c r="L47" s="28">
        <v>0.53540221061737603</v>
      </c>
      <c r="M47" s="26">
        <v>11.48</v>
      </c>
      <c r="N47" s="26">
        <v>3.90625</v>
      </c>
      <c r="O47" s="28">
        <v>8.4789524201632802E-6</v>
      </c>
      <c r="P47" s="26">
        <v>10.51724609375</v>
      </c>
      <c r="Q47" s="26">
        <v>1.796875</v>
      </c>
      <c r="R47" s="28">
        <v>7.7678771097608292E-6</v>
      </c>
      <c r="S47" s="1"/>
      <c r="T47" s="1"/>
    </row>
    <row r="48" spans="1:20" x14ac:dyDescent="0.35">
      <c r="A48" s="1"/>
      <c r="B48" s="9"/>
      <c r="C48" s="25" t="s">
        <v>243</v>
      </c>
      <c r="D48" s="26">
        <v>272841.81699999998</v>
      </c>
      <c r="E48" s="26">
        <v>50767</v>
      </c>
      <c r="F48" s="28">
        <v>1.57434994594805E-3</v>
      </c>
      <c r="G48" s="26">
        <v>80241196.717500001</v>
      </c>
      <c r="H48" s="26">
        <v>360688</v>
      </c>
      <c r="I48" s="28">
        <v>0.46300719260714601</v>
      </c>
      <c r="J48" s="26">
        <v>92787573.910510004</v>
      </c>
      <c r="K48" s="26">
        <v>912604</v>
      </c>
      <c r="L48" s="28">
        <v>0.53540221061737603</v>
      </c>
      <c r="M48" s="26">
        <v>1469.44</v>
      </c>
      <c r="N48" s="26">
        <v>500</v>
      </c>
      <c r="O48" s="28">
        <v>8.4789524201632802E-6</v>
      </c>
      <c r="P48" s="26">
        <v>1346.2075</v>
      </c>
      <c r="Q48" s="26">
        <v>230</v>
      </c>
      <c r="R48" s="28">
        <v>7.7678771097608292E-6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4.1306249758019998E-4</v>
      </c>
      <c r="F8" s="31">
        <v>37500</v>
      </c>
      <c r="G8" s="32">
        <v>6.7384354227163004E-3</v>
      </c>
      <c r="H8" s="1"/>
      <c r="I8" s="6"/>
      <c r="J8" s="1"/>
      <c r="K8" s="1"/>
    </row>
    <row r="9" spans="1:11" x14ac:dyDescent="0.35">
      <c r="A9" s="1"/>
      <c r="B9" s="5"/>
      <c r="C9" s="20" t="s">
        <v>260</v>
      </c>
      <c r="D9" s="20" t="s">
        <v>261</v>
      </c>
      <c r="E9" s="30">
        <v>7.8527323043468995E-3</v>
      </c>
      <c r="F9" s="31">
        <v>5260</v>
      </c>
      <c r="G9" s="32">
        <v>1.7968779248047798E-2</v>
      </c>
      <c r="H9" s="1"/>
      <c r="I9" s="6"/>
      <c r="J9" s="1"/>
      <c r="K9" s="1"/>
    </row>
    <row r="10" spans="1:11" x14ac:dyDescent="0.35">
      <c r="A10" s="1"/>
      <c r="B10" s="5"/>
      <c r="C10" s="20" t="s">
        <v>262</v>
      </c>
      <c r="D10" s="20" t="s">
        <v>263</v>
      </c>
      <c r="E10" s="30">
        <v>9.8277651090288003E-3</v>
      </c>
      <c r="F10" s="31">
        <v>11660</v>
      </c>
      <c r="G10" s="32">
        <v>4.9850022043161198E-2</v>
      </c>
      <c r="H10" s="1"/>
      <c r="I10" s="6"/>
      <c r="J10" s="1"/>
      <c r="K10" s="1"/>
    </row>
    <row r="11" spans="1:11" x14ac:dyDescent="0.35">
      <c r="A11" s="1"/>
      <c r="B11" s="5"/>
      <c r="C11" s="20" t="s">
        <v>264</v>
      </c>
      <c r="D11" s="20" t="s">
        <v>265</v>
      </c>
      <c r="E11" s="30">
        <v>4.1029674441539999E-3</v>
      </c>
      <c r="F11" s="31">
        <v>79960</v>
      </c>
      <c r="G11" s="32">
        <v>0.14271936105352101</v>
      </c>
      <c r="H11" s="1"/>
      <c r="I11" s="6"/>
      <c r="J11" s="1"/>
      <c r="K11" s="1"/>
    </row>
    <row r="12" spans="1:11" x14ac:dyDescent="0.35">
      <c r="A12" s="1"/>
      <c r="B12" s="5"/>
      <c r="C12" s="20" t="s">
        <v>266</v>
      </c>
      <c r="D12" s="20" t="s">
        <v>267</v>
      </c>
      <c r="E12" s="30">
        <v>1.4871708505101E-3</v>
      </c>
      <c r="F12" s="31">
        <v>19020</v>
      </c>
      <c r="G12" s="32">
        <v>1.2305050865783601E-2</v>
      </c>
      <c r="H12" s="1"/>
      <c r="I12" s="6"/>
      <c r="J12" s="1"/>
      <c r="K12" s="1"/>
    </row>
    <row r="13" spans="1:11" x14ac:dyDescent="0.35">
      <c r="A13" s="1"/>
      <c r="B13" s="5"/>
      <c r="C13" s="20" t="s">
        <v>268</v>
      </c>
      <c r="D13" s="20" t="s">
        <v>269</v>
      </c>
      <c r="E13" s="30">
        <v>8.4582993876545498E-2</v>
      </c>
      <c r="F13" s="31">
        <v>2630</v>
      </c>
      <c r="G13" s="32">
        <v>9.6772249848966402E-2</v>
      </c>
      <c r="H13" s="1"/>
      <c r="I13" s="6"/>
      <c r="J13" s="1"/>
      <c r="K13" s="1"/>
    </row>
    <row r="14" spans="1:11" x14ac:dyDescent="0.35">
      <c r="A14" s="1"/>
      <c r="B14" s="5"/>
      <c r="C14" s="20" t="s">
        <v>270</v>
      </c>
      <c r="D14" s="20" t="s">
        <v>271</v>
      </c>
      <c r="E14" s="30">
        <v>2.4377301188076E-3</v>
      </c>
      <c r="F14" s="31">
        <v>4770</v>
      </c>
      <c r="G14" s="32">
        <v>5.0584334248530999E-3</v>
      </c>
      <c r="H14" s="1"/>
      <c r="I14" s="6"/>
      <c r="J14" s="1"/>
      <c r="K14" s="1"/>
    </row>
    <row r="15" spans="1:11" x14ac:dyDescent="0.35">
      <c r="A15" s="1"/>
      <c r="B15" s="5"/>
      <c r="C15" s="20" t="s">
        <v>272</v>
      </c>
      <c r="D15" s="20" t="s">
        <v>273</v>
      </c>
      <c r="E15" s="30">
        <v>4.5164590039541597E-2</v>
      </c>
      <c r="F15" s="31">
        <v>2975</v>
      </c>
      <c r="G15" s="32">
        <v>5.84516908761082E-2</v>
      </c>
      <c r="H15" s="1"/>
      <c r="I15" s="6"/>
      <c r="J15" s="1"/>
      <c r="K15" s="1"/>
    </row>
    <row r="16" spans="1:11" x14ac:dyDescent="0.35">
      <c r="A16" s="1"/>
      <c r="B16" s="5"/>
      <c r="C16" s="20" t="s">
        <v>274</v>
      </c>
      <c r="D16" s="20" t="s">
        <v>275</v>
      </c>
      <c r="E16" s="30">
        <v>2.410139499907E-4</v>
      </c>
      <c r="F16" s="31">
        <v>81420</v>
      </c>
      <c r="G16" s="32">
        <v>8.5366075216505993E-3</v>
      </c>
      <c r="H16" s="1"/>
      <c r="I16" s="6"/>
      <c r="J16" s="1"/>
      <c r="K16" s="1"/>
    </row>
    <row r="17" spans="1:11" x14ac:dyDescent="0.35">
      <c r="A17" s="1"/>
      <c r="B17" s="5"/>
      <c r="C17" s="20" t="s">
        <v>276</v>
      </c>
      <c r="D17" s="20" t="s">
        <v>277</v>
      </c>
      <c r="E17" s="30">
        <v>5.7671933858068998E-3</v>
      </c>
      <c r="F17" s="31">
        <v>17900</v>
      </c>
      <c r="G17" s="32">
        <v>4.4908606755010301E-2</v>
      </c>
      <c r="H17" s="1"/>
      <c r="I17" s="6"/>
      <c r="J17" s="1"/>
      <c r="K17" s="1"/>
    </row>
    <row r="18" spans="1:11" x14ac:dyDescent="0.35">
      <c r="A18" s="1"/>
      <c r="B18" s="5"/>
      <c r="C18" s="20" t="s">
        <v>278</v>
      </c>
      <c r="D18" s="20" t="s">
        <v>279</v>
      </c>
      <c r="E18" s="30">
        <v>2.2248560936720002E-3</v>
      </c>
      <c r="F18" s="31">
        <v>53900</v>
      </c>
      <c r="G18" s="32">
        <v>5.2167824602683099E-2</v>
      </c>
      <c r="H18" s="1"/>
      <c r="I18" s="6"/>
      <c r="J18" s="1"/>
      <c r="K18" s="1"/>
    </row>
    <row r="19" spans="1:11" x14ac:dyDescent="0.35">
      <c r="A19" s="1"/>
      <c r="B19" s="5"/>
      <c r="C19" s="20" t="s">
        <v>280</v>
      </c>
      <c r="D19" s="20" t="s">
        <v>281</v>
      </c>
      <c r="E19" s="30">
        <v>7.9257523416149996E-3</v>
      </c>
      <c r="F19" s="31">
        <v>30000</v>
      </c>
      <c r="G19" s="32">
        <v>0.10343649330215</v>
      </c>
      <c r="H19" s="1"/>
      <c r="I19" s="6"/>
      <c r="J19" s="1"/>
      <c r="K19" s="1"/>
    </row>
    <row r="20" spans="1:11" x14ac:dyDescent="0.35">
      <c r="A20" s="1"/>
      <c r="B20" s="5"/>
      <c r="C20" s="20" t="s">
        <v>282</v>
      </c>
      <c r="D20" s="20" t="s">
        <v>283</v>
      </c>
      <c r="E20" s="30">
        <v>1.4550210465666001E-3</v>
      </c>
      <c r="F20" s="31">
        <v>15500</v>
      </c>
      <c r="G20" s="32">
        <v>9.8109939931102993E-3</v>
      </c>
      <c r="H20" s="1"/>
      <c r="I20" s="6"/>
      <c r="J20" s="1"/>
      <c r="K20" s="1"/>
    </row>
    <row r="21" spans="1:11" x14ac:dyDescent="0.35">
      <c r="A21" s="1"/>
      <c r="B21" s="5"/>
      <c r="C21" s="20" t="s">
        <v>284</v>
      </c>
      <c r="D21" s="20" t="s">
        <v>285</v>
      </c>
      <c r="E21" s="30">
        <v>5.3614852097960003E-4</v>
      </c>
      <c r="F21" s="31">
        <v>67160</v>
      </c>
      <c r="G21" s="32">
        <v>1.5664186167575599E-2</v>
      </c>
      <c r="H21" s="1"/>
      <c r="I21" s="6"/>
      <c r="J21" s="1"/>
      <c r="K21" s="1"/>
    </row>
    <row r="22" spans="1:11" x14ac:dyDescent="0.35">
      <c r="A22" s="1"/>
      <c r="B22" s="5"/>
      <c r="C22" s="20" t="s">
        <v>286</v>
      </c>
      <c r="D22" s="20" t="s">
        <v>287</v>
      </c>
      <c r="E22" s="30">
        <v>7.1019350628283101E-2</v>
      </c>
      <c r="F22" s="31">
        <v>811</v>
      </c>
      <c r="G22" s="32">
        <v>2.5055875792084101E-2</v>
      </c>
      <c r="H22" s="1"/>
      <c r="I22" s="6"/>
      <c r="J22" s="1"/>
      <c r="K22" s="1"/>
    </row>
    <row r="23" spans="1:11" x14ac:dyDescent="0.35">
      <c r="A23" s="1"/>
      <c r="B23" s="5"/>
      <c r="C23" s="20" t="s">
        <v>288</v>
      </c>
      <c r="D23" s="20" t="s">
        <v>265</v>
      </c>
      <c r="E23" s="30">
        <v>7.9443627830654995E-3</v>
      </c>
      <c r="F23" s="31">
        <v>67100</v>
      </c>
      <c r="G23" s="32">
        <v>0.231896196048993</v>
      </c>
      <c r="H23" s="1"/>
      <c r="I23" s="6"/>
      <c r="J23" s="1"/>
      <c r="K23" s="1"/>
    </row>
    <row r="24" spans="1:11" x14ac:dyDescent="0.35">
      <c r="A24" s="1"/>
      <c r="B24" s="5"/>
      <c r="C24" s="20" t="s">
        <v>289</v>
      </c>
      <c r="D24" s="20" t="s">
        <v>267</v>
      </c>
      <c r="E24" s="30">
        <v>3.0094580312550002E-4</v>
      </c>
      <c r="F24" s="31">
        <v>17300</v>
      </c>
      <c r="G24" s="32">
        <v>2.2648864347148E-3</v>
      </c>
      <c r="H24" s="1"/>
      <c r="I24" s="6"/>
      <c r="J24" s="1"/>
      <c r="K24" s="1"/>
    </row>
    <row r="25" spans="1:11" x14ac:dyDescent="0.35">
      <c r="A25" s="1"/>
      <c r="B25" s="5"/>
      <c r="C25" s="20" t="s">
        <v>290</v>
      </c>
      <c r="D25" s="20" t="s">
        <v>291</v>
      </c>
      <c r="E25" s="30">
        <v>1.8944039787343E-3</v>
      </c>
      <c r="F25" s="31">
        <v>31940</v>
      </c>
      <c r="G25" s="32">
        <v>2.6322040031136501E-2</v>
      </c>
      <c r="H25" s="1"/>
      <c r="I25" s="6"/>
      <c r="J25" s="1"/>
      <c r="K25" s="1"/>
    </row>
    <row r="26" spans="1:11" x14ac:dyDescent="0.35">
      <c r="A26" s="1"/>
      <c r="B26" s="5"/>
      <c r="C26" s="20" t="s">
        <v>292</v>
      </c>
      <c r="D26" s="20" t="s">
        <v>277</v>
      </c>
      <c r="E26" s="30">
        <v>4.9389373834562997E-3</v>
      </c>
      <c r="F26" s="31">
        <v>12300</v>
      </c>
      <c r="G26" s="32">
        <v>2.6427170575280001E-2</v>
      </c>
      <c r="H26" s="1"/>
      <c r="I26" s="6"/>
      <c r="J26" s="1"/>
      <c r="K26" s="1"/>
    </row>
    <row r="27" spans="1:11" x14ac:dyDescent="0.35">
      <c r="A27" s="1"/>
      <c r="B27" s="5"/>
      <c r="C27" s="20" t="s">
        <v>293</v>
      </c>
      <c r="D27" s="20" t="s">
        <v>279</v>
      </c>
      <c r="E27" s="30">
        <v>2.7508191506189E-3</v>
      </c>
      <c r="F27" s="31">
        <v>44020</v>
      </c>
      <c r="G27" s="32">
        <v>5.2677373597701603E-2</v>
      </c>
      <c r="H27" s="1"/>
      <c r="I27" s="6"/>
      <c r="J27" s="1"/>
      <c r="K27" s="1"/>
    </row>
    <row r="28" spans="1:11" x14ac:dyDescent="0.35">
      <c r="A28" s="1"/>
      <c r="B28" s="5"/>
      <c r="C28" s="20" t="s">
        <v>294</v>
      </c>
      <c r="D28" s="20" t="s">
        <v>295</v>
      </c>
      <c r="E28" s="30">
        <v>2.0300406334064001E-3</v>
      </c>
      <c r="F28" s="31">
        <v>6630</v>
      </c>
      <c r="G28" s="32">
        <v>5.8550457859274001E-3</v>
      </c>
      <c r="H28" s="1"/>
      <c r="I28" s="6"/>
      <c r="J28" s="1"/>
      <c r="K28" s="1"/>
    </row>
    <row r="29" spans="1:11" x14ac:dyDescent="0.35">
      <c r="A29" s="1"/>
      <c r="B29" s="5"/>
      <c r="C29" s="20" t="s">
        <v>296</v>
      </c>
      <c r="D29" s="20" t="s">
        <v>297</v>
      </c>
      <c r="E29" s="30">
        <v>6.4907212788069995E-4</v>
      </c>
      <c r="F29" s="31">
        <v>18100</v>
      </c>
      <c r="G29" s="32">
        <v>5.1107374570486001E-3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9.9182481404630596E-2</v>
      </c>
      <c r="H34" s="1"/>
      <c r="I34" s="6"/>
      <c r="J34" s="1"/>
      <c r="K34" s="1"/>
    </row>
    <row r="35" spans="1:11" x14ac:dyDescent="0.35">
      <c r="A35" s="1"/>
      <c r="B35" s="5"/>
      <c r="C35" s="20" t="s">
        <v>337</v>
      </c>
      <c r="D35" s="20" t="s">
        <v>338</v>
      </c>
      <c r="E35" s="20" t="s">
        <v>339</v>
      </c>
      <c r="F35" s="20" t="s">
        <v>340</v>
      </c>
      <c r="G35" s="32">
        <v>6.8277384762635396E-2</v>
      </c>
      <c r="H35" s="1"/>
      <c r="I35" s="6"/>
      <c r="J35" s="1"/>
      <c r="K35" s="1"/>
    </row>
    <row r="36" spans="1:11" x14ac:dyDescent="0.35">
      <c r="A36" s="1"/>
      <c r="B36" s="5"/>
      <c r="C36" s="20" t="s">
        <v>341</v>
      </c>
      <c r="D36" s="20" t="s">
        <v>342</v>
      </c>
      <c r="E36" s="20" t="s">
        <v>343</v>
      </c>
      <c r="F36" s="20" t="s">
        <v>344</v>
      </c>
      <c r="G36" s="32">
        <v>4.5696243137102702E-2</v>
      </c>
      <c r="H36" s="1"/>
      <c r="I36" s="6"/>
      <c r="J36" s="1"/>
      <c r="K36" s="1"/>
    </row>
    <row r="37" spans="1:11" x14ac:dyDescent="0.35">
      <c r="A37" s="1"/>
      <c r="B37" s="5"/>
      <c r="C37" s="20" t="s">
        <v>345</v>
      </c>
      <c r="D37" s="20" t="s">
        <v>346</v>
      </c>
      <c r="E37" s="20" t="s">
        <v>347</v>
      </c>
      <c r="F37" s="20" t="s">
        <v>348</v>
      </c>
      <c r="G37" s="32">
        <v>5.57125744880788E-2</v>
      </c>
      <c r="H37" s="1"/>
      <c r="I37" s="6"/>
      <c r="J37" s="1"/>
      <c r="K37" s="1"/>
    </row>
    <row r="38" spans="1:11" x14ac:dyDescent="0.35">
      <c r="A38" s="1"/>
      <c r="B38" s="5"/>
      <c r="C38" s="20" t="s">
        <v>349</v>
      </c>
      <c r="D38" s="20" t="s">
        <v>350</v>
      </c>
      <c r="E38" s="20" t="s">
        <v>351</v>
      </c>
      <c r="F38" s="20" t="s">
        <v>352</v>
      </c>
      <c r="G38" s="32">
        <v>0.118567076640532</v>
      </c>
      <c r="H38" s="1"/>
      <c r="I38" s="6"/>
      <c r="J38" s="1"/>
      <c r="K38" s="1"/>
    </row>
    <row r="39" spans="1:11" x14ac:dyDescent="0.35">
      <c r="A39" s="1"/>
      <c r="B39" s="5"/>
      <c r="C39" s="20" t="s">
        <v>353</v>
      </c>
      <c r="D39" s="20" t="s">
        <v>354</v>
      </c>
      <c r="E39" s="20" t="s">
        <v>355</v>
      </c>
      <c r="F39" s="20" t="s">
        <v>356</v>
      </c>
      <c r="G39" s="32">
        <v>9.8633392570401393E-2</v>
      </c>
      <c r="H39" s="1"/>
      <c r="I39" s="6"/>
      <c r="J39" s="1"/>
      <c r="K39" s="1"/>
    </row>
    <row r="40" spans="1:11" x14ac:dyDescent="0.35">
      <c r="A40" s="1"/>
      <c r="B40" s="5"/>
      <c r="C40" s="20" t="s">
        <v>357</v>
      </c>
      <c r="D40" s="20" t="s">
        <v>358</v>
      </c>
      <c r="E40" s="20" t="s">
        <v>359</v>
      </c>
      <c r="F40" s="20" t="s">
        <v>360</v>
      </c>
      <c r="G40" s="32">
        <v>2.2429208100557901E-2</v>
      </c>
      <c r="H40" s="1"/>
      <c r="I40" s="6"/>
      <c r="J40" s="1"/>
      <c r="K40" s="1"/>
    </row>
    <row r="41" spans="1:11" x14ac:dyDescent="0.35">
      <c r="A41" s="1"/>
      <c r="B41" s="5"/>
      <c r="C41" s="20" t="s">
        <v>361</v>
      </c>
      <c r="D41" s="20" t="s">
        <v>362</v>
      </c>
      <c r="E41" s="20" t="s">
        <v>363</v>
      </c>
      <c r="F41" s="20" t="s">
        <v>364</v>
      </c>
      <c r="G41" s="32">
        <v>4.9950139329260602E-2</v>
      </c>
      <c r="H41" s="1"/>
      <c r="I41" s="6"/>
      <c r="J41" s="1"/>
      <c r="K41" s="1"/>
    </row>
    <row r="42" spans="1:11" x14ac:dyDescent="0.35">
      <c r="A42" s="1"/>
      <c r="B42" s="5"/>
      <c r="C42" s="20" t="s">
        <v>365</v>
      </c>
      <c r="D42" s="20" t="s">
        <v>366</v>
      </c>
      <c r="E42" s="20" t="s">
        <v>367</v>
      </c>
      <c r="F42" s="20" t="s">
        <v>368</v>
      </c>
      <c r="G42" s="32">
        <v>2.7423273680109599E-2</v>
      </c>
      <c r="H42" s="1"/>
      <c r="I42" s="6"/>
      <c r="J42" s="1"/>
      <c r="K42" s="1"/>
    </row>
    <row r="43" spans="1:11" x14ac:dyDescent="0.35">
      <c r="A43" s="1"/>
      <c r="B43" s="5"/>
      <c r="C43" s="20" t="s">
        <v>369</v>
      </c>
      <c r="D43" s="20" t="s">
        <v>370</v>
      </c>
      <c r="E43" s="20" t="s">
        <v>371</v>
      </c>
      <c r="F43" s="20" t="s">
        <v>372</v>
      </c>
      <c r="G43" s="32">
        <v>7.5085704339625595E-2</v>
      </c>
      <c r="H43" s="1"/>
      <c r="I43" s="6"/>
      <c r="J43" s="1"/>
      <c r="K43" s="1"/>
    </row>
    <row r="44" spans="1:11" x14ac:dyDescent="0.35">
      <c r="A44" s="1"/>
      <c r="B44" s="5"/>
      <c r="C44" s="20" t="s">
        <v>373</v>
      </c>
      <c r="D44" s="20" t="s">
        <v>374</v>
      </c>
      <c r="E44" s="20" t="s">
        <v>375</v>
      </c>
      <c r="F44" s="20" t="s">
        <v>376</v>
      </c>
      <c r="G44" s="32">
        <v>6.0706904932559098E-2</v>
      </c>
      <c r="H44" s="1"/>
      <c r="I44" s="6"/>
      <c r="J44" s="1"/>
      <c r="K44" s="1"/>
    </row>
    <row r="45" spans="1:11" x14ac:dyDescent="0.35">
      <c r="A45" s="1"/>
      <c r="B45" s="5"/>
      <c r="C45" s="20" t="s">
        <v>377</v>
      </c>
      <c r="D45" s="20" t="s">
        <v>378</v>
      </c>
      <c r="E45" s="20" t="s">
        <v>379</v>
      </c>
      <c r="F45" s="20" t="s">
        <v>380</v>
      </c>
      <c r="G45" s="32">
        <v>4.7145110578815E-2</v>
      </c>
      <c r="H45" s="1"/>
      <c r="I45" s="6"/>
      <c r="J45" s="1"/>
      <c r="K45" s="1"/>
    </row>
    <row r="46" spans="1:11" x14ac:dyDescent="0.35">
      <c r="A46" s="1"/>
      <c r="B46" s="5"/>
      <c r="C46" s="20" t="s">
        <v>381</v>
      </c>
      <c r="D46" s="20" t="s">
        <v>382</v>
      </c>
      <c r="E46" s="20" t="s">
        <v>383</v>
      </c>
      <c r="F46" s="20" t="s">
        <v>384</v>
      </c>
      <c r="G46" s="32">
        <v>8.2531059487294903E-2</v>
      </c>
      <c r="H46" s="1"/>
      <c r="I46" s="6"/>
      <c r="J46" s="1"/>
      <c r="K46" s="1"/>
    </row>
    <row r="47" spans="1:11" x14ac:dyDescent="0.35">
      <c r="A47" s="1"/>
      <c r="B47" s="5"/>
      <c r="C47" s="20" t="s">
        <v>385</v>
      </c>
      <c r="D47" s="20" t="s">
        <v>386</v>
      </c>
      <c r="E47" s="20" t="s">
        <v>387</v>
      </c>
      <c r="F47" s="20" t="s">
        <v>388</v>
      </c>
      <c r="G47" s="32">
        <v>8.7662702264092104E-2</v>
      </c>
      <c r="H47" s="1"/>
      <c r="I47" s="6"/>
      <c r="J47" s="1"/>
      <c r="K47" s="1"/>
    </row>
    <row r="48" spans="1:11" x14ac:dyDescent="0.35">
      <c r="A48" s="1"/>
      <c r="B48" s="5"/>
      <c r="C48" s="20" t="s">
        <v>389</v>
      </c>
      <c r="D48" s="20" t="s">
        <v>390</v>
      </c>
      <c r="E48" s="20" t="s">
        <v>391</v>
      </c>
      <c r="F48" s="20" t="s">
        <v>392</v>
      </c>
      <c r="G48" s="32">
        <v>2.8960790228531E-2</v>
      </c>
      <c r="H48" s="1"/>
      <c r="I48" s="6"/>
      <c r="J48" s="1"/>
      <c r="K48" s="1"/>
    </row>
    <row r="49" spans="1:11" x14ac:dyDescent="0.35">
      <c r="A49" s="1"/>
      <c r="B49" s="5"/>
      <c r="C49" s="20" t="s">
        <v>393</v>
      </c>
      <c r="D49" s="20" t="s">
        <v>394</v>
      </c>
      <c r="E49" s="20" t="s">
        <v>395</v>
      </c>
      <c r="F49" s="20" t="s">
        <v>396</v>
      </c>
      <c r="G49" s="32">
        <v>3.20359540557731E-2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0.25179319981366</v>
      </c>
      <c r="H55" s="1"/>
      <c r="I55" s="6"/>
      <c r="J55" s="1"/>
      <c r="K55" s="1"/>
    </row>
    <row r="56" spans="1:11" x14ac:dyDescent="0.35">
      <c r="A56" s="1"/>
      <c r="B56" s="5"/>
      <c r="C56" s="20" t="s">
        <v>337</v>
      </c>
      <c r="D56" s="20" t="s">
        <v>399</v>
      </c>
      <c r="E56" s="20" t="s">
        <v>400</v>
      </c>
      <c r="F56" s="20" t="s">
        <v>340</v>
      </c>
      <c r="G56" s="32">
        <v>0.173334856559856</v>
      </c>
      <c r="H56" s="1"/>
      <c r="I56" s="6"/>
      <c r="J56" s="1"/>
      <c r="K56" s="1"/>
    </row>
    <row r="57" spans="1:11" x14ac:dyDescent="0.35">
      <c r="A57" s="1"/>
      <c r="B57" s="5"/>
      <c r="C57" s="20" t="s">
        <v>341</v>
      </c>
      <c r="D57" s="20" t="s">
        <v>401</v>
      </c>
      <c r="E57" s="20" t="s">
        <v>402</v>
      </c>
      <c r="F57" s="20" t="s">
        <v>344</v>
      </c>
      <c r="G57" s="32">
        <v>0.116008423259708</v>
      </c>
      <c r="H57" s="1"/>
      <c r="I57" s="6"/>
      <c r="J57" s="1"/>
      <c r="K57" s="1"/>
    </row>
    <row r="58" spans="1:11" x14ac:dyDescent="0.35">
      <c r="A58" s="1"/>
      <c r="B58" s="5"/>
      <c r="C58" s="20" t="s">
        <v>345</v>
      </c>
      <c r="D58" s="20" t="s">
        <v>403</v>
      </c>
      <c r="E58" s="20" t="s">
        <v>404</v>
      </c>
      <c r="F58" s="20" t="s">
        <v>348</v>
      </c>
      <c r="G58" s="32">
        <v>0.141436745716256</v>
      </c>
      <c r="H58" s="1"/>
      <c r="I58" s="6"/>
      <c r="J58" s="1"/>
      <c r="K58" s="1"/>
    </row>
    <row r="59" spans="1:11" x14ac:dyDescent="0.35">
      <c r="A59" s="1"/>
      <c r="B59" s="5"/>
      <c r="C59" s="20" t="s">
        <v>361</v>
      </c>
      <c r="D59" s="20" t="s">
        <v>405</v>
      </c>
      <c r="E59" s="20" t="s">
        <v>406</v>
      </c>
      <c r="F59" s="20" t="s">
        <v>364</v>
      </c>
      <c r="G59" s="32">
        <v>0.12680773091517</v>
      </c>
      <c r="H59" s="1"/>
      <c r="I59" s="6"/>
      <c r="J59" s="1"/>
      <c r="K59" s="1"/>
    </row>
    <row r="60" spans="1:11" x14ac:dyDescent="0.35">
      <c r="A60" s="1"/>
      <c r="B60" s="5"/>
      <c r="C60" s="20" t="s">
        <v>369</v>
      </c>
      <c r="D60" s="20" t="s">
        <v>407</v>
      </c>
      <c r="E60" s="20" t="s">
        <v>408</v>
      </c>
      <c r="F60" s="20" t="s">
        <v>372</v>
      </c>
      <c r="G60" s="32">
        <v>0.19061904373534999</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0.195624422218347</v>
      </c>
      <c r="H66" s="1"/>
      <c r="I66" s="6"/>
      <c r="J66" s="1"/>
      <c r="K66" s="1"/>
    </row>
    <row r="67" spans="1:11" x14ac:dyDescent="0.35">
      <c r="A67" s="1"/>
      <c r="B67" s="5"/>
      <c r="C67" s="20" t="s">
        <v>353</v>
      </c>
      <c r="D67" s="20" t="s">
        <v>411</v>
      </c>
      <c r="E67" s="20" t="s">
        <v>412</v>
      </c>
      <c r="F67" s="20" t="s">
        <v>356</v>
      </c>
      <c r="G67" s="32">
        <v>0.162735735590953</v>
      </c>
      <c r="H67" s="1"/>
      <c r="I67" s="6"/>
      <c r="J67" s="1"/>
      <c r="K67" s="1"/>
    </row>
    <row r="68" spans="1:11" x14ac:dyDescent="0.35">
      <c r="A68" s="1"/>
      <c r="B68" s="5"/>
      <c r="C68" s="20" t="s">
        <v>357</v>
      </c>
      <c r="D68" s="20" t="s">
        <v>413</v>
      </c>
      <c r="E68" s="20" t="s">
        <v>414</v>
      </c>
      <c r="F68" s="20" t="s">
        <v>360</v>
      </c>
      <c r="G68" s="32">
        <v>3.7006064435059098E-2</v>
      </c>
      <c r="H68" s="1"/>
      <c r="I68" s="6"/>
      <c r="J68" s="1"/>
      <c r="K68" s="1"/>
    </row>
    <row r="69" spans="1:11" x14ac:dyDescent="0.35">
      <c r="A69" s="1"/>
      <c r="B69" s="5"/>
      <c r="C69" s="20" t="s">
        <v>365</v>
      </c>
      <c r="D69" s="20" t="s">
        <v>415</v>
      </c>
      <c r="E69" s="20" t="s">
        <v>416</v>
      </c>
      <c r="F69" s="20" t="s">
        <v>368</v>
      </c>
      <c r="G69" s="32">
        <v>4.5245798589901597E-2</v>
      </c>
      <c r="H69" s="1"/>
      <c r="I69" s="6"/>
      <c r="J69" s="1"/>
      <c r="K69" s="1"/>
    </row>
    <row r="70" spans="1:11" x14ac:dyDescent="0.35">
      <c r="A70" s="1"/>
      <c r="B70" s="5"/>
      <c r="C70" s="20" t="s">
        <v>373</v>
      </c>
      <c r="D70" s="20" t="s">
        <v>417</v>
      </c>
      <c r="E70" s="20" t="s">
        <v>418</v>
      </c>
      <c r="F70" s="20" t="s">
        <v>376</v>
      </c>
      <c r="G70" s="32">
        <v>0.100160630930361</v>
      </c>
      <c r="H70" s="1"/>
      <c r="I70" s="6"/>
      <c r="J70" s="1"/>
      <c r="K70" s="1"/>
    </row>
    <row r="71" spans="1:11" x14ac:dyDescent="0.35">
      <c r="A71" s="1"/>
      <c r="B71" s="5"/>
      <c r="C71" s="20" t="s">
        <v>377</v>
      </c>
      <c r="D71" s="20" t="s">
        <v>419</v>
      </c>
      <c r="E71" s="20" t="s">
        <v>420</v>
      </c>
      <c r="F71" s="20" t="s">
        <v>380</v>
      </c>
      <c r="G71" s="32">
        <v>7.7784957506831606E-2</v>
      </c>
      <c r="H71" s="1"/>
      <c r="I71" s="6"/>
      <c r="J71" s="1"/>
      <c r="K71" s="1"/>
    </row>
    <row r="72" spans="1:11" x14ac:dyDescent="0.35">
      <c r="A72" s="1"/>
      <c r="B72" s="5"/>
      <c r="C72" s="20" t="s">
        <v>381</v>
      </c>
      <c r="D72" s="20" t="s">
        <v>421</v>
      </c>
      <c r="E72" s="20" t="s">
        <v>422</v>
      </c>
      <c r="F72" s="20" t="s">
        <v>384</v>
      </c>
      <c r="G72" s="32">
        <v>0.13616841442858399</v>
      </c>
      <c r="H72" s="1"/>
      <c r="I72" s="6"/>
      <c r="J72" s="1"/>
      <c r="K72" s="1"/>
    </row>
    <row r="73" spans="1:11" x14ac:dyDescent="0.35">
      <c r="A73" s="1"/>
      <c r="B73" s="5"/>
      <c r="C73" s="20" t="s">
        <v>385</v>
      </c>
      <c r="D73" s="20" t="s">
        <v>423</v>
      </c>
      <c r="E73" s="20" t="s">
        <v>424</v>
      </c>
      <c r="F73" s="20" t="s">
        <v>388</v>
      </c>
      <c r="G73" s="32">
        <v>0.144635137923421</v>
      </c>
      <c r="H73" s="1"/>
      <c r="I73" s="6"/>
      <c r="J73" s="1"/>
      <c r="K73" s="1"/>
    </row>
    <row r="74" spans="1:11" x14ac:dyDescent="0.35">
      <c r="A74" s="1"/>
      <c r="B74" s="5"/>
      <c r="C74" s="20" t="s">
        <v>389</v>
      </c>
      <c r="D74" s="20" t="s">
        <v>425</v>
      </c>
      <c r="E74" s="20" t="s">
        <v>426</v>
      </c>
      <c r="F74" s="20" t="s">
        <v>392</v>
      </c>
      <c r="G74" s="32">
        <v>4.7782554975933499E-2</v>
      </c>
      <c r="H74" s="1"/>
      <c r="I74" s="6"/>
      <c r="J74" s="1"/>
      <c r="K74" s="1"/>
    </row>
    <row r="75" spans="1:11" x14ac:dyDescent="0.35">
      <c r="A75" s="1"/>
      <c r="B75" s="5"/>
      <c r="C75" s="20" t="s">
        <v>393</v>
      </c>
      <c r="D75" s="20" t="s">
        <v>427</v>
      </c>
      <c r="E75" s="20" t="s">
        <v>428</v>
      </c>
      <c r="F75" s="20" t="s">
        <v>396</v>
      </c>
      <c r="G75" s="32">
        <v>5.2856283400607697E-2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0.141921309097017</v>
      </c>
      <c r="H80" s="1"/>
      <c r="I80" s="6"/>
      <c r="J80" s="1"/>
      <c r="K80" s="1"/>
    </row>
    <row r="81" spans="1:11" x14ac:dyDescent="0.35">
      <c r="A81" s="1"/>
      <c r="B81" s="5"/>
      <c r="C81" s="20" t="s">
        <v>433</v>
      </c>
      <c r="D81" s="20" t="s">
        <v>434</v>
      </c>
      <c r="E81" s="20" t="s">
        <v>435</v>
      </c>
      <c r="F81" s="20" t="s">
        <v>436</v>
      </c>
      <c r="G81" s="32">
        <v>7.3495970151641402E-2</v>
      </c>
      <c r="H81" s="1"/>
      <c r="I81" s="6"/>
      <c r="J81" s="1"/>
      <c r="K81" s="1"/>
    </row>
    <row r="82" spans="1:11" x14ac:dyDescent="0.35">
      <c r="A82" s="1"/>
      <c r="B82" s="5"/>
      <c r="C82" s="20" t="s">
        <v>437</v>
      </c>
      <c r="D82" s="20" t="s">
        <v>438</v>
      </c>
      <c r="E82" s="20" t="s">
        <v>439</v>
      </c>
      <c r="F82" s="20" t="s">
        <v>440</v>
      </c>
      <c r="G82" s="32">
        <v>4.05076220267181E-2</v>
      </c>
      <c r="H82" s="1"/>
      <c r="I82" s="6"/>
      <c r="J82" s="1"/>
      <c r="K82" s="1"/>
    </row>
    <row r="83" spans="1:11" x14ac:dyDescent="0.35">
      <c r="A83" s="1"/>
      <c r="B83" s="5"/>
      <c r="C83" s="20" t="s">
        <v>441</v>
      </c>
      <c r="D83" s="20" t="s">
        <v>442</v>
      </c>
      <c r="E83" s="20" t="s">
        <v>443</v>
      </c>
      <c r="F83" s="20" t="s">
        <v>444</v>
      </c>
      <c r="G83" s="32">
        <v>0.19591618562692001</v>
      </c>
      <c r="H83" s="1"/>
      <c r="I83" s="6"/>
      <c r="J83" s="1"/>
      <c r="K83" s="1"/>
    </row>
    <row r="84" spans="1:11" x14ac:dyDescent="0.35">
      <c r="A84" s="1"/>
      <c r="B84" s="5"/>
      <c r="C84" s="20" t="s">
        <v>445</v>
      </c>
      <c r="D84" s="20" t="s">
        <v>446</v>
      </c>
      <c r="E84" s="20" t="s">
        <v>447</v>
      </c>
      <c r="F84" s="20" t="s">
        <v>448</v>
      </c>
      <c r="G84" s="32">
        <v>0.15104871777124501</v>
      </c>
      <c r="H84" s="1"/>
      <c r="I84" s="6"/>
      <c r="J84" s="1"/>
      <c r="K84" s="1"/>
    </row>
    <row r="85" spans="1:11" x14ac:dyDescent="0.35">
      <c r="A85" s="1"/>
      <c r="B85" s="5"/>
      <c r="C85" s="20" t="s">
        <v>449</v>
      </c>
      <c r="D85" s="20" t="s">
        <v>450</v>
      </c>
      <c r="E85" s="20" t="s">
        <v>451</v>
      </c>
      <c r="F85" s="20" t="s">
        <v>452</v>
      </c>
      <c r="G85" s="32">
        <v>6.5319950628734497E-2</v>
      </c>
      <c r="H85" s="1"/>
      <c r="I85" s="6"/>
      <c r="J85" s="1"/>
      <c r="K85" s="1"/>
    </row>
    <row r="86" spans="1:11" x14ac:dyDescent="0.35">
      <c r="A86" s="1"/>
      <c r="B86" s="5"/>
      <c r="C86" s="20" t="s">
        <v>453</v>
      </c>
      <c r="D86" s="20" t="s">
        <v>454</v>
      </c>
      <c r="E86" s="20" t="s">
        <v>455</v>
      </c>
      <c r="F86" s="20" t="s">
        <v>456</v>
      </c>
      <c r="G86" s="32">
        <v>5.4117404968650397E-2</v>
      </c>
      <c r="H86" s="1"/>
      <c r="I86" s="6"/>
      <c r="J86" s="1"/>
      <c r="K86" s="1"/>
    </row>
    <row r="87" spans="1:11" x14ac:dyDescent="0.35">
      <c r="A87" s="1"/>
      <c r="B87" s="5"/>
      <c r="C87" s="20" t="s">
        <v>457</v>
      </c>
      <c r="D87" s="20" t="s">
        <v>458</v>
      </c>
      <c r="E87" s="20" t="s">
        <v>459</v>
      </c>
      <c r="F87" s="20" t="s">
        <v>460</v>
      </c>
      <c r="G87" s="32">
        <v>0.126601328249029</v>
      </c>
      <c r="H87" s="1"/>
      <c r="I87" s="6"/>
      <c r="J87" s="1"/>
      <c r="K87" s="1"/>
    </row>
    <row r="88" spans="1:11" x14ac:dyDescent="0.35">
      <c r="A88" s="1"/>
      <c r="B88" s="5"/>
      <c r="C88" s="20" t="s">
        <v>461</v>
      </c>
      <c r="D88" s="20" t="s">
        <v>462</v>
      </c>
      <c r="E88" s="20" t="s">
        <v>463</v>
      </c>
      <c r="F88" s="20" t="s">
        <v>464</v>
      </c>
      <c r="G88" s="32">
        <v>0.151071511480044</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0.65882045113861898</v>
      </c>
      <c r="H93" s="1"/>
      <c r="I93" s="6"/>
      <c r="J93" s="1"/>
      <c r="K93" s="1"/>
    </row>
    <row r="94" spans="1:11" x14ac:dyDescent="0.35">
      <c r="A94" s="1"/>
      <c r="B94" s="5"/>
      <c r="C94" s="20" t="s">
        <v>433</v>
      </c>
      <c r="D94" s="20" t="s">
        <v>467</v>
      </c>
      <c r="E94" s="20" t="s">
        <v>468</v>
      </c>
      <c r="F94" s="20" t="s">
        <v>436</v>
      </c>
      <c r="G94" s="32">
        <v>0.34117954886138102</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5.1629510724878598E-2</v>
      </c>
      <c r="H99" s="1"/>
      <c r="I99" s="6"/>
      <c r="J99" s="1"/>
      <c r="K99" s="1"/>
    </row>
    <row r="100" spans="1:11" x14ac:dyDescent="0.35">
      <c r="A100" s="1"/>
      <c r="B100" s="5"/>
      <c r="C100" s="20" t="s">
        <v>441</v>
      </c>
      <c r="D100" s="20" t="s">
        <v>471</v>
      </c>
      <c r="E100" s="20" t="s">
        <v>472</v>
      </c>
      <c r="F100" s="20" t="s">
        <v>444</v>
      </c>
      <c r="G100" s="32">
        <v>0.24970749478691701</v>
      </c>
      <c r="H100" s="1"/>
      <c r="I100" s="6"/>
      <c r="J100" s="1"/>
      <c r="K100" s="1"/>
    </row>
    <row r="101" spans="1:11" x14ac:dyDescent="0.35">
      <c r="A101" s="1"/>
      <c r="B101" s="5"/>
      <c r="C101" s="20" t="s">
        <v>445</v>
      </c>
      <c r="D101" s="20" t="s">
        <v>473</v>
      </c>
      <c r="E101" s="20" t="s">
        <v>474</v>
      </c>
      <c r="F101" s="20" t="s">
        <v>448</v>
      </c>
      <c r="G101" s="32">
        <v>0.19252108644629801</v>
      </c>
      <c r="H101" s="1"/>
      <c r="I101" s="6"/>
      <c r="J101" s="1"/>
      <c r="K101" s="1"/>
    </row>
    <row r="102" spans="1:11" x14ac:dyDescent="0.35">
      <c r="A102" s="1"/>
      <c r="B102" s="5"/>
      <c r="C102" s="20" t="s">
        <v>449</v>
      </c>
      <c r="D102" s="20" t="s">
        <v>475</v>
      </c>
      <c r="E102" s="20" t="s">
        <v>476</v>
      </c>
      <c r="F102" s="20" t="s">
        <v>452</v>
      </c>
      <c r="G102" s="32">
        <v>8.3254383374805604E-2</v>
      </c>
      <c r="H102" s="1"/>
      <c r="I102" s="6"/>
      <c r="J102" s="1"/>
      <c r="K102" s="1"/>
    </row>
    <row r="103" spans="1:11" x14ac:dyDescent="0.35">
      <c r="A103" s="1"/>
      <c r="B103" s="5"/>
      <c r="C103" s="20" t="s">
        <v>453</v>
      </c>
      <c r="D103" s="20" t="s">
        <v>477</v>
      </c>
      <c r="E103" s="20" t="s">
        <v>478</v>
      </c>
      <c r="F103" s="20" t="s">
        <v>456</v>
      </c>
      <c r="G103" s="32">
        <v>6.8976034659758795E-2</v>
      </c>
      <c r="H103" s="1"/>
      <c r="I103" s="6"/>
      <c r="J103" s="1"/>
      <c r="K103" s="1"/>
    </row>
    <row r="104" spans="1:11" x14ac:dyDescent="0.35">
      <c r="A104" s="1"/>
      <c r="B104" s="5"/>
      <c r="C104" s="20" t="s">
        <v>457</v>
      </c>
      <c r="D104" s="20" t="s">
        <v>479</v>
      </c>
      <c r="E104" s="20" t="s">
        <v>480</v>
      </c>
      <c r="F104" s="20" t="s">
        <v>460</v>
      </c>
      <c r="G104" s="32">
        <v>0.16136135158349599</v>
      </c>
      <c r="H104" s="1"/>
      <c r="I104" s="6"/>
      <c r="J104" s="1"/>
      <c r="K104" s="1"/>
    </row>
    <row r="105" spans="1:11" x14ac:dyDescent="0.35">
      <c r="A105" s="1"/>
      <c r="B105" s="5"/>
      <c r="C105" s="20" t="s">
        <v>461</v>
      </c>
      <c r="D105" s="20" t="s">
        <v>481</v>
      </c>
      <c r="E105" s="20" t="s">
        <v>482</v>
      </c>
      <c r="F105" s="20" t="s">
        <v>464</v>
      </c>
      <c r="G105" s="32">
        <v>0.192550138423846</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2182.5700000000002</v>
      </c>
      <c r="H7" s="31">
        <v>372.32</v>
      </c>
      <c r="I7" s="31">
        <v>356.69</v>
      </c>
      <c r="J7" s="31">
        <v>399.64</v>
      </c>
      <c r="K7" s="31">
        <v>473.45</v>
      </c>
      <c r="L7" s="31">
        <v>166.65</v>
      </c>
      <c r="M7" s="31">
        <v>140.66999999999999</v>
      </c>
      <c r="N7" s="31">
        <v>292.27977443795697</v>
      </c>
      <c r="O7" s="1"/>
      <c r="P7" s="1"/>
    </row>
    <row r="8" spans="1:16" x14ac:dyDescent="0.35">
      <c r="A8" s="1"/>
      <c r="B8" s="5"/>
      <c r="C8" s="20" t="s">
        <v>488</v>
      </c>
      <c r="D8" s="31"/>
      <c r="E8" s="31"/>
      <c r="F8" s="31"/>
      <c r="G8" s="31">
        <v>2176.9</v>
      </c>
      <c r="H8" s="31">
        <v>375.24</v>
      </c>
      <c r="I8" s="31">
        <v>357.84</v>
      </c>
      <c r="J8" s="31">
        <v>403.97</v>
      </c>
      <c r="K8" s="31">
        <v>474.05</v>
      </c>
      <c r="L8" s="31">
        <v>166.84</v>
      </c>
      <c r="M8" s="31">
        <v>140.85</v>
      </c>
      <c r="N8" s="31">
        <v>292.36535557968898</v>
      </c>
      <c r="O8" s="1"/>
      <c r="P8" s="1"/>
    </row>
    <row r="9" spans="1:16" x14ac:dyDescent="0.35">
      <c r="A9" s="1"/>
      <c r="B9" s="5"/>
      <c r="C9" s="20" t="s">
        <v>489</v>
      </c>
      <c r="D9" s="31"/>
      <c r="E9" s="31"/>
      <c r="F9" s="31"/>
      <c r="G9" s="31">
        <v>2254.58</v>
      </c>
      <c r="H9" s="31">
        <v>384.11</v>
      </c>
      <c r="I9" s="31">
        <v>362.45</v>
      </c>
      <c r="J9" s="31">
        <v>416.39</v>
      </c>
      <c r="K9" s="31">
        <v>486.91</v>
      </c>
      <c r="L9" s="31">
        <v>169.53</v>
      </c>
      <c r="M9" s="31">
        <v>145.08000000000001</v>
      </c>
      <c r="N9" s="31">
        <v>292.62224727212498</v>
      </c>
      <c r="O9" s="1"/>
      <c r="P9" s="1"/>
    </row>
    <row r="10" spans="1:16" x14ac:dyDescent="0.35">
      <c r="A10" s="1"/>
      <c r="B10" s="5"/>
      <c r="C10" s="20" t="s">
        <v>490</v>
      </c>
      <c r="D10" s="31"/>
      <c r="E10" s="31"/>
      <c r="F10" s="31"/>
      <c r="G10" s="31">
        <v>2264.61</v>
      </c>
      <c r="H10" s="31">
        <v>390.25</v>
      </c>
      <c r="I10" s="31">
        <v>365.43</v>
      </c>
      <c r="J10" s="31">
        <v>425.14</v>
      </c>
      <c r="K10" s="31">
        <v>486.38</v>
      </c>
      <c r="L10" s="31">
        <v>169.53</v>
      </c>
      <c r="M10" s="31">
        <v>144.88</v>
      </c>
      <c r="N10" s="31">
        <v>292.70793682020098</v>
      </c>
      <c r="O10" s="1"/>
      <c r="P10" s="1"/>
    </row>
    <row r="11" spans="1:16" x14ac:dyDescent="0.35">
      <c r="A11" s="1"/>
      <c r="B11" s="5"/>
      <c r="C11" s="20" t="s">
        <v>491</v>
      </c>
      <c r="D11" s="31"/>
      <c r="E11" s="31"/>
      <c r="F11" s="31"/>
      <c r="G11" s="31">
        <v>2238.9899999999998</v>
      </c>
      <c r="H11" s="31">
        <v>390.59</v>
      </c>
      <c r="I11" s="31">
        <v>366.11</v>
      </c>
      <c r="J11" s="31">
        <v>425.24</v>
      </c>
      <c r="K11" s="31">
        <v>487.02</v>
      </c>
      <c r="L11" s="31">
        <v>170.07</v>
      </c>
      <c r="M11" s="31">
        <v>145</v>
      </c>
      <c r="N11" s="31">
        <v>292.79356202249699</v>
      </c>
      <c r="O11" s="1"/>
      <c r="P11" s="1"/>
    </row>
    <row r="12" spans="1:16" x14ac:dyDescent="0.35">
      <c r="A12" s="1"/>
      <c r="B12" s="5"/>
      <c r="C12" s="20" t="s">
        <v>492</v>
      </c>
      <c r="D12" s="31"/>
      <c r="E12" s="31"/>
      <c r="F12" s="31"/>
      <c r="G12" s="31">
        <v>2228.19</v>
      </c>
      <c r="H12" s="31">
        <v>391.88</v>
      </c>
      <c r="I12" s="31">
        <v>366.9</v>
      </c>
      <c r="J12" s="31">
        <v>426.96</v>
      </c>
      <c r="K12" s="31">
        <v>487.63</v>
      </c>
      <c r="L12" s="31">
        <v>170.24</v>
      </c>
      <c r="M12" s="31">
        <v>145.19</v>
      </c>
      <c r="N12" s="31">
        <v>292.879301737243</v>
      </c>
      <c r="O12" s="1"/>
      <c r="P12" s="1"/>
    </row>
    <row r="13" spans="1:16" x14ac:dyDescent="0.35">
      <c r="A13" s="1"/>
      <c r="B13" s="5"/>
      <c r="C13" s="20" t="s">
        <v>493</v>
      </c>
      <c r="D13" s="31"/>
      <c r="E13" s="31"/>
      <c r="F13" s="31"/>
      <c r="G13" s="31">
        <v>2192.9699999999998</v>
      </c>
      <c r="H13" s="31">
        <v>391.53</v>
      </c>
      <c r="I13" s="31">
        <v>367.04</v>
      </c>
      <c r="J13" s="31">
        <v>426.23</v>
      </c>
      <c r="K13" s="31">
        <v>488.2</v>
      </c>
      <c r="L13" s="31">
        <v>170.22</v>
      </c>
      <c r="M13" s="31">
        <v>145.41</v>
      </c>
      <c r="N13" s="31">
        <v>292.96507469497101</v>
      </c>
      <c r="O13" s="1"/>
      <c r="P13" s="1"/>
    </row>
    <row r="14" spans="1:16" x14ac:dyDescent="0.35">
      <c r="A14" s="1"/>
      <c r="B14" s="5"/>
      <c r="C14" s="20" t="s">
        <v>494</v>
      </c>
      <c r="D14" s="31"/>
      <c r="E14" s="31"/>
      <c r="F14" s="31"/>
      <c r="G14" s="31">
        <v>2252.33</v>
      </c>
      <c r="H14" s="31">
        <v>390.98</v>
      </c>
      <c r="I14" s="31">
        <v>366.64</v>
      </c>
      <c r="J14" s="31">
        <v>425.54</v>
      </c>
      <c r="K14" s="31">
        <v>487.4</v>
      </c>
      <c r="L14" s="31">
        <v>170.43</v>
      </c>
      <c r="M14" s="31">
        <v>145.06</v>
      </c>
      <c r="N14" s="31">
        <v>293.30829955581402</v>
      </c>
      <c r="O14" s="1"/>
      <c r="P14" s="1"/>
    </row>
    <row r="15" spans="1:16" x14ac:dyDescent="0.35">
      <c r="A15" s="1"/>
      <c r="B15" s="5"/>
      <c r="C15" s="20" t="s">
        <v>495</v>
      </c>
      <c r="D15" s="31"/>
      <c r="E15" s="31"/>
      <c r="F15" s="31"/>
      <c r="G15" s="31">
        <v>2262.54</v>
      </c>
      <c r="H15" s="31">
        <v>393.44</v>
      </c>
      <c r="I15" s="31">
        <v>367.63</v>
      </c>
      <c r="J15" s="31">
        <v>429.21</v>
      </c>
      <c r="K15" s="31">
        <v>489.22</v>
      </c>
      <c r="L15" s="31">
        <v>170.8</v>
      </c>
      <c r="M15" s="31">
        <v>145.66999999999999</v>
      </c>
      <c r="N15" s="31">
        <v>293.39419815031999</v>
      </c>
      <c r="O15" s="1"/>
      <c r="P15" s="1"/>
    </row>
    <row r="16" spans="1:16" x14ac:dyDescent="0.35">
      <c r="A16" s="1"/>
      <c r="B16" s="5"/>
      <c r="C16" s="20" t="s">
        <v>496</v>
      </c>
      <c r="D16" s="31"/>
      <c r="E16" s="31"/>
      <c r="F16" s="31"/>
      <c r="G16" s="31">
        <v>2350.77</v>
      </c>
      <c r="H16" s="31">
        <v>395.77</v>
      </c>
      <c r="I16" s="31">
        <v>369.07</v>
      </c>
      <c r="J16" s="31">
        <v>432.3</v>
      </c>
      <c r="K16" s="31">
        <v>492.23</v>
      </c>
      <c r="L16" s="31">
        <v>171.41</v>
      </c>
      <c r="M16" s="31">
        <v>146.66</v>
      </c>
      <c r="N16" s="31">
        <v>293.48013005102302</v>
      </c>
      <c r="O16" s="1"/>
      <c r="P16" s="1"/>
    </row>
    <row r="17" spans="1:16" x14ac:dyDescent="0.35">
      <c r="A17" s="1"/>
      <c r="B17" s="5"/>
      <c r="C17" s="20" t="s">
        <v>497</v>
      </c>
      <c r="D17" s="31"/>
      <c r="E17" s="31"/>
      <c r="F17" s="31"/>
      <c r="G17" s="31">
        <v>2386.7800000000002</v>
      </c>
      <c r="H17" s="31">
        <v>399.35</v>
      </c>
      <c r="I17" s="31">
        <v>370.89</v>
      </c>
      <c r="J17" s="31">
        <v>437.33</v>
      </c>
      <c r="K17" s="31">
        <v>498.76</v>
      </c>
      <c r="L17" s="31">
        <v>172.09</v>
      </c>
      <c r="M17" s="31">
        <v>148.96</v>
      </c>
      <c r="N17" s="31">
        <v>293.565981141289</v>
      </c>
      <c r="O17" s="1"/>
      <c r="P17" s="1"/>
    </row>
    <row r="18" spans="1:16" x14ac:dyDescent="0.35">
      <c r="A18" s="1"/>
      <c r="B18" s="5"/>
      <c r="C18" s="20" t="s">
        <v>498</v>
      </c>
      <c r="D18" s="31"/>
      <c r="E18" s="31"/>
      <c r="F18" s="31"/>
      <c r="G18" s="31">
        <v>2371.1799999999998</v>
      </c>
      <c r="H18" s="31">
        <v>403.09</v>
      </c>
      <c r="I18" s="31">
        <v>373.65</v>
      </c>
      <c r="J18" s="31">
        <v>441.96</v>
      </c>
      <c r="K18" s="31">
        <v>502.92</v>
      </c>
      <c r="L18" s="31">
        <v>173.11</v>
      </c>
      <c r="M18" s="31">
        <v>150.30000000000001</v>
      </c>
      <c r="N18" s="31">
        <v>293.908996681031</v>
      </c>
      <c r="O18" s="1"/>
      <c r="P18" s="1"/>
    </row>
    <row r="19" spans="1:16" x14ac:dyDescent="0.35">
      <c r="A19" s="1"/>
      <c r="B19" s="5"/>
      <c r="C19" s="20" t="s">
        <v>499</v>
      </c>
      <c r="D19" s="31"/>
      <c r="E19" s="31"/>
      <c r="F19" s="31"/>
      <c r="G19" s="31">
        <v>2377.0300000000002</v>
      </c>
      <c r="H19" s="31">
        <v>401.24</v>
      </c>
      <c r="I19" s="31">
        <v>373.32</v>
      </c>
      <c r="J19" s="31">
        <v>438.91</v>
      </c>
      <c r="K19" s="31">
        <v>501.98</v>
      </c>
      <c r="L19" s="31">
        <v>173.22</v>
      </c>
      <c r="M19" s="31">
        <v>149.91999999999999</v>
      </c>
      <c r="N19" s="31">
        <v>293.99494873428301</v>
      </c>
      <c r="O19" s="1"/>
      <c r="P19" s="1"/>
    </row>
    <row r="20" spans="1:16" x14ac:dyDescent="0.35">
      <c r="A20" s="1"/>
      <c r="B20" s="5"/>
      <c r="C20" s="20" t="s">
        <v>500</v>
      </c>
      <c r="D20" s="31"/>
      <c r="E20" s="31"/>
      <c r="F20" s="31"/>
      <c r="G20" s="31">
        <v>2406.14</v>
      </c>
      <c r="H20" s="31">
        <v>401.66</v>
      </c>
      <c r="I20" s="31">
        <v>373.19</v>
      </c>
      <c r="J20" s="31">
        <v>439.75</v>
      </c>
      <c r="K20" s="31">
        <v>500.13</v>
      </c>
      <c r="L20" s="31">
        <v>172.87</v>
      </c>
      <c r="M20" s="31">
        <v>149.30000000000001</v>
      </c>
      <c r="N20" s="31">
        <v>294.08102392205097</v>
      </c>
      <c r="O20" s="1"/>
      <c r="P20" s="1"/>
    </row>
    <row r="21" spans="1:16" x14ac:dyDescent="0.35">
      <c r="A21" s="1"/>
      <c r="B21" s="5"/>
      <c r="C21" s="20" t="s">
        <v>501</v>
      </c>
      <c r="D21" s="31"/>
      <c r="E21" s="31"/>
      <c r="F21" s="31"/>
      <c r="G21" s="31">
        <v>2502.96</v>
      </c>
      <c r="H21" s="31">
        <v>403.97</v>
      </c>
      <c r="I21" s="31">
        <v>374.42</v>
      </c>
      <c r="J21" s="31">
        <v>442.95</v>
      </c>
      <c r="K21" s="31">
        <v>504.64</v>
      </c>
      <c r="L21" s="31">
        <v>173.14</v>
      </c>
      <c r="M21" s="31">
        <v>150.94</v>
      </c>
      <c r="N21" s="31">
        <v>294.16714064855603</v>
      </c>
      <c r="O21" s="1"/>
      <c r="P21" s="1"/>
    </row>
    <row r="22" spans="1:16" x14ac:dyDescent="0.35">
      <c r="A22" s="1"/>
      <c r="B22" s="5"/>
      <c r="C22" s="20" t="s">
        <v>502</v>
      </c>
      <c r="D22" s="31"/>
      <c r="E22" s="31"/>
      <c r="F22" s="31"/>
      <c r="G22" s="31">
        <v>2393.3000000000002</v>
      </c>
      <c r="H22" s="31">
        <v>406.01</v>
      </c>
      <c r="I22" s="31">
        <v>376.24</v>
      </c>
      <c r="J22" s="31">
        <v>445.26</v>
      </c>
      <c r="K22" s="31">
        <v>507.99</v>
      </c>
      <c r="L22" s="31">
        <v>173.9</v>
      </c>
      <c r="M22" s="31">
        <v>152.03</v>
      </c>
      <c r="N22" s="31">
        <v>294.42549293983097</v>
      </c>
      <c r="O22" s="1"/>
      <c r="P22" s="1"/>
    </row>
    <row r="23" spans="1:16" x14ac:dyDescent="0.35">
      <c r="A23" s="1"/>
      <c r="B23" s="5"/>
      <c r="C23" s="20" t="s">
        <v>503</v>
      </c>
      <c r="D23" s="31"/>
      <c r="E23" s="31"/>
      <c r="F23" s="31"/>
      <c r="G23" s="31">
        <v>2347.0700000000002</v>
      </c>
      <c r="H23" s="31">
        <v>403.73</v>
      </c>
      <c r="I23" s="31">
        <v>375.06</v>
      </c>
      <c r="J23" s="31">
        <v>442.06</v>
      </c>
      <c r="K23" s="31">
        <v>500.32</v>
      </c>
      <c r="L23" s="31">
        <v>173.18</v>
      </c>
      <c r="M23" s="31">
        <v>149.30000000000001</v>
      </c>
      <c r="N23" s="31">
        <v>294.51153879014299</v>
      </c>
      <c r="O23" s="1"/>
      <c r="P23" s="1"/>
    </row>
    <row r="24" spans="1:16" x14ac:dyDescent="0.35">
      <c r="A24" s="1"/>
      <c r="B24" s="5"/>
      <c r="C24" s="20" t="s">
        <v>504</v>
      </c>
      <c r="D24" s="31"/>
      <c r="E24" s="31"/>
      <c r="F24" s="31"/>
      <c r="G24" s="31">
        <v>2270.9699999999998</v>
      </c>
      <c r="H24" s="31">
        <v>401.95</v>
      </c>
      <c r="I24" s="31">
        <v>374.73</v>
      </c>
      <c r="J24" s="31">
        <v>439.12</v>
      </c>
      <c r="K24" s="31">
        <v>495.05</v>
      </c>
      <c r="L24" s="31">
        <v>172.7</v>
      </c>
      <c r="M24" s="31">
        <v>147.43</v>
      </c>
      <c r="N24" s="31">
        <v>294.59756888297397</v>
      </c>
      <c r="O24" s="1"/>
      <c r="P24" s="1"/>
    </row>
    <row r="25" spans="1:16" x14ac:dyDescent="0.35">
      <c r="A25" s="1"/>
      <c r="B25" s="5"/>
      <c r="C25" s="20" t="s">
        <v>505</v>
      </c>
      <c r="D25" s="31"/>
      <c r="E25" s="31"/>
      <c r="F25" s="31"/>
      <c r="G25" s="31">
        <v>2261.5300000000002</v>
      </c>
      <c r="H25" s="31">
        <v>401.93</v>
      </c>
      <c r="I25" s="31">
        <v>375.44</v>
      </c>
      <c r="J25" s="31">
        <v>438.55</v>
      </c>
      <c r="K25" s="31">
        <v>494</v>
      </c>
      <c r="L25" s="31">
        <v>172.89</v>
      </c>
      <c r="M25" s="31">
        <v>147</v>
      </c>
      <c r="N25" s="31">
        <v>294.68373048860599</v>
      </c>
      <c r="O25" s="1"/>
      <c r="P25" s="1"/>
    </row>
    <row r="26" spans="1:16" x14ac:dyDescent="0.35">
      <c r="A26" s="1"/>
      <c r="B26" s="5"/>
      <c r="C26" s="20" t="s">
        <v>506</v>
      </c>
      <c r="D26" s="31"/>
      <c r="E26" s="31"/>
      <c r="F26" s="31"/>
      <c r="G26" s="31">
        <v>2286.19</v>
      </c>
      <c r="H26" s="31">
        <v>404.96</v>
      </c>
      <c r="I26" s="31">
        <v>377.38</v>
      </c>
      <c r="J26" s="31">
        <v>442.53</v>
      </c>
      <c r="K26" s="31">
        <v>497.03</v>
      </c>
      <c r="L26" s="31">
        <v>173.44</v>
      </c>
      <c r="M26" s="31">
        <v>148.01</v>
      </c>
      <c r="N26" s="31">
        <v>294.769835437523</v>
      </c>
      <c r="O26" s="1"/>
      <c r="P26" s="1"/>
    </row>
    <row r="27" spans="1:16" x14ac:dyDescent="0.35">
      <c r="A27" s="1"/>
      <c r="B27" s="5"/>
      <c r="C27" s="20" t="s">
        <v>507</v>
      </c>
      <c r="D27" s="31"/>
      <c r="E27" s="31"/>
      <c r="F27" s="31"/>
      <c r="G27" s="31">
        <v>2269.08</v>
      </c>
      <c r="H27" s="31">
        <v>406.3</v>
      </c>
      <c r="I27" s="31">
        <v>378.62</v>
      </c>
      <c r="J27" s="31">
        <v>444</v>
      </c>
      <c r="K27" s="31">
        <v>496.58</v>
      </c>
      <c r="L27" s="31">
        <v>173.73</v>
      </c>
      <c r="M27" s="31">
        <v>147.77000000000001</v>
      </c>
      <c r="N27" s="31">
        <v>295.11451963176103</v>
      </c>
      <c r="O27" s="1"/>
      <c r="P27" s="1"/>
    </row>
    <row r="28" spans="1:16" x14ac:dyDescent="0.35">
      <c r="A28" s="1"/>
      <c r="B28" s="5"/>
      <c r="C28" s="20" t="s">
        <v>508</v>
      </c>
      <c r="D28" s="31"/>
      <c r="E28" s="31"/>
      <c r="F28" s="31"/>
      <c r="G28" s="31">
        <v>2259.83</v>
      </c>
      <c r="H28" s="31">
        <v>407.3</v>
      </c>
      <c r="I28" s="31">
        <v>378.84</v>
      </c>
      <c r="J28" s="31">
        <v>445.62</v>
      </c>
      <c r="K28" s="31">
        <v>497.39</v>
      </c>
      <c r="L28" s="31">
        <v>174.03</v>
      </c>
      <c r="M28" s="31">
        <v>148.01</v>
      </c>
      <c r="N28" s="31">
        <v>295.20090620975799</v>
      </c>
      <c r="O28" s="1"/>
      <c r="P28" s="1"/>
    </row>
    <row r="29" spans="1:16" x14ac:dyDescent="0.35">
      <c r="A29" s="1"/>
      <c r="B29" s="5"/>
      <c r="C29" s="20" t="s">
        <v>509</v>
      </c>
      <c r="D29" s="31"/>
      <c r="E29" s="31"/>
      <c r="F29" s="31"/>
      <c r="G29" s="31">
        <v>2260.13</v>
      </c>
      <c r="H29" s="31">
        <v>410.75</v>
      </c>
      <c r="I29" s="31">
        <v>380.61</v>
      </c>
      <c r="J29" s="31">
        <v>450.51</v>
      </c>
      <c r="K29" s="31">
        <v>499.1</v>
      </c>
      <c r="L29" s="31">
        <v>174.91</v>
      </c>
      <c r="M29" s="31">
        <v>148.44999999999999</v>
      </c>
      <c r="N29" s="31">
        <v>295.292680891489</v>
      </c>
      <c r="O29" s="1"/>
      <c r="P29" s="1"/>
    </row>
    <row r="30" spans="1:16" x14ac:dyDescent="0.35">
      <c r="A30" s="1"/>
      <c r="B30" s="5"/>
      <c r="C30" s="20" t="s">
        <v>510</v>
      </c>
      <c r="D30" s="31"/>
      <c r="E30" s="31"/>
      <c r="F30" s="31"/>
      <c r="G30" s="31">
        <v>2295.7199999999998</v>
      </c>
      <c r="H30" s="31">
        <v>409.06</v>
      </c>
      <c r="I30" s="31">
        <v>380.42</v>
      </c>
      <c r="J30" s="31">
        <v>447.61</v>
      </c>
      <c r="K30" s="31">
        <v>499.59</v>
      </c>
      <c r="L30" s="31">
        <v>174.88</v>
      </c>
      <c r="M30" s="31">
        <v>148.63999999999999</v>
      </c>
      <c r="N30" s="31">
        <v>295.38450871267202</v>
      </c>
      <c r="O30" s="1"/>
      <c r="P30" s="1"/>
    </row>
    <row r="31" spans="1:16" x14ac:dyDescent="0.35">
      <c r="A31" s="1"/>
      <c r="B31" s="5"/>
      <c r="C31" s="20" t="s">
        <v>511</v>
      </c>
      <c r="D31" s="31"/>
      <c r="E31" s="31"/>
      <c r="F31" s="31"/>
      <c r="G31" s="31">
        <v>2295.85</v>
      </c>
      <c r="H31" s="31">
        <v>407.68</v>
      </c>
      <c r="I31" s="31">
        <v>379.8</v>
      </c>
      <c r="J31" s="31">
        <v>445.58</v>
      </c>
      <c r="K31" s="31">
        <v>497.67</v>
      </c>
      <c r="L31" s="31">
        <v>174.87</v>
      </c>
      <c r="M31" s="31">
        <v>147.91999999999999</v>
      </c>
      <c r="N31" s="31">
        <v>295.659634767162</v>
      </c>
      <c r="O31" s="1"/>
      <c r="P31" s="1"/>
    </row>
    <row r="32" spans="1:16" x14ac:dyDescent="0.35">
      <c r="A32" s="1"/>
      <c r="B32" s="5"/>
      <c r="C32" s="20" t="s">
        <v>512</v>
      </c>
      <c r="D32" s="31"/>
      <c r="E32" s="31"/>
      <c r="F32" s="31"/>
      <c r="G32" s="31">
        <v>2294.46</v>
      </c>
      <c r="H32" s="31">
        <v>408.53</v>
      </c>
      <c r="I32" s="31">
        <v>380.21</v>
      </c>
      <c r="J32" s="31">
        <v>446.81</v>
      </c>
      <c r="K32" s="31">
        <v>497.79</v>
      </c>
      <c r="L32" s="31">
        <v>174.86</v>
      </c>
      <c r="M32" s="31">
        <v>147.96</v>
      </c>
      <c r="N32" s="31">
        <v>295.75149457313103</v>
      </c>
      <c r="O32" s="1"/>
      <c r="P32" s="1"/>
    </row>
    <row r="33" spans="1:16" x14ac:dyDescent="0.35">
      <c r="A33" s="1"/>
      <c r="B33" s="5"/>
      <c r="C33" s="20" t="s">
        <v>513</v>
      </c>
      <c r="D33" s="31"/>
      <c r="E33" s="31"/>
      <c r="F33" s="31"/>
      <c r="G33" s="31">
        <v>2312.96</v>
      </c>
      <c r="H33" s="31">
        <v>407.43</v>
      </c>
      <c r="I33" s="31">
        <v>379.56</v>
      </c>
      <c r="J33" s="31">
        <v>445.32</v>
      </c>
      <c r="K33" s="31">
        <v>496.59</v>
      </c>
      <c r="L33" s="31">
        <v>174.68</v>
      </c>
      <c r="M33" s="31">
        <v>147.55000000000001</v>
      </c>
      <c r="N33" s="31">
        <v>295.84338291943101</v>
      </c>
      <c r="O33" s="1"/>
      <c r="P33" s="1"/>
    </row>
    <row r="34" spans="1:16" x14ac:dyDescent="0.35">
      <c r="A34" s="1"/>
      <c r="B34" s="5"/>
      <c r="C34" s="20" t="s">
        <v>514</v>
      </c>
      <c r="D34" s="31"/>
      <c r="E34" s="31"/>
      <c r="F34" s="31"/>
      <c r="G34" s="31">
        <v>2292.75</v>
      </c>
      <c r="H34" s="31">
        <v>407.93</v>
      </c>
      <c r="I34" s="31">
        <v>379.98</v>
      </c>
      <c r="J34" s="31">
        <v>445.9</v>
      </c>
      <c r="K34" s="31">
        <v>497.8</v>
      </c>
      <c r="L34" s="31">
        <v>174.9</v>
      </c>
      <c r="M34" s="31">
        <v>147.96</v>
      </c>
      <c r="N34" s="31">
        <v>295.93534912216001</v>
      </c>
      <c r="O34" s="1"/>
      <c r="P34" s="1"/>
    </row>
    <row r="35" spans="1:16" x14ac:dyDescent="0.35">
      <c r="A35" s="1"/>
      <c r="B35" s="5"/>
      <c r="C35" s="20" t="s">
        <v>515</v>
      </c>
      <c r="D35" s="31"/>
      <c r="E35" s="31"/>
      <c r="F35" s="31"/>
      <c r="G35" s="31">
        <v>2307.67</v>
      </c>
      <c r="H35" s="31">
        <v>409.49</v>
      </c>
      <c r="I35" s="31">
        <v>380.93</v>
      </c>
      <c r="J35" s="31">
        <v>447.98</v>
      </c>
      <c r="K35" s="31">
        <v>500.05</v>
      </c>
      <c r="L35" s="31">
        <v>175.3</v>
      </c>
      <c r="M35" s="31">
        <v>148.72</v>
      </c>
      <c r="N35" s="31">
        <v>296.027294591047</v>
      </c>
      <c r="O35" s="1"/>
      <c r="P35" s="1"/>
    </row>
    <row r="36" spans="1:16" x14ac:dyDescent="0.35">
      <c r="A36" s="1"/>
      <c r="B36" s="9"/>
      <c r="C36" s="20" t="s">
        <v>516</v>
      </c>
      <c r="D36" s="31"/>
      <c r="E36" s="31"/>
      <c r="F36" s="31"/>
      <c r="G36" s="31">
        <v>2298.73</v>
      </c>
      <c r="H36" s="31">
        <v>408.6</v>
      </c>
      <c r="I36" s="31">
        <v>381.04</v>
      </c>
      <c r="J36" s="31">
        <v>446.3</v>
      </c>
      <c r="K36" s="31">
        <v>500.5</v>
      </c>
      <c r="L36" s="31">
        <v>175.67</v>
      </c>
      <c r="M36" s="31">
        <v>148.80000000000001</v>
      </c>
      <c r="N36" s="31">
        <v>296.39515784245901</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20.420000000000002</v>
      </c>
      <c r="J6" s="37">
        <v>1914.41</v>
      </c>
      <c r="K6" s="25" t="s">
        <v>531</v>
      </c>
      <c r="L6" s="37">
        <v>78.510000000000005</v>
      </c>
      <c r="M6" s="36">
        <v>4.0355731225296398E-2</v>
      </c>
      <c r="N6" s="37">
        <v>0.26431119770582101</v>
      </c>
      <c r="O6" s="37">
        <v>6.4450388485543204</v>
      </c>
      <c r="P6" s="6"/>
      <c r="Q6" s="1"/>
      <c r="R6" s="1"/>
    </row>
    <row r="7" spans="1:18" x14ac:dyDescent="0.35">
      <c r="A7" s="1"/>
      <c r="B7" s="5"/>
      <c r="C7" s="25" t="s">
        <v>298</v>
      </c>
      <c r="D7" s="25" t="s">
        <v>532</v>
      </c>
      <c r="E7" s="36">
        <v>0</v>
      </c>
      <c r="F7" s="36">
        <v>0</v>
      </c>
      <c r="G7" s="36">
        <v>0.11111111111111099</v>
      </c>
      <c r="H7" s="36">
        <v>-0.12280701754386</v>
      </c>
      <c r="I7" s="37">
        <v>0</v>
      </c>
      <c r="J7" s="37">
        <v>394.79</v>
      </c>
      <c r="K7" s="25" t="s">
        <v>531</v>
      </c>
      <c r="L7" s="37">
        <v>25.76</v>
      </c>
      <c r="M7" s="36">
        <v>0</v>
      </c>
      <c r="N7" s="37">
        <v>0.50659844474277504</v>
      </c>
      <c r="O7" s="37">
        <v>7.7639751552794998</v>
      </c>
      <c r="P7" s="6"/>
      <c r="Q7" s="1"/>
      <c r="R7" s="1"/>
    </row>
    <row r="8" spans="1:18" x14ac:dyDescent="0.35">
      <c r="A8" s="1"/>
      <c r="B8" s="5"/>
      <c r="C8" s="25" t="s">
        <v>322</v>
      </c>
      <c r="D8" s="25" t="s">
        <v>532</v>
      </c>
      <c r="E8" s="36">
        <v>-1.0999999999999999E-2</v>
      </c>
      <c r="F8" s="36">
        <v>-0.117936117936118</v>
      </c>
      <c r="G8" s="36">
        <v>0.132492113564669</v>
      </c>
      <c r="H8" s="36">
        <v>-0.163170163170163</v>
      </c>
      <c r="I8" s="37">
        <v>29.16050628</v>
      </c>
      <c r="J8" s="37">
        <v>436.2</v>
      </c>
      <c r="K8" s="25" t="s">
        <v>531</v>
      </c>
      <c r="L8" s="37">
        <v>65.59</v>
      </c>
      <c r="M8" s="36">
        <v>8.1227036991643506E-2</v>
      </c>
      <c r="N8" s="37">
        <v>0.823016964695094</v>
      </c>
      <c r="O8" s="37">
        <v>5.4733953346546702</v>
      </c>
      <c r="P8" s="6"/>
      <c r="Q8" s="1"/>
      <c r="R8" s="1"/>
    </row>
    <row r="9" spans="1:18" x14ac:dyDescent="0.35">
      <c r="A9" s="1"/>
      <c r="B9" s="5"/>
      <c r="C9" s="25" t="s">
        <v>300</v>
      </c>
      <c r="D9" s="25" t="s">
        <v>530</v>
      </c>
      <c r="E9" s="36">
        <v>0</v>
      </c>
      <c r="F9" s="36">
        <v>0.227522935779817</v>
      </c>
      <c r="G9" s="36">
        <v>1.8961038961039001</v>
      </c>
      <c r="H9" s="36">
        <v>0.311764705882353</v>
      </c>
      <c r="I9" s="37">
        <v>354.4</v>
      </c>
      <c r="J9" s="37">
        <v>1939.8</v>
      </c>
      <c r="K9" s="25" t="s">
        <v>531</v>
      </c>
      <c r="L9" s="37">
        <v>672.24</v>
      </c>
      <c r="M9" s="36">
        <v>5.2974588938714498E-2</v>
      </c>
      <c r="N9" s="37">
        <v>3.4488091555830498</v>
      </c>
      <c r="O9" s="37">
        <v>9.9518029275258808</v>
      </c>
      <c r="P9" s="6"/>
      <c r="Q9" s="1"/>
      <c r="R9" s="1"/>
    </row>
    <row r="10" spans="1:18" x14ac:dyDescent="0.35">
      <c r="A10" s="1"/>
      <c r="B10" s="5"/>
      <c r="C10" s="25" t="s">
        <v>258</v>
      </c>
      <c r="D10" s="25" t="s">
        <v>532</v>
      </c>
      <c r="E10" s="36">
        <v>-0.01</v>
      </c>
      <c r="F10" s="36">
        <v>-8.0882352941176502E-2</v>
      </c>
      <c r="G10" s="36">
        <v>0.164596273291925</v>
      </c>
      <c r="H10" s="36">
        <v>-5.7315233785821998E-2</v>
      </c>
      <c r="I10" s="37">
        <v>1752</v>
      </c>
      <c r="J10" s="37">
        <v>46696.74</v>
      </c>
      <c r="K10" s="25" t="s">
        <v>531</v>
      </c>
      <c r="L10" s="37">
        <v>3546.78</v>
      </c>
      <c r="M10" s="36">
        <v>4.6719999999999998E-2</v>
      </c>
      <c r="N10" s="37">
        <v>0.80305391768247603</v>
      </c>
      <c r="O10" s="37">
        <v>10.5729704125996</v>
      </c>
      <c r="P10" s="6"/>
      <c r="Q10" s="1"/>
      <c r="R10" s="1"/>
    </row>
    <row r="11" spans="1:18" x14ac:dyDescent="0.35">
      <c r="A11" s="1"/>
      <c r="B11" s="5"/>
      <c r="C11" s="25" t="s">
        <v>302</v>
      </c>
      <c r="D11" s="25" t="s">
        <v>532</v>
      </c>
      <c r="E11" s="36">
        <v>0</v>
      </c>
      <c r="F11" s="36">
        <v>-3.0379746835443099E-2</v>
      </c>
      <c r="G11" s="36">
        <v>0.26821192052980097</v>
      </c>
      <c r="H11" s="36">
        <v>5.6551724137930998E-2</v>
      </c>
      <c r="I11" s="37">
        <v>1641.3150000000001</v>
      </c>
      <c r="J11" s="37">
        <v>10884.92</v>
      </c>
      <c r="K11" s="25" t="s">
        <v>531</v>
      </c>
      <c r="L11" s="37">
        <v>1733.41</v>
      </c>
      <c r="M11" s="36">
        <v>0.10713544386423</v>
      </c>
      <c r="N11" s="37">
        <v>1.40745177732128</v>
      </c>
      <c r="O11" s="37">
        <v>8.8380706237993305</v>
      </c>
      <c r="P11" s="6"/>
      <c r="Q11" s="1"/>
      <c r="R11" s="1"/>
    </row>
    <row r="12" spans="1:18" x14ac:dyDescent="0.35">
      <c r="A12" s="1"/>
      <c r="B12" s="5"/>
      <c r="C12" s="25" t="s">
        <v>533</v>
      </c>
      <c r="D12" s="25" t="s">
        <v>530</v>
      </c>
      <c r="E12" s="36">
        <v>0</v>
      </c>
      <c r="F12" s="36">
        <v>0</v>
      </c>
      <c r="G12" s="36">
        <v>1.10471204188482</v>
      </c>
      <c r="H12" s="36">
        <v>0</v>
      </c>
      <c r="I12" s="37">
        <v>88</v>
      </c>
      <c r="J12" s="37">
        <v>1048.5899999999999</v>
      </c>
      <c r="K12" s="25" t="s">
        <v>531</v>
      </c>
      <c r="L12" s="37">
        <v>16.82</v>
      </c>
      <c r="M12" s="36">
        <v>0.109452736318408</v>
      </c>
      <c r="N12" s="37">
        <v>0.76674391325494196</v>
      </c>
      <c r="O12" s="37">
        <v>47.800237812128401</v>
      </c>
      <c r="P12" s="6"/>
      <c r="Q12" s="1"/>
      <c r="R12" s="1"/>
    </row>
    <row r="13" spans="1:18" x14ac:dyDescent="0.35">
      <c r="A13" s="1"/>
      <c r="B13" s="5"/>
      <c r="C13" s="25" t="s">
        <v>260</v>
      </c>
      <c r="D13" s="25" t="s">
        <v>532</v>
      </c>
      <c r="E13" s="36">
        <v>-2.23E-2</v>
      </c>
      <c r="F13" s="36">
        <v>1.1538461538461499E-2</v>
      </c>
      <c r="G13" s="36">
        <v>0.15477497255762901</v>
      </c>
      <c r="H13" s="36">
        <v>7.3469387755102006E-2</v>
      </c>
      <c r="I13" s="37">
        <v>326</v>
      </c>
      <c r="J13" s="37">
        <v>4352.09</v>
      </c>
      <c r="K13" s="25" t="s">
        <v>531</v>
      </c>
      <c r="L13" s="37">
        <v>184.82</v>
      </c>
      <c r="M13" s="36">
        <v>6.19771863117871E-2</v>
      </c>
      <c r="N13" s="37">
        <v>1.20861471155238</v>
      </c>
      <c r="O13" s="37">
        <v>28.460123363272402</v>
      </c>
      <c r="P13" s="6"/>
      <c r="Q13" s="1"/>
      <c r="R13" s="1"/>
    </row>
    <row r="14" spans="1:18" x14ac:dyDescent="0.35">
      <c r="A14" s="1"/>
      <c r="B14" s="5"/>
      <c r="C14" s="25" t="s">
        <v>262</v>
      </c>
      <c r="D14" s="25" t="s">
        <v>532</v>
      </c>
      <c r="E14" s="36">
        <v>-1.1900000000000001E-2</v>
      </c>
      <c r="F14" s="36">
        <v>-1.35363790186125E-2</v>
      </c>
      <c r="G14" s="36">
        <v>0.19222903885480599</v>
      </c>
      <c r="H14" s="36">
        <v>8.3643122676579904E-2</v>
      </c>
      <c r="I14" s="37">
        <v>770</v>
      </c>
      <c r="J14" s="37">
        <v>9040.81</v>
      </c>
      <c r="K14" s="25" t="s">
        <v>531</v>
      </c>
      <c r="L14" s="37">
        <v>2051.6</v>
      </c>
      <c r="M14" s="36">
        <v>6.6037735849056603E-2</v>
      </c>
      <c r="N14" s="37">
        <v>1.28970744877948</v>
      </c>
      <c r="O14" s="37">
        <v>5.68336907779294</v>
      </c>
      <c r="P14" s="6"/>
      <c r="Q14" s="1"/>
      <c r="R14" s="1"/>
    </row>
    <row r="15" spans="1:18" x14ac:dyDescent="0.35">
      <c r="A15" s="1"/>
      <c r="B15" s="5"/>
      <c r="C15" s="25" t="s">
        <v>264</v>
      </c>
      <c r="D15" s="25" t="s">
        <v>532</v>
      </c>
      <c r="E15" s="36">
        <v>-1.2800000000000001E-2</v>
      </c>
      <c r="F15" s="36">
        <v>-3.0787878787878802E-2</v>
      </c>
      <c r="G15" s="36">
        <v>0.54422556971803804</v>
      </c>
      <c r="H15" s="36">
        <v>0.15549132947976901</v>
      </c>
      <c r="I15" s="37">
        <v>3900</v>
      </c>
      <c r="J15" s="37">
        <v>42128.25</v>
      </c>
      <c r="K15" s="25" t="s">
        <v>531</v>
      </c>
      <c r="L15" s="37">
        <v>3885.81</v>
      </c>
      <c r="M15" s="36">
        <v>4.8774387193596801E-2</v>
      </c>
      <c r="N15" s="37">
        <v>1.8980138030893801</v>
      </c>
      <c r="O15" s="37">
        <v>20.577434305846101</v>
      </c>
      <c r="P15" s="6"/>
      <c r="Q15" s="1"/>
      <c r="R15" s="1"/>
    </row>
    <row r="16" spans="1:18" x14ac:dyDescent="0.35">
      <c r="A16" s="1"/>
      <c r="B16" s="5"/>
      <c r="C16" s="25" t="s">
        <v>304</v>
      </c>
      <c r="D16" s="25" t="s">
        <v>532</v>
      </c>
      <c r="E16" s="36">
        <v>0</v>
      </c>
      <c r="F16" s="36">
        <v>0</v>
      </c>
      <c r="G16" s="36">
        <v>-0.25595238095238099</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279</v>
      </c>
      <c r="J17" s="37">
        <v>1674.62</v>
      </c>
      <c r="K17" s="25" t="s">
        <v>531</v>
      </c>
      <c r="L17" s="37">
        <v>266.08</v>
      </c>
      <c r="M17" s="36">
        <v>0.192413793103448</v>
      </c>
      <c r="N17" s="37">
        <v>0.86586807753400796</v>
      </c>
      <c r="O17" s="37">
        <v>5.4494888755261597</v>
      </c>
      <c r="P17" s="6"/>
      <c r="Q17" s="1"/>
      <c r="R17" s="1"/>
    </row>
    <row r="18" spans="1:18" x14ac:dyDescent="0.35">
      <c r="A18" s="1"/>
      <c r="B18" s="5"/>
      <c r="C18" s="25" t="s">
        <v>537</v>
      </c>
      <c r="D18" s="25" t="s">
        <v>530</v>
      </c>
      <c r="E18" s="36">
        <v>0</v>
      </c>
      <c r="F18" s="36">
        <v>0</v>
      </c>
      <c r="G18" s="36">
        <v>-1.4937527405545201E-4</v>
      </c>
      <c r="H18" s="36">
        <v>0</v>
      </c>
      <c r="I18" s="37">
        <v>0</v>
      </c>
      <c r="J18" s="37">
        <v>571.29</v>
      </c>
      <c r="K18" s="25" t="s">
        <v>531</v>
      </c>
      <c r="L18" s="37">
        <v>-471.71</v>
      </c>
      <c r="M18" s="36">
        <v>0</v>
      </c>
      <c r="N18" s="37">
        <v>3.6321307917169898</v>
      </c>
      <c r="O18" s="37">
        <v>-4.3988891479934704</v>
      </c>
      <c r="P18" s="6"/>
      <c r="Q18" s="1"/>
      <c r="R18" s="1"/>
    </row>
    <row r="19" spans="1:18" x14ac:dyDescent="0.35">
      <c r="A19" s="1"/>
      <c r="B19" s="5"/>
      <c r="C19" s="25" t="s">
        <v>538</v>
      </c>
      <c r="D19" s="25" t="s">
        <v>530</v>
      </c>
      <c r="E19" s="36">
        <v>0</v>
      </c>
      <c r="F19" s="36">
        <v>0</v>
      </c>
      <c r="G19" s="36">
        <v>-0.65800000000000003</v>
      </c>
      <c r="H19" s="36">
        <v>0</v>
      </c>
      <c r="I19" s="37">
        <v>0</v>
      </c>
      <c r="J19" s="37">
        <v>291.11</v>
      </c>
      <c r="K19" s="25" t="s">
        <v>535</v>
      </c>
      <c r="L19" s="37">
        <v>20.46</v>
      </c>
      <c r="M19" s="36">
        <v>0</v>
      </c>
      <c r="N19" s="37">
        <v>0.58740682216344298</v>
      </c>
      <c r="O19" s="37">
        <v>8.3577712609970707</v>
      </c>
      <c r="P19" s="6"/>
      <c r="Q19" s="1"/>
      <c r="R19" s="1"/>
    </row>
    <row r="20" spans="1:18" x14ac:dyDescent="0.35">
      <c r="A20" s="1"/>
      <c r="B20" s="5"/>
      <c r="C20" s="25" t="s">
        <v>306</v>
      </c>
      <c r="D20" s="25" t="s">
        <v>532</v>
      </c>
      <c r="E20" s="36">
        <v>7.1000000000000004E-3</v>
      </c>
      <c r="F20" s="36">
        <v>2.8846153846153699E-2</v>
      </c>
      <c r="G20" s="36">
        <v>-0.104602510460251</v>
      </c>
      <c r="H20" s="36">
        <v>-2.0594965675057302E-2</v>
      </c>
      <c r="I20" s="37">
        <v>0</v>
      </c>
      <c r="J20" s="37">
        <v>1144.1099999999999</v>
      </c>
      <c r="K20" s="25" t="s">
        <v>531</v>
      </c>
      <c r="L20" s="37">
        <v>43.15</v>
      </c>
      <c r="M20" s="36">
        <v>0</v>
      </c>
      <c r="N20" s="37">
        <v>0.374089903942803</v>
      </c>
      <c r="O20" s="37">
        <v>9.9188876013904999</v>
      </c>
      <c r="P20" s="6"/>
      <c r="Q20" s="1"/>
      <c r="R20" s="1"/>
    </row>
    <row r="21" spans="1:18" x14ac:dyDescent="0.35">
      <c r="A21" s="1"/>
      <c r="B21" s="5"/>
      <c r="C21" s="25" t="s">
        <v>539</v>
      </c>
      <c r="D21" s="25" t="s">
        <v>530</v>
      </c>
      <c r="E21" s="36">
        <v>0</v>
      </c>
      <c r="F21" s="36">
        <v>0</v>
      </c>
      <c r="G21" s="36">
        <v>0.36363636363636398</v>
      </c>
      <c r="H21" s="36">
        <v>0</v>
      </c>
      <c r="I21" s="37">
        <v>119.44</v>
      </c>
      <c r="J21" s="37">
        <v>3689.98</v>
      </c>
      <c r="K21" s="25" t="s">
        <v>531</v>
      </c>
      <c r="L21" s="37">
        <v>599.53</v>
      </c>
      <c r="M21" s="36">
        <v>7.9626666666666707E-2</v>
      </c>
      <c r="N21" s="37">
        <v>0.40650626832665798</v>
      </c>
      <c r="O21" s="37">
        <v>2.5019598685637101</v>
      </c>
      <c r="P21" s="6"/>
      <c r="Q21" s="1"/>
      <c r="R21" s="1"/>
    </row>
    <row r="22" spans="1:18" x14ac:dyDescent="0.35">
      <c r="A22" s="1"/>
      <c r="B22" s="5"/>
      <c r="C22" s="25" t="s">
        <v>266</v>
      </c>
      <c r="D22" s="25" t="s">
        <v>532</v>
      </c>
      <c r="E22" s="36">
        <v>2.2599999999999999E-2</v>
      </c>
      <c r="F22" s="36">
        <v>7.4576271186440599E-2</v>
      </c>
      <c r="G22" s="36">
        <v>6.9741282339707403E-2</v>
      </c>
      <c r="H22" s="36">
        <v>4.1621029572836803E-2</v>
      </c>
      <c r="I22" s="37">
        <v>0</v>
      </c>
      <c r="J22" s="37">
        <v>36099.07</v>
      </c>
      <c r="K22" s="25" t="s">
        <v>531</v>
      </c>
      <c r="L22" s="37">
        <v>1407.84</v>
      </c>
      <c r="M22" s="36">
        <v>0</v>
      </c>
      <c r="N22" s="37">
        <v>0.52688337954412701</v>
      </c>
      <c r="O22" s="37">
        <v>13.510057961131899</v>
      </c>
      <c r="P22" s="6"/>
      <c r="Q22" s="1"/>
      <c r="R22" s="1"/>
    </row>
    <row r="23" spans="1:18" x14ac:dyDescent="0.35">
      <c r="A23" s="1"/>
      <c r="B23" s="5"/>
      <c r="C23" s="25" t="s">
        <v>540</v>
      </c>
      <c r="D23" s="25" t="s">
        <v>530</v>
      </c>
      <c r="E23" s="36">
        <v>0</v>
      </c>
      <c r="F23" s="36">
        <v>0</v>
      </c>
      <c r="G23" s="36">
        <v>4.00160064025545E-4</v>
      </c>
      <c r="H23" s="36">
        <v>0</v>
      </c>
      <c r="I23" s="37">
        <v>130.16999999999999</v>
      </c>
      <c r="J23" s="37">
        <v>3156.72</v>
      </c>
      <c r="K23" s="25" t="s">
        <v>531</v>
      </c>
      <c r="L23" s="37">
        <v>448.21</v>
      </c>
      <c r="M23" s="36">
        <v>5.2068000000000003E-2</v>
      </c>
      <c r="N23" s="37">
        <v>0.79196127626143598</v>
      </c>
      <c r="O23" s="37">
        <v>5.5777425760246304</v>
      </c>
      <c r="P23" s="6"/>
      <c r="Q23" s="1"/>
      <c r="R23" s="1"/>
    </row>
    <row r="24" spans="1:18" x14ac:dyDescent="0.35">
      <c r="A24" s="1"/>
      <c r="B24" s="5"/>
      <c r="C24" s="25" t="s">
        <v>541</v>
      </c>
      <c r="D24" s="25" t="s">
        <v>530</v>
      </c>
      <c r="E24" s="36">
        <v>0</v>
      </c>
      <c r="F24" s="36">
        <v>0</v>
      </c>
      <c r="G24" s="36">
        <v>6.6304654442877302</v>
      </c>
      <c r="H24" s="36">
        <v>0</v>
      </c>
      <c r="I24" s="37">
        <v>0</v>
      </c>
      <c r="J24" s="37">
        <v>433.01</v>
      </c>
      <c r="K24" s="25" t="s">
        <v>531</v>
      </c>
      <c r="L24" s="37">
        <v>28.06</v>
      </c>
      <c r="M24" s="36">
        <v>0</v>
      </c>
      <c r="N24" s="37">
        <v>12.4939377843468</v>
      </c>
      <c r="O24" s="37">
        <v>192.80114041339999</v>
      </c>
      <c r="P24" s="6"/>
      <c r="Q24" s="1"/>
      <c r="R24" s="1"/>
    </row>
    <row r="25" spans="1:18" x14ac:dyDescent="0.35">
      <c r="A25" s="1"/>
      <c r="B25" s="5"/>
      <c r="C25" s="25" t="s">
        <v>268</v>
      </c>
      <c r="D25" s="25" t="s">
        <v>532</v>
      </c>
      <c r="E25" s="36">
        <v>3.3399999999999999E-2</v>
      </c>
      <c r="F25" s="36">
        <v>-8.52173913043478E-2</v>
      </c>
      <c r="G25" s="36">
        <v>0.46518105849582198</v>
      </c>
      <c r="H25" s="36">
        <v>0.40641711229946498</v>
      </c>
      <c r="I25" s="37">
        <v>214</v>
      </c>
      <c r="J25" s="37">
        <v>2037.14</v>
      </c>
      <c r="K25" s="25" t="s">
        <v>531</v>
      </c>
      <c r="L25" s="37">
        <v>219.59</v>
      </c>
      <c r="M25" s="36">
        <v>8.13688212927757E-2</v>
      </c>
      <c r="N25" s="37">
        <v>1.2910256536124201</v>
      </c>
      <c r="O25" s="37">
        <v>11.9768659775035</v>
      </c>
      <c r="P25" s="6"/>
      <c r="Q25" s="1"/>
      <c r="R25" s="1"/>
    </row>
    <row r="26" spans="1:18" x14ac:dyDescent="0.35">
      <c r="A26" s="1"/>
      <c r="B26" s="5"/>
      <c r="C26" s="25" t="s">
        <v>308</v>
      </c>
      <c r="D26" s="25" t="s">
        <v>530</v>
      </c>
      <c r="E26" s="36">
        <v>0</v>
      </c>
      <c r="F26" s="36">
        <v>0</v>
      </c>
      <c r="G26" s="36">
        <v>6.6666666666666693E-2</v>
      </c>
      <c r="H26" s="36">
        <v>-7.69230769230769E-2</v>
      </c>
      <c r="I26" s="37">
        <v>0</v>
      </c>
      <c r="J26" s="37">
        <v>596.67999999999995</v>
      </c>
      <c r="K26" s="25" t="s">
        <v>531</v>
      </c>
      <c r="L26" s="37">
        <v>-465.81</v>
      </c>
      <c r="M26" s="36">
        <v>0</v>
      </c>
      <c r="N26" s="37">
        <v>0.80445129717771702</v>
      </c>
      <c r="O26" s="37">
        <v>-1.03046306433954</v>
      </c>
      <c r="P26" s="6"/>
      <c r="Q26" s="1"/>
      <c r="R26" s="1"/>
    </row>
    <row r="27" spans="1:18" x14ac:dyDescent="0.35">
      <c r="A27" s="1"/>
      <c r="B27" s="5"/>
      <c r="C27" s="25" t="s">
        <v>542</v>
      </c>
      <c r="D27" s="25" t="s">
        <v>530</v>
      </c>
      <c r="E27" s="36">
        <v>0</v>
      </c>
      <c r="F27" s="36">
        <v>0</v>
      </c>
      <c r="G27" s="36">
        <v>0.05</v>
      </c>
      <c r="H27" s="36">
        <v>0</v>
      </c>
      <c r="I27" s="37">
        <v>1008</v>
      </c>
      <c r="J27" s="37">
        <v>12385.94</v>
      </c>
      <c r="K27" s="25" t="s">
        <v>531</v>
      </c>
      <c r="L27" s="37">
        <v>2362.8000000000002</v>
      </c>
      <c r="M27" s="36">
        <v>6.8571428571428603E-2</v>
      </c>
      <c r="N27" s="37">
        <v>1.1868295825750801</v>
      </c>
      <c r="O27" s="37">
        <v>6.2214321990858297</v>
      </c>
      <c r="P27" s="6"/>
      <c r="Q27" s="1"/>
      <c r="R27" s="1"/>
    </row>
    <row r="28" spans="1:18" x14ac:dyDescent="0.35">
      <c r="A28" s="1"/>
      <c r="B28" s="5"/>
      <c r="C28" s="25" t="s">
        <v>310</v>
      </c>
      <c r="D28" s="25" t="s">
        <v>532</v>
      </c>
      <c r="E28" s="36">
        <v>0</v>
      </c>
      <c r="F28" s="36">
        <v>1.0582010582010699E-2</v>
      </c>
      <c r="G28" s="36">
        <v>4.3715846994535602E-2</v>
      </c>
      <c r="H28" s="36">
        <v>-5.91133004926108E-2</v>
      </c>
      <c r="I28" s="37">
        <v>0</v>
      </c>
      <c r="J28" s="37">
        <v>43.96</v>
      </c>
      <c r="K28" s="25" t="s">
        <v>531</v>
      </c>
      <c r="L28" s="37">
        <v>0.27</v>
      </c>
      <c r="M28" s="36">
        <v>0</v>
      </c>
      <c r="N28" s="37">
        <v>0.43448589626933598</v>
      </c>
      <c r="O28" s="37">
        <v>70.740740740740705</v>
      </c>
      <c r="P28" s="6"/>
      <c r="Q28" s="1"/>
      <c r="R28" s="1"/>
    </row>
    <row r="29" spans="1:18" x14ac:dyDescent="0.35">
      <c r="A29" s="1"/>
      <c r="B29" s="5"/>
      <c r="C29" s="25" t="s">
        <v>543</v>
      </c>
      <c r="D29" s="25" t="s">
        <v>530</v>
      </c>
      <c r="E29" s="36">
        <v>0</v>
      </c>
      <c r="F29" s="36">
        <v>0</v>
      </c>
      <c r="G29" s="36">
        <v>0</v>
      </c>
      <c r="H29" s="36">
        <v>0</v>
      </c>
      <c r="I29" s="37">
        <v>9.5</v>
      </c>
      <c r="J29" s="37">
        <v>383.65</v>
      </c>
      <c r="K29" s="25" t="s">
        <v>531</v>
      </c>
      <c r="L29" s="37">
        <v>9.25</v>
      </c>
      <c r="M29" s="36">
        <v>7.5999999999999998E-2</v>
      </c>
      <c r="N29" s="37">
        <v>0.32581780268473898</v>
      </c>
      <c r="O29" s="37">
        <v>13.5135135135135</v>
      </c>
      <c r="P29" s="6"/>
      <c r="Q29" s="1"/>
      <c r="R29" s="1"/>
    </row>
    <row r="30" spans="1:18" x14ac:dyDescent="0.35">
      <c r="A30" s="1"/>
      <c r="B30" s="5"/>
      <c r="C30" s="25" t="s">
        <v>312</v>
      </c>
      <c r="D30" s="25" t="s">
        <v>532</v>
      </c>
      <c r="E30" s="36">
        <v>0</v>
      </c>
      <c r="F30" s="36">
        <v>0.42857142857142899</v>
      </c>
      <c r="G30" s="36">
        <v>0.36363636363636398</v>
      </c>
      <c r="H30" s="36">
        <v>0.61290322580645196</v>
      </c>
      <c r="I30" s="37">
        <v>0</v>
      </c>
      <c r="J30" s="37">
        <v>551.91999999999996</v>
      </c>
      <c r="K30" s="25" t="s">
        <v>531</v>
      </c>
      <c r="L30" s="37">
        <v>-33.06</v>
      </c>
      <c r="M30" s="36">
        <v>0</v>
      </c>
      <c r="N30" s="37">
        <v>0.13588925931294399</v>
      </c>
      <c r="O30" s="37">
        <v>-2.2686025408348498</v>
      </c>
      <c r="P30" s="6"/>
      <c r="Q30" s="1"/>
      <c r="R30" s="1"/>
    </row>
    <row r="31" spans="1:18" x14ac:dyDescent="0.35">
      <c r="A31" s="1"/>
      <c r="B31" s="5"/>
      <c r="C31" s="25" t="s">
        <v>270</v>
      </c>
      <c r="D31" s="25" t="s">
        <v>532</v>
      </c>
      <c r="E31" s="36">
        <v>-4.1999999999999997E-3</v>
      </c>
      <c r="F31" s="36">
        <v>-3.8306451612903199E-2</v>
      </c>
      <c r="G31" s="36">
        <v>0.51428571428571401</v>
      </c>
      <c r="H31" s="36">
        <v>0.12103407755581699</v>
      </c>
      <c r="I31" s="37">
        <v>21.11</v>
      </c>
      <c r="J31" s="37">
        <v>5338.61</v>
      </c>
      <c r="K31" s="25" t="s">
        <v>531</v>
      </c>
      <c r="L31" s="37">
        <v>456.22</v>
      </c>
      <c r="M31" s="36">
        <v>4.4255765199161402E-3</v>
      </c>
      <c r="N31" s="37">
        <v>0.89349100233956003</v>
      </c>
      <c r="O31" s="37">
        <v>10.455482004296201</v>
      </c>
      <c r="P31" s="6"/>
      <c r="Q31" s="1"/>
      <c r="R31" s="1"/>
    </row>
    <row r="32" spans="1:18" x14ac:dyDescent="0.35">
      <c r="A32" s="1"/>
      <c r="B32" s="5"/>
      <c r="C32" s="25" t="s">
        <v>314</v>
      </c>
      <c r="D32" s="25" t="s">
        <v>532</v>
      </c>
      <c r="E32" s="36">
        <v>0</v>
      </c>
      <c r="F32" s="36">
        <v>0</v>
      </c>
      <c r="G32" s="36">
        <v>0.15151515151515199</v>
      </c>
      <c r="H32" s="36">
        <v>-0.20833333333333301</v>
      </c>
      <c r="I32" s="37">
        <v>0</v>
      </c>
      <c r="J32" s="37">
        <v>34.72</v>
      </c>
      <c r="K32" s="25" t="s">
        <v>531</v>
      </c>
      <c r="L32" s="37">
        <v>1.72</v>
      </c>
      <c r="M32" s="36">
        <v>0</v>
      </c>
      <c r="N32" s="37">
        <v>0.109447004608295</v>
      </c>
      <c r="O32" s="37">
        <v>2.2093023255814002</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406.24692700000003</v>
      </c>
      <c r="J34" s="37">
        <v>723.38</v>
      </c>
      <c r="K34" s="25" t="s">
        <v>531</v>
      </c>
      <c r="L34" s="37">
        <v>428.21</v>
      </c>
      <c r="M34" s="36">
        <v>0.30544881729323298</v>
      </c>
      <c r="N34" s="37">
        <v>1.8385910586413801</v>
      </c>
      <c r="O34" s="37">
        <v>3.10595268676584</v>
      </c>
      <c r="P34" s="6"/>
      <c r="Q34" s="1"/>
      <c r="R34" s="1"/>
    </row>
    <row r="35" spans="1:18" x14ac:dyDescent="0.35">
      <c r="A35" s="1"/>
      <c r="B35" s="5"/>
      <c r="C35" s="25" t="s">
        <v>272</v>
      </c>
      <c r="D35" s="25" t="s">
        <v>532</v>
      </c>
      <c r="E35" s="36">
        <v>5.1000000000000004E-3</v>
      </c>
      <c r="F35" s="36">
        <v>-2.4590163934426298E-2</v>
      </c>
      <c r="G35" s="36">
        <v>-2.1381578947368501E-2</v>
      </c>
      <c r="H35" s="36">
        <v>1.68350168350173E-3</v>
      </c>
      <c r="I35" s="37">
        <v>238</v>
      </c>
      <c r="J35" s="37">
        <v>2128.67</v>
      </c>
      <c r="K35" s="25" t="s">
        <v>531</v>
      </c>
      <c r="L35" s="37">
        <v>346.17</v>
      </c>
      <c r="M35" s="36">
        <v>0.08</v>
      </c>
      <c r="N35" s="37">
        <v>1.39758628627265</v>
      </c>
      <c r="O35" s="37">
        <v>8.5940433890862895</v>
      </c>
      <c r="P35" s="6"/>
      <c r="Q35" s="1"/>
      <c r="R35" s="1"/>
    </row>
    <row r="36" spans="1:18" x14ac:dyDescent="0.35">
      <c r="A36" s="1"/>
      <c r="B36" s="5"/>
      <c r="C36" s="25" t="s">
        <v>547</v>
      </c>
      <c r="D36" s="25" t="s">
        <v>530</v>
      </c>
      <c r="E36" s="36">
        <v>0</v>
      </c>
      <c r="F36" s="36">
        <v>0</v>
      </c>
      <c r="G36" s="25"/>
      <c r="H36" s="36">
        <v>0</v>
      </c>
      <c r="I36" s="37">
        <v>128.49</v>
      </c>
      <c r="J36" s="37">
        <v>3694942</v>
      </c>
      <c r="K36" s="25" t="s">
        <v>531</v>
      </c>
      <c r="L36" s="37">
        <v>54946.66</v>
      </c>
      <c r="M36" s="36">
        <v>3.3697875688434301E-5</v>
      </c>
      <c r="N36" s="37">
        <v>1.0319512457841</v>
      </c>
      <c r="O36" s="37">
        <v>69.394572845737997</v>
      </c>
      <c r="P36" s="6"/>
      <c r="Q36" s="1"/>
      <c r="R36" s="1"/>
    </row>
    <row r="37" spans="1:18" x14ac:dyDescent="0.35">
      <c r="A37" s="1"/>
      <c r="B37" s="5"/>
      <c r="C37" s="25" t="s">
        <v>274</v>
      </c>
      <c r="D37" s="25" t="s">
        <v>532</v>
      </c>
      <c r="E37" s="36">
        <v>-1.9E-2</v>
      </c>
      <c r="F37" s="36">
        <v>4.8416173062065401E-2</v>
      </c>
      <c r="G37" s="36">
        <v>0.161815068493151</v>
      </c>
      <c r="H37" s="36">
        <v>-6.4137931034482704E-2</v>
      </c>
      <c r="I37" s="37">
        <v>2736</v>
      </c>
      <c r="J37" s="37">
        <v>178331.48</v>
      </c>
      <c r="K37" s="25" t="s">
        <v>531</v>
      </c>
      <c r="L37" s="37">
        <v>10810.79</v>
      </c>
      <c r="M37" s="36">
        <v>3.3603537214443598E-2</v>
      </c>
      <c r="N37" s="37">
        <v>0.45656549253110001</v>
      </c>
      <c r="O37" s="37">
        <v>7.5313644978766598</v>
      </c>
      <c r="P37" s="6"/>
      <c r="Q37" s="1"/>
      <c r="R37" s="1"/>
    </row>
    <row r="38" spans="1:18" x14ac:dyDescent="0.35">
      <c r="A38" s="1"/>
      <c r="B38" s="5"/>
      <c r="C38" s="25" t="s">
        <v>276</v>
      </c>
      <c r="D38" s="25" t="s">
        <v>532</v>
      </c>
      <c r="E38" s="36">
        <v>-5.5999999999999999E-3</v>
      </c>
      <c r="F38" s="36">
        <v>5.6179775280897903E-3</v>
      </c>
      <c r="G38" s="36">
        <v>-0.25664451827242502</v>
      </c>
      <c r="H38" s="36">
        <v>5.4181389870435699E-2</v>
      </c>
      <c r="I38" s="37">
        <v>688</v>
      </c>
      <c r="J38" s="37">
        <v>16012.07</v>
      </c>
      <c r="K38" s="25" t="s">
        <v>531</v>
      </c>
      <c r="L38" s="37">
        <v>6761.85</v>
      </c>
      <c r="M38" s="36">
        <v>3.8435754189944098E-2</v>
      </c>
      <c r="N38" s="37">
        <v>1.1179066791489201</v>
      </c>
      <c r="O38" s="37">
        <v>2.6472045372198401</v>
      </c>
      <c r="P38" s="6"/>
      <c r="Q38" s="1"/>
      <c r="R38" s="1"/>
    </row>
    <row r="39" spans="1:18" x14ac:dyDescent="0.35">
      <c r="A39" s="1"/>
      <c r="B39" s="5"/>
      <c r="C39" s="25" t="s">
        <v>316</v>
      </c>
      <c r="D39" s="25" t="s">
        <v>532</v>
      </c>
      <c r="E39" s="36">
        <v>2.5000000000000001E-3</v>
      </c>
      <c r="F39" s="36">
        <v>-0.11764705882352899</v>
      </c>
      <c r="G39" s="36">
        <v>0.38225255972696198</v>
      </c>
      <c r="H39" s="36">
        <v>7.001321003963E-2</v>
      </c>
      <c r="I39" s="37">
        <v>27.6</v>
      </c>
      <c r="J39" s="37">
        <v>798.05</v>
      </c>
      <c r="K39" s="25" t="s">
        <v>531</v>
      </c>
      <c r="L39" s="37">
        <v>73.09</v>
      </c>
      <c r="M39" s="36">
        <v>3.4074074074074097E-2</v>
      </c>
      <c r="N39" s="37">
        <v>1.0149739991228599</v>
      </c>
      <c r="O39" s="37">
        <v>11.082227390887899</v>
      </c>
      <c r="P39" s="6"/>
      <c r="Q39" s="1"/>
      <c r="R39" s="1"/>
    </row>
    <row r="40" spans="1:18" x14ac:dyDescent="0.35">
      <c r="A40" s="1"/>
      <c r="B40" s="5"/>
      <c r="C40" s="25" t="s">
        <v>548</v>
      </c>
      <c r="D40" s="25" t="s">
        <v>530</v>
      </c>
      <c r="E40" s="36">
        <v>0</v>
      </c>
      <c r="F40" s="36">
        <v>0</v>
      </c>
      <c r="G40" s="25"/>
      <c r="H40" s="36">
        <v>0</v>
      </c>
      <c r="I40" s="37">
        <v>0</v>
      </c>
      <c r="J40" s="37">
        <v>50921.48</v>
      </c>
      <c r="K40" s="25" t="s">
        <v>531</v>
      </c>
      <c r="L40" s="37">
        <v>12519.75</v>
      </c>
      <c r="M40" s="36">
        <v>0</v>
      </c>
      <c r="N40" s="37">
        <v>0.50430584499900599</v>
      </c>
      <c r="O40" s="37">
        <v>2.0511591685137498</v>
      </c>
      <c r="P40" s="6"/>
      <c r="Q40" s="1"/>
      <c r="R40" s="1"/>
    </row>
    <row r="41" spans="1:18" x14ac:dyDescent="0.35">
      <c r="A41" s="1"/>
      <c r="B41" s="5"/>
      <c r="C41" s="25" t="s">
        <v>278</v>
      </c>
      <c r="D41" s="25" t="s">
        <v>532</v>
      </c>
      <c r="E41" s="36">
        <v>-1.9E-3</v>
      </c>
      <c r="F41" s="36">
        <v>-7.0369092790617399E-2</v>
      </c>
      <c r="G41" s="36">
        <v>8.1894821356884903E-2</v>
      </c>
      <c r="H41" s="36">
        <v>-1.8518518518518799E-3</v>
      </c>
      <c r="I41" s="37">
        <v>1500</v>
      </c>
      <c r="J41" s="37">
        <v>47465.18</v>
      </c>
      <c r="K41" s="25" t="s">
        <v>531</v>
      </c>
      <c r="L41" s="37">
        <v>5010.45</v>
      </c>
      <c r="M41" s="36">
        <v>2.7829313543599299E-2</v>
      </c>
      <c r="N41" s="37">
        <v>1.1355692741500201</v>
      </c>
      <c r="O41" s="37">
        <v>10.757516789909101</v>
      </c>
      <c r="P41" s="6"/>
      <c r="Q41" s="1"/>
      <c r="R41" s="1"/>
    </row>
    <row r="42" spans="1:18" x14ac:dyDescent="0.35">
      <c r="A42" s="1"/>
      <c r="B42" s="5"/>
      <c r="C42" s="25" t="s">
        <v>549</v>
      </c>
      <c r="D42" s="25" t="s">
        <v>532</v>
      </c>
      <c r="E42" s="36">
        <v>3.3999999999999998E-3</v>
      </c>
      <c r="F42" s="36">
        <v>3.3824804856894999E-2</v>
      </c>
      <c r="G42" s="36">
        <v>0.11924882629108</v>
      </c>
      <c r="H42" s="36">
        <v>0.112978524743231</v>
      </c>
      <c r="I42" s="25"/>
      <c r="J42" s="37">
        <v>50000</v>
      </c>
      <c r="K42" s="25" t="s">
        <v>550</v>
      </c>
      <c r="L42" s="25"/>
      <c r="M42" s="25"/>
      <c r="N42" s="37">
        <v>1.1919999999999999</v>
      </c>
      <c r="O42" s="25"/>
      <c r="P42" s="6"/>
      <c r="Q42" s="1"/>
      <c r="R42" s="1"/>
    </row>
    <row r="43" spans="1:18" x14ac:dyDescent="0.35">
      <c r="A43" s="1"/>
      <c r="B43" s="5"/>
      <c r="C43" s="25" t="s">
        <v>551</v>
      </c>
      <c r="D43" s="25" t="s">
        <v>532</v>
      </c>
      <c r="E43" s="36">
        <v>2.8999999999999998E-3</v>
      </c>
      <c r="F43" s="36">
        <v>-2.2370370370370402E-2</v>
      </c>
      <c r="G43" s="36">
        <v>0.40628662759723</v>
      </c>
      <c r="H43" s="36">
        <v>0.15564117157742699</v>
      </c>
      <c r="I43" s="37">
        <v>145</v>
      </c>
      <c r="J43" s="37">
        <v>15000</v>
      </c>
      <c r="K43" s="25" t="s">
        <v>552</v>
      </c>
      <c r="L43" s="25"/>
      <c r="M43" s="36">
        <v>5.4932565540233404E-3</v>
      </c>
      <c r="N43" s="37">
        <v>1.75973333333333</v>
      </c>
      <c r="O43" s="25"/>
      <c r="P43" s="6"/>
      <c r="Q43" s="1"/>
      <c r="R43" s="1"/>
    </row>
    <row r="44" spans="1:18" x14ac:dyDescent="0.35">
      <c r="A44" s="1"/>
      <c r="B44" s="5"/>
      <c r="C44" s="25" t="s">
        <v>553</v>
      </c>
      <c r="D44" s="25" t="s">
        <v>532</v>
      </c>
      <c r="E44" s="36">
        <v>-5.4000000000000003E-3</v>
      </c>
      <c r="F44" s="36">
        <v>-4.04554672976171E-2</v>
      </c>
      <c r="G44" s="36">
        <v>0.35181547619047598</v>
      </c>
      <c r="H44" s="36">
        <v>0.13552500000000001</v>
      </c>
      <c r="I44" s="37">
        <v>981.25</v>
      </c>
      <c r="J44" s="37">
        <v>17160</v>
      </c>
      <c r="K44" s="25" t="s">
        <v>534</v>
      </c>
      <c r="L44" s="25"/>
      <c r="M44" s="36">
        <v>4.3206886682371597E-2</v>
      </c>
      <c r="N44" s="37">
        <v>1.3234557109557099</v>
      </c>
      <c r="O44" s="25"/>
      <c r="P44" s="6"/>
      <c r="Q44" s="1"/>
      <c r="R44" s="1"/>
    </row>
    <row r="45" spans="1:18" x14ac:dyDescent="0.35">
      <c r="A45" s="1"/>
      <c r="B45" s="5"/>
      <c r="C45" s="25" t="s">
        <v>554</v>
      </c>
      <c r="D45" s="25" t="s">
        <v>530</v>
      </c>
      <c r="E45" s="36">
        <v>0</v>
      </c>
      <c r="F45" s="36">
        <v>0</v>
      </c>
      <c r="G45" s="36">
        <v>0.40264900662251701</v>
      </c>
      <c r="H45" s="36">
        <v>0</v>
      </c>
      <c r="I45" s="37">
        <v>1547.49613557724</v>
      </c>
      <c r="J45" s="37">
        <v>16424.11</v>
      </c>
      <c r="K45" s="25" t="s">
        <v>531</v>
      </c>
      <c r="L45" s="37">
        <v>1855.54</v>
      </c>
      <c r="M45" s="36">
        <v>7.3064029064081201E-2</v>
      </c>
      <c r="N45" s="37">
        <v>1.2895675930080801</v>
      </c>
      <c r="O45" s="37">
        <v>11.414466947627099</v>
      </c>
      <c r="P45" s="6"/>
      <c r="Q45" s="1"/>
      <c r="R45" s="1"/>
    </row>
    <row r="46" spans="1:18" x14ac:dyDescent="0.35">
      <c r="A46" s="1"/>
      <c r="B46" s="5"/>
      <c r="C46" s="25" t="s">
        <v>555</v>
      </c>
      <c r="D46" s="25" t="s">
        <v>530</v>
      </c>
      <c r="E46" s="36">
        <v>0</v>
      </c>
      <c r="F46" s="36">
        <v>0</v>
      </c>
      <c r="G46" s="36">
        <v>0</v>
      </c>
      <c r="H46" s="36">
        <v>0</v>
      </c>
      <c r="I46" s="37">
        <v>49.3</v>
      </c>
      <c r="J46" s="37">
        <v>1546.05</v>
      </c>
      <c r="K46" s="25" t="s">
        <v>531</v>
      </c>
      <c r="L46" s="37">
        <v>59.61</v>
      </c>
      <c r="M46" s="36">
        <v>0.117661097852029</v>
      </c>
      <c r="N46" s="37">
        <v>0.27101322725655702</v>
      </c>
      <c r="O46" s="37">
        <v>7.0290219761784902</v>
      </c>
      <c r="P46" s="6"/>
      <c r="Q46" s="1"/>
      <c r="R46" s="1"/>
    </row>
    <row r="47" spans="1:18" x14ac:dyDescent="0.35">
      <c r="A47" s="1"/>
      <c r="B47" s="5"/>
      <c r="C47" s="25" t="s">
        <v>556</v>
      </c>
      <c r="D47" s="25" t="s">
        <v>530</v>
      </c>
      <c r="E47" s="36">
        <v>0</v>
      </c>
      <c r="F47" s="36">
        <v>0</v>
      </c>
      <c r="G47" s="36">
        <v>0</v>
      </c>
      <c r="H47" s="36">
        <v>0</v>
      </c>
      <c r="I47" s="37">
        <v>64.459999999999994</v>
      </c>
      <c r="J47" s="37">
        <v>1964.14</v>
      </c>
      <c r="K47" s="25" t="s">
        <v>531</v>
      </c>
      <c r="L47" s="37">
        <v>90.51</v>
      </c>
      <c r="M47" s="36">
        <v>0.127391304347826</v>
      </c>
      <c r="N47" s="37">
        <v>0.25761911065402698</v>
      </c>
      <c r="O47" s="37">
        <v>5.5905424814937597</v>
      </c>
      <c r="P47" s="6"/>
      <c r="Q47" s="1"/>
      <c r="R47" s="1"/>
    </row>
    <row r="48" spans="1:18" x14ac:dyDescent="0.35">
      <c r="A48" s="1"/>
      <c r="B48" s="5"/>
      <c r="C48" s="25" t="s">
        <v>280</v>
      </c>
      <c r="D48" s="25" t="s">
        <v>532</v>
      </c>
      <c r="E48" s="36">
        <v>-6.9999999999999999E-4</v>
      </c>
      <c r="F48" s="36">
        <v>-4.76190476190477E-2</v>
      </c>
      <c r="G48" s="36">
        <v>0.49700598802395202</v>
      </c>
      <c r="H48" s="36">
        <v>0.21654501216545</v>
      </c>
      <c r="I48" s="37">
        <v>1265</v>
      </c>
      <c r="J48" s="37">
        <v>16107.76</v>
      </c>
      <c r="K48" s="25" t="s">
        <v>531</v>
      </c>
      <c r="L48" s="37">
        <v>2179.56</v>
      </c>
      <c r="M48" s="36">
        <v>4.2166666666666699E-2</v>
      </c>
      <c r="N48" s="37">
        <v>1.8624563564393799</v>
      </c>
      <c r="O48" s="37">
        <v>13.7642459946044</v>
      </c>
      <c r="P48" s="6"/>
      <c r="Q48" s="1"/>
      <c r="R48" s="1"/>
    </row>
    <row r="49" spans="1:18" x14ac:dyDescent="0.35">
      <c r="A49" s="1"/>
      <c r="B49" s="5"/>
      <c r="C49" s="25" t="s">
        <v>557</v>
      </c>
      <c r="D49" s="25" t="s">
        <v>530</v>
      </c>
      <c r="E49" s="36">
        <v>0</v>
      </c>
      <c r="F49" s="36">
        <v>0</v>
      </c>
      <c r="G49" s="36">
        <v>0</v>
      </c>
      <c r="H49" s="36">
        <v>0</v>
      </c>
      <c r="I49" s="37">
        <v>1776</v>
      </c>
      <c r="J49" s="37">
        <v>65217.07</v>
      </c>
      <c r="K49" s="25" t="s">
        <v>531</v>
      </c>
      <c r="L49" s="37">
        <v>8138.25</v>
      </c>
      <c r="M49" s="36">
        <v>0.20894117647058799</v>
      </c>
      <c r="N49" s="37">
        <v>0.130333975445386</v>
      </c>
      <c r="O49" s="37">
        <v>1.0444505882714299</v>
      </c>
      <c r="P49" s="6"/>
      <c r="Q49" s="1"/>
      <c r="R49" s="1"/>
    </row>
    <row r="50" spans="1:18" x14ac:dyDescent="0.35">
      <c r="A50" s="1"/>
      <c r="B50" s="5"/>
      <c r="C50" s="25" t="s">
        <v>558</v>
      </c>
      <c r="D50" s="25" t="s">
        <v>530</v>
      </c>
      <c r="E50" s="36">
        <v>0</v>
      </c>
      <c r="F50" s="36">
        <v>0</v>
      </c>
      <c r="G50" s="36">
        <v>1.2461538461538499</v>
      </c>
      <c r="H50" s="36">
        <v>0</v>
      </c>
      <c r="I50" s="37">
        <v>954</v>
      </c>
      <c r="J50" s="37">
        <v>17083.29</v>
      </c>
      <c r="K50" s="25" t="s">
        <v>531</v>
      </c>
      <c r="L50" s="37">
        <v>-541.23</v>
      </c>
      <c r="M50" s="36">
        <v>6.53424657534247E-2</v>
      </c>
      <c r="N50" s="37">
        <v>0.85463631419943098</v>
      </c>
      <c r="O50" s="37">
        <v>-26.975592631598399</v>
      </c>
      <c r="P50" s="6"/>
      <c r="Q50" s="1"/>
      <c r="R50" s="1"/>
    </row>
    <row r="51" spans="1:18" x14ac:dyDescent="0.35">
      <c r="A51" s="1"/>
      <c r="B51" s="5"/>
      <c r="C51" s="25" t="s">
        <v>282</v>
      </c>
      <c r="D51" s="25" t="s">
        <v>532</v>
      </c>
      <c r="E51" s="36">
        <v>-3.1199999999999999E-2</v>
      </c>
      <c r="F51" s="36">
        <v>0</v>
      </c>
      <c r="G51" s="36">
        <v>1.14384508990318</v>
      </c>
      <c r="H51" s="36">
        <v>1.30718954248366E-2</v>
      </c>
      <c r="I51" s="37">
        <v>419.25700000000001</v>
      </c>
      <c r="J51" s="37">
        <v>6527.25</v>
      </c>
      <c r="K51" s="25" t="s">
        <v>531</v>
      </c>
      <c r="L51" s="37">
        <v>2009.98</v>
      </c>
      <c r="M51" s="36">
        <v>2.7048838709677399E-2</v>
      </c>
      <c r="N51" s="37">
        <v>2.3746600788999999</v>
      </c>
      <c r="O51" s="37">
        <v>7.7115195176071403</v>
      </c>
      <c r="P51" s="6"/>
      <c r="Q51" s="1"/>
      <c r="R51" s="1"/>
    </row>
    <row r="52" spans="1:18" x14ac:dyDescent="0.35">
      <c r="A52" s="1"/>
      <c r="B52" s="5"/>
      <c r="C52" s="25" t="s">
        <v>324</v>
      </c>
      <c r="D52" s="25" t="s">
        <v>532</v>
      </c>
      <c r="E52" s="36">
        <v>1.2999999999999999E-2</v>
      </c>
      <c r="F52" s="36">
        <v>1.1004847373247801E-2</v>
      </c>
      <c r="G52" s="36">
        <v>1.37519236688212</v>
      </c>
      <c r="H52" s="36">
        <v>9.4609929078014202E-2</v>
      </c>
      <c r="I52" s="37">
        <v>0</v>
      </c>
      <c r="J52" s="37">
        <v>15500.51</v>
      </c>
      <c r="K52" s="25" t="s">
        <v>531</v>
      </c>
      <c r="L52" s="37">
        <v>2730.02</v>
      </c>
      <c r="M52" s="36">
        <v>0</v>
      </c>
      <c r="N52" s="37">
        <v>19.914183468802001</v>
      </c>
      <c r="O52" s="37">
        <v>113.068768726969</v>
      </c>
      <c r="P52" s="6"/>
      <c r="Q52" s="1"/>
      <c r="R52" s="1"/>
    </row>
    <row r="53" spans="1:18" x14ac:dyDescent="0.35">
      <c r="A53" s="1"/>
      <c r="B53" s="5"/>
      <c r="C53" s="25" t="s">
        <v>317</v>
      </c>
      <c r="D53" s="25" t="s">
        <v>532</v>
      </c>
      <c r="E53" s="36">
        <v>0</v>
      </c>
      <c r="F53" s="36">
        <v>1.53846153846153E-2</v>
      </c>
      <c r="G53" s="36">
        <v>-3.4146341463414699E-2</v>
      </c>
      <c r="H53" s="36">
        <v>-7.9069767441860506E-2</v>
      </c>
      <c r="I53" s="37">
        <v>1596</v>
      </c>
      <c r="J53" s="37">
        <v>36604.080000000002</v>
      </c>
      <c r="K53" s="25" t="s">
        <v>531</v>
      </c>
      <c r="L53" s="37">
        <v>3423.07</v>
      </c>
      <c r="M53" s="36">
        <v>8.0606060606060598E-2</v>
      </c>
      <c r="N53" s="37">
        <v>0.54092330691004897</v>
      </c>
      <c r="O53" s="37">
        <v>5.7842813614679196</v>
      </c>
      <c r="P53" s="6"/>
      <c r="Q53" s="1"/>
      <c r="R53" s="1"/>
    </row>
    <row r="54" spans="1:18" x14ac:dyDescent="0.35">
      <c r="A54" s="1"/>
      <c r="B54" s="5"/>
      <c r="C54" s="25" t="s">
        <v>559</v>
      </c>
      <c r="D54" s="25" t="s">
        <v>530</v>
      </c>
      <c r="E54" s="36">
        <v>0</v>
      </c>
      <c r="F54" s="36">
        <v>0</v>
      </c>
      <c r="G54" s="36">
        <v>-7.1428571428571494E-2</v>
      </c>
      <c r="H54" s="36">
        <v>-7.1428571428571494E-2</v>
      </c>
      <c r="I54" s="37">
        <v>0</v>
      </c>
      <c r="J54" s="37">
        <v>36.58</v>
      </c>
      <c r="K54" s="25" t="s">
        <v>531</v>
      </c>
      <c r="L54" s="37">
        <v>-1.75</v>
      </c>
      <c r="M54" s="36">
        <v>0</v>
      </c>
      <c r="N54" s="37">
        <v>0.106615636960087</v>
      </c>
      <c r="O54" s="37">
        <v>-2.22857142857143</v>
      </c>
      <c r="P54" s="6"/>
      <c r="Q54" s="1"/>
      <c r="R54" s="1"/>
    </row>
    <row r="55" spans="1:18" x14ac:dyDescent="0.35">
      <c r="A55" s="1"/>
      <c r="B55" s="5"/>
      <c r="C55" s="25" t="s">
        <v>284</v>
      </c>
      <c r="D55" s="25" t="s">
        <v>532</v>
      </c>
      <c r="E55" s="36">
        <v>1.3599999999999999E-2</v>
      </c>
      <c r="F55" s="36">
        <v>4.0917544947303201E-2</v>
      </c>
      <c r="G55" s="36">
        <v>-4.0571428571428599E-2</v>
      </c>
      <c r="H55" s="36">
        <v>-0.16008004002001</v>
      </c>
      <c r="I55" s="37">
        <v>1168</v>
      </c>
      <c r="J55" s="37">
        <v>142897.16</v>
      </c>
      <c r="K55" s="25" t="s">
        <v>531</v>
      </c>
      <c r="L55" s="37">
        <v>10355.84</v>
      </c>
      <c r="M55" s="36">
        <v>1.7391304347826101E-2</v>
      </c>
      <c r="N55" s="37">
        <v>0.46998834686427599</v>
      </c>
      <c r="O55" s="37">
        <v>6.4852295902601798</v>
      </c>
      <c r="P55" s="6"/>
      <c r="Q55" s="1"/>
      <c r="R55" s="1"/>
    </row>
    <row r="56" spans="1:18" x14ac:dyDescent="0.35">
      <c r="A56" s="1"/>
      <c r="B56" s="5"/>
      <c r="C56" s="25" t="s">
        <v>286</v>
      </c>
      <c r="D56" s="25" t="s">
        <v>532</v>
      </c>
      <c r="E56" s="36">
        <v>-4.9200000000000001E-2</v>
      </c>
      <c r="F56" s="36">
        <v>-0.16305469556243499</v>
      </c>
      <c r="G56" s="36">
        <v>0.40798611111111099</v>
      </c>
      <c r="H56" s="36">
        <v>5.3246753246753299E-2</v>
      </c>
      <c r="I56" s="37">
        <v>27.6</v>
      </c>
      <c r="J56" s="37">
        <v>798.05</v>
      </c>
      <c r="K56" s="25" t="s">
        <v>531</v>
      </c>
      <c r="L56" s="37">
        <v>73.09</v>
      </c>
      <c r="M56" s="36">
        <v>3.40320591861899E-2</v>
      </c>
      <c r="N56" s="37">
        <v>1.01622705344277</v>
      </c>
      <c r="O56" s="37">
        <v>11.0959091530989</v>
      </c>
      <c r="P56" s="6"/>
      <c r="Q56" s="1"/>
      <c r="R56" s="1"/>
    </row>
    <row r="57" spans="1:18" x14ac:dyDescent="0.35">
      <c r="A57" s="1"/>
      <c r="B57" s="5"/>
      <c r="C57" s="25" t="s">
        <v>560</v>
      </c>
      <c r="D57" s="25" t="s">
        <v>530</v>
      </c>
      <c r="E57" s="36">
        <v>0</v>
      </c>
      <c r="F57" s="36">
        <v>0</v>
      </c>
      <c r="G57" s="36">
        <v>0</v>
      </c>
      <c r="H57" s="36">
        <v>0</v>
      </c>
      <c r="I57" s="37">
        <v>0</v>
      </c>
      <c r="J57" s="37">
        <v>394.79</v>
      </c>
      <c r="K57" s="25" t="s">
        <v>531</v>
      </c>
      <c r="L57" s="37">
        <v>25.76</v>
      </c>
      <c r="M57" s="36">
        <v>0</v>
      </c>
      <c r="N57" s="37">
        <v>0.88654727829985602</v>
      </c>
      <c r="O57" s="37">
        <v>13.586956521739101</v>
      </c>
      <c r="P57" s="6"/>
      <c r="Q57" s="1"/>
      <c r="R57" s="1"/>
    </row>
    <row r="58" spans="1:18" x14ac:dyDescent="0.35">
      <c r="A58" s="1"/>
      <c r="B58" s="5"/>
      <c r="C58" s="25" t="s">
        <v>319</v>
      </c>
      <c r="D58" s="25" t="s">
        <v>532</v>
      </c>
      <c r="E58" s="36">
        <v>0</v>
      </c>
      <c r="F58" s="36">
        <v>1.38169257340242E-2</v>
      </c>
      <c r="G58" s="36">
        <v>6.5335753176043496E-2</v>
      </c>
      <c r="H58" s="36">
        <v>-0.119940029985008</v>
      </c>
      <c r="I58" s="37">
        <v>770</v>
      </c>
      <c r="J58" s="37">
        <v>9040.81</v>
      </c>
      <c r="K58" s="25" t="s">
        <v>531</v>
      </c>
      <c r="L58" s="37">
        <v>2051.6</v>
      </c>
      <c r="M58" s="36">
        <v>6.5587734241908002E-2</v>
      </c>
      <c r="N58" s="37">
        <v>1.29855621343663</v>
      </c>
      <c r="O58" s="37">
        <v>5.7223630337297697</v>
      </c>
      <c r="P58" s="6"/>
      <c r="Q58" s="1"/>
      <c r="R58" s="1"/>
    </row>
    <row r="59" spans="1:18" x14ac:dyDescent="0.35">
      <c r="A59" s="1"/>
      <c r="B59" s="5"/>
      <c r="C59" s="25" t="s">
        <v>288</v>
      </c>
      <c r="D59" s="25" t="s">
        <v>532</v>
      </c>
      <c r="E59" s="36">
        <v>-4.4999999999999997E-3</v>
      </c>
      <c r="F59" s="36">
        <v>-3.4532374100719403E-2</v>
      </c>
      <c r="G59" s="36">
        <v>0.49776785714285698</v>
      </c>
      <c r="H59" s="36">
        <v>0.121698428619191</v>
      </c>
      <c r="I59" s="37">
        <v>3900</v>
      </c>
      <c r="J59" s="37">
        <v>42128.25</v>
      </c>
      <c r="K59" s="25" t="s">
        <v>531</v>
      </c>
      <c r="L59" s="37">
        <v>3885.81</v>
      </c>
      <c r="M59" s="36">
        <v>5.8122205663189298E-2</v>
      </c>
      <c r="N59" s="37">
        <v>1.5927554550687499</v>
      </c>
      <c r="O59" s="37">
        <v>17.267957002529698</v>
      </c>
      <c r="P59" s="6"/>
      <c r="Q59" s="1"/>
      <c r="R59" s="1"/>
    </row>
    <row r="60" spans="1:18" x14ac:dyDescent="0.35">
      <c r="A60" s="1"/>
      <c r="B60" s="5"/>
      <c r="C60" s="25" t="s">
        <v>289</v>
      </c>
      <c r="D60" s="25" t="s">
        <v>532</v>
      </c>
      <c r="E60" s="36">
        <v>-8.0000000000000002E-3</v>
      </c>
      <c r="F60" s="36">
        <v>2.4881516587677701E-2</v>
      </c>
      <c r="G60" s="36">
        <v>8.8050314465408799E-2</v>
      </c>
      <c r="H60" s="36">
        <v>1.6451233842538202E-2</v>
      </c>
      <c r="I60" s="37">
        <v>1194</v>
      </c>
      <c r="J60" s="37">
        <v>36099.07</v>
      </c>
      <c r="K60" s="25" t="s">
        <v>531</v>
      </c>
      <c r="L60" s="37">
        <v>1407.84</v>
      </c>
      <c r="M60" s="36">
        <v>6.9017341040462393E-2</v>
      </c>
      <c r="N60" s="37">
        <v>0.479236722718896</v>
      </c>
      <c r="O60" s="37">
        <v>12.288328219115799</v>
      </c>
      <c r="P60" s="6"/>
      <c r="Q60" s="1"/>
      <c r="R60" s="1"/>
    </row>
    <row r="61" spans="1:18" x14ac:dyDescent="0.35">
      <c r="A61" s="1"/>
      <c r="B61" s="5"/>
      <c r="C61" s="25" t="s">
        <v>290</v>
      </c>
      <c r="D61" s="25" t="s">
        <v>532</v>
      </c>
      <c r="E61" s="36">
        <v>1.2999999999999999E-3</v>
      </c>
      <c r="F61" s="36">
        <v>7.6871207012811901E-2</v>
      </c>
      <c r="G61" s="25"/>
      <c r="H61" s="36">
        <v>0.128621908127208</v>
      </c>
      <c r="I61" s="25"/>
      <c r="J61" s="37">
        <v>51490.239999999998</v>
      </c>
      <c r="K61" s="25" t="s">
        <v>531</v>
      </c>
      <c r="L61" s="37">
        <v>1598.91</v>
      </c>
      <c r="M61" s="25"/>
      <c r="N61" s="37">
        <v>0.62031173286432495</v>
      </c>
      <c r="O61" s="37">
        <v>19.9761087240683</v>
      </c>
      <c r="P61" s="6"/>
      <c r="Q61" s="1"/>
      <c r="R61" s="1"/>
    </row>
    <row r="62" spans="1:18" x14ac:dyDescent="0.35">
      <c r="A62" s="1"/>
      <c r="B62" s="5"/>
      <c r="C62" s="25" t="s">
        <v>326</v>
      </c>
      <c r="D62" s="25" t="s">
        <v>532</v>
      </c>
      <c r="E62" s="36">
        <v>-8.0000000000000004E-4</v>
      </c>
      <c r="F62" s="36">
        <v>1.22649223221587E-2</v>
      </c>
      <c r="G62" s="36">
        <v>0.12545454545454501</v>
      </c>
      <c r="H62" s="36">
        <v>-2.4174053182917099E-3</v>
      </c>
      <c r="I62" s="37">
        <v>0</v>
      </c>
      <c r="J62" s="37">
        <v>30778.33</v>
      </c>
      <c r="K62" s="25" t="s">
        <v>531</v>
      </c>
      <c r="L62" s="37">
        <v>3759.75</v>
      </c>
      <c r="M62" s="36">
        <v>0</v>
      </c>
      <c r="N62" s="37">
        <v>0.80446210044534605</v>
      </c>
      <c r="O62" s="37">
        <v>6.58554425161247</v>
      </c>
      <c r="P62" s="6"/>
      <c r="Q62" s="1"/>
      <c r="R62" s="1"/>
    </row>
    <row r="63" spans="1:18" x14ac:dyDescent="0.35">
      <c r="A63" s="1"/>
      <c r="B63" s="5"/>
      <c r="C63" s="25" t="s">
        <v>292</v>
      </c>
      <c r="D63" s="25" t="s">
        <v>532</v>
      </c>
      <c r="E63" s="36">
        <v>-6.4999999999999997E-3</v>
      </c>
      <c r="F63" s="36">
        <v>-3.6050156739811899E-2</v>
      </c>
      <c r="G63" s="36">
        <v>-0.31969026548672602</v>
      </c>
      <c r="H63" s="36">
        <v>-4.0561622464898597E-2</v>
      </c>
      <c r="I63" s="37">
        <v>688</v>
      </c>
      <c r="J63" s="37">
        <v>16012.07</v>
      </c>
      <c r="K63" s="25" t="s">
        <v>531</v>
      </c>
      <c r="L63" s="37">
        <v>6761.85</v>
      </c>
      <c r="M63" s="36">
        <v>5.5934959349593499E-2</v>
      </c>
      <c r="N63" s="37">
        <v>0.76817051137048498</v>
      </c>
      <c r="O63" s="37">
        <v>1.81902881607844</v>
      </c>
      <c r="P63" s="6"/>
      <c r="Q63" s="1"/>
      <c r="R63" s="1"/>
    </row>
    <row r="64" spans="1:18" x14ac:dyDescent="0.35">
      <c r="A64" s="1"/>
      <c r="B64" s="5"/>
      <c r="C64" s="25" t="s">
        <v>293</v>
      </c>
      <c r="D64" s="25" t="s">
        <v>532</v>
      </c>
      <c r="E64" s="36">
        <v>-2.4400000000000002E-2</v>
      </c>
      <c r="F64" s="36">
        <v>-4.3043478260869503E-2</v>
      </c>
      <c r="G64" s="36">
        <v>7.3658536585365905E-2</v>
      </c>
      <c r="H64" s="36">
        <v>3.4790785143394398E-2</v>
      </c>
      <c r="I64" s="37">
        <v>1500</v>
      </c>
      <c r="J64" s="37">
        <v>47465.18</v>
      </c>
      <c r="K64" s="25" t="s">
        <v>531</v>
      </c>
      <c r="L64" s="37">
        <v>5010.45</v>
      </c>
      <c r="M64" s="36">
        <v>3.40754202635166E-2</v>
      </c>
      <c r="N64" s="37">
        <v>0.92741668734849403</v>
      </c>
      <c r="O64" s="37">
        <v>8.7856380165454198</v>
      </c>
      <c r="P64" s="6"/>
      <c r="Q64" s="1"/>
      <c r="R64" s="1"/>
    </row>
    <row r="65" spans="1:18" x14ac:dyDescent="0.35">
      <c r="A65" s="1"/>
      <c r="B65" s="5"/>
      <c r="C65" s="25" t="s">
        <v>561</v>
      </c>
      <c r="D65" s="25" t="s">
        <v>530</v>
      </c>
      <c r="E65" s="36">
        <v>0</v>
      </c>
      <c r="F65" s="36">
        <v>0</v>
      </c>
      <c r="G65" s="36">
        <v>0.448455567128826</v>
      </c>
      <c r="H65" s="36">
        <v>0</v>
      </c>
      <c r="I65" s="37">
        <v>0</v>
      </c>
      <c r="J65" s="37">
        <v>6766.45</v>
      </c>
      <c r="K65" s="25" t="s">
        <v>531</v>
      </c>
      <c r="L65" s="37">
        <v>-234.06</v>
      </c>
      <c r="M65" s="36">
        <v>0</v>
      </c>
      <c r="N65" s="37">
        <v>0.84386938498030695</v>
      </c>
      <c r="O65" s="37">
        <v>-24.395454157053699</v>
      </c>
      <c r="P65" s="6"/>
      <c r="Q65" s="1"/>
      <c r="R65" s="1"/>
    </row>
    <row r="66" spans="1:18" x14ac:dyDescent="0.35">
      <c r="A66" s="1"/>
      <c r="B66" s="5"/>
      <c r="C66" s="25" t="s">
        <v>562</v>
      </c>
      <c r="D66" s="25" t="s">
        <v>530</v>
      </c>
      <c r="E66" s="36">
        <v>0</v>
      </c>
      <c r="F66" s="36">
        <v>0</v>
      </c>
      <c r="G66" s="36">
        <v>0.90333333333333299</v>
      </c>
      <c r="H66" s="36">
        <v>0</v>
      </c>
      <c r="I66" s="37">
        <v>0</v>
      </c>
      <c r="J66" s="37">
        <v>6766.45</v>
      </c>
      <c r="K66" s="25" t="s">
        <v>531</v>
      </c>
      <c r="L66" s="37">
        <v>-234.06</v>
      </c>
      <c r="M66" s="36">
        <v>0</v>
      </c>
      <c r="N66" s="37">
        <v>0.84386938498030695</v>
      </c>
      <c r="O66" s="37">
        <v>-24.395454157053699</v>
      </c>
      <c r="P66" s="6"/>
      <c r="Q66" s="1"/>
      <c r="R66" s="1"/>
    </row>
    <row r="67" spans="1:18" x14ac:dyDescent="0.35">
      <c r="A67" s="1"/>
      <c r="B67" s="5"/>
      <c r="C67" s="25" t="s">
        <v>563</v>
      </c>
      <c r="D67" s="25" t="s">
        <v>530</v>
      </c>
      <c r="E67" s="36">
        <v>0</v>
      </c>
      <c r="F67" s="36">
        <v>0</v>
      </c>
      <c r="G67" s="36">
        <v>0</v>
      </c>
      <c r="H67" s="36">
        <v>0</v>
      </c>
      <c r="I67" s="37">
        <v>0</v>
      </c>
      <c r="J67" s="37">
        <v>6766.45</v>
      </c>
      <c r="K67" s="25" t="s">
        <v>531</v>
      </c>
      <c r="L67" s="37">
        <v>-234.06</v>
      </c>
      <c r="M67" s="36">
        <v>0</v>
      </c>
      <c r="N67" s="37">
        <v>0.66504592511582905</v>
      </c>
      <c r="O67" s="37">
        <v>-19.225839528326102</v>
      </c>
      <c r="P67" s="6"/>
      <c r="Q67" s="1"/>
      <c r="R67" s="1"/>
    </row>
    <row r="68" spans="1:18" x14ac:dyDescent="0.35">
      <c r="A68" s="1"/>
      <c r="B68" s="5"/>
      <c r="C68" s="25" t="s">
        <v>564</v>
      </c>
      <c r="D68" s="25" t="s">
        <v>530</v>
      </c>
      <c r="E68" s="36">
        <v>0</v>
      </c>
      <c r="F68" s="36">
        <v>0</v>
      </c>
      <c r="G68" s="36">
        <v>0.448455567128826</v>
      </c>
      <c r="H68" s="36">
        <v>0</v>
      </c>
      <c r="I68" s="37">
        <v>0</v>
      </c>
      <c r="J68" s="37">
        <v>6766.45</v>
      </c>
      <c r="K68" s="25" t="s">
        <v>531</v>
      </c>
      <c r="L68" s="37">
        <v>-234.06</v>
      </c>
      <c r="M68" s="36">
        <v>0</v>
      </c>
      <c r="N68" s="37">
        <v>0.84386938498030695</v>
      </c>
      <c r="O68" s="37">
        <v>-24.395454157053699</v>
      </c>
      <c r="P68" s="6"/>
      <c r="Q68" s="1"/>
      <c r="R68" s="1"/>
    </row>
    <row r="69" spans="1:18" x14ac:dyDescent="0.35">
      <c r="A69" s="1"/>
      <c r="B69" s="5"/>
      <c r="C69" s="25" t="s">
        <v>565</v>
      </c>
      <c r="D69" s="25" t="s">
        <v>530</v>
      </c>
      <c r="E69" s="36">
        <v>0</v>
      </c>
      <c r="F69" s="36">
        <v>0</v>
      </c>
      <c r="G69" s="36">
        <v>0.448455567128826</v>
      </c>
      <c r="H69" s="36">
        <v>0</v>
      </c>
      <c r="I69" s="37">
        <v>97.2</v>
      </c>
      <c r="J69" s="37">
        <v>6766.45</v>
      </c>
      <c r="K69" s="25" t="s">
        <v>531</v>
      </c>
      <c r="L69" s="37">
        <v>-234.06</v>
      </c>
      <c r="M69" s="36">
        <v>1.7022767075306498E-2</v>
      </c>
      <c r="N69" s="37">
        <v>0.84386938498030695</v>
      </c>
      <c r="O69" s="37">
        <v>-24.395454157053699</v>
      </c>
      <c r="P69" s="6"/>
      <c r="Q69" s="1"/>
      <c r="R69" s="1"/>
    </row>
    <row r="70" spans="1:18" x14ac:dyDescent="0.35">
      <c r="A70" s="1"/>
      <c r="B70" s="5"/>
      <c r="C70" s="25" t="s">
        <v>566</v>
      </c>
      <c r="D70" s="25" t="s">
        <v>530</v>
      </c>
      <c r="E70" s="36">
        <v>0</v>
      </c>
      <c r="F70" s="36">
        <v>0</v>
      </c>
      <c r="G70" s="36">
        <v>0</v>
      </c>
      <c r="H70" s="36">
        <v>0</v>
      </c>
      <c r="I70" s="37">
        <v>0</v>
      </c>
      <c r="J70" s="37">
        <v>6766.45</v>
      </c>
      <c r="K70" s="25" t="s">
        <v>531</v>
      </c>
      <c r="L70" s="37">
        <v>-234.06</v>
      </c>
      <c r="M70" s="36">
        <v>0</v>
      </c>
      <c r="N70" s="37">
        <v>0.59854133260424602</v>
      </c>
      <c r="O70" s="37">
        <v>-17.303255575493498</v>
      </c>
      <c r="P70" s="6"/>
      <c r="Q70" s="1"/>
      <c r="R70" s="1"/>
    </row>
    <row r="71" spans="1:18" x14ac:dyDescent="0.35">
      <c r="A71" s="1"/>
      <c r="B71" s="5"/>
      <c r="C71" s="25" t="s">
        <v>567</v>
      </c>
      <c r="D71" s="25" t="s">
        <v>530</v>
      </c>
      <c r="E71" s="36">
        <v>0</v>
      </c>
      <c r="F71" s="36">
        <v>0</v>
      </c>
      <c r="G71" s="36">
        <v>-0.29411764705882298</v>
      </c>
      <c r="H71" s="36">
        <v>-3.2258064516128997E-2</v>
      </c>
      <c r="I71" s="37">
        <v>0</v>
      </c>
      <c r="J71" s="37">
        <v>315.72000000000003</v>
      </c>
      <c r="K71" s="25" t="s">
        <v>531</v>
      </c>
      <c r="L71" s="37">
        <v>1.91</v>
      </c>
      <c r="M71" s="36">
        <v>0</v>
      </c>
      <c r="N71" s="37">
        <v>0.38008361839604698</v>
      </c>
      <c r="O71" s="37">
        <v>62.827225130890099</v>
      </c>
      <c r="P71" s="6"/>
      <c r="Q71" s="1"/>
      <c r="R71" s="1"/>
    </row>
    <row r="72" spans="1:18" x14ac:dyDescent="0.35">
      <c r="A72" s="1"/>
      <c r="B72" s="5"/>
      <c r="C72" s="25" t="s">
        <v>294</v>
      </c>
      <c r="D72" s="25" t="s">
        <v>532</v>
      </c>
      <c r="E72" s="36">
        <v>-4.4999999999999997E-3</v>
      </c>
      <c r="F72" s="36">
        <v>-7.48502994011979E-3</v>
      </c>
      <c r="G72" s="36">
        <v>-2.3564064801178199E-2</v>
      </c>
      <c r="H72" s="36">
        <v>4.5741324921135598E-2</v>
      </c>
      <c r="I72" s="37">
        <v>545</v>
      </c>
      <c r="J72" s="37">
        <v>5834.33</v>
      </c>
      <c r="K72" s="25" t="s">
        <v>531</v>
      </c>
      <c r="L72" s="37">
        <v>949.32</v>
      </c>
      <c r="M72" s="36">
        <v>8.2202111613876305E-2</v>
      </c>
      <c r="N72" s="37">
        <v>1.1363772703977999</v>
      </c>
      <c r="O72" s="37">
        <v>6.9839464037416299</v>
      </c>
      <c r="P72" s="6"/>
      <c r="Q72" s="1"/>
      <c r="R72" s="1"/>
    </row>
    <row r="73" spans="1:18" x14ac:dyDescent="0.35">
      <c r="A73" s="1"/>
      <c r="B73" s="5"/>
      <c r="C73" s="25" t="s">
        <v>568</v>
      </c>
      <c r="D73" s="25" t="s">
        <v>530</v>
      </c>
      <c r="E73" s="36">
        <v>0</v>
      </c>
      <c r="F73" s="36">
        <v>0</v>
      </c>
      <c r="G73" s="36">
        <v>-2.5000000000000001E-2</v>
      </c>
      <c r="H73" s="36">
        <v>0</v>
      </c>
      <c r="I73" s="37">
        <v>6943</v>
      </c>
      <c r="J73" s="37">
        <v>90876.67</v>
      </c>
      <c r="K73" s="25" t="s">
        <v>531</v>
      </c>
      <c r="L73" s="37">
        <v>13078.41</v>
      </c>
      <c r="M73" s="36">
        <v>8.9012820512820501E-2</v>
      </c>
      <c r="N73" s="37">
        <v>0.85830609770362398</v>
      </c>
      <c r="O73" s="37">
        <v>5.9640277373166901</v>
      </c>
      <c r="P73" s="6"/>
      <c r="Q73" s="1"/>
      <c r="R73" s="1"/>
    </row>
    <row r="74" spans="1:18" x14ac:dyDescent="0.35">
      <c r="A74" s="1"/>
      <c r="B74" s="5"/>
      <c r="C74" s="25" t="s">
        <v>569</v>
      </c>
      <c r="D74" s="25" t="s">
        <v>530</v>
      </c>
      <c r="E74" s="36">
        <v>0</v>
      </c>
      <c r="F74" s="36">
        <v>0</v>
      </c>
      <c r="G74" s="36">
        <v>1.0373443983402499</v>
      </c>
      <c r="H74" s="36">
        <v>0</v>
      </c>
      <c r="I74" s="37">
        <v>0</v>
      </c>
      <c r="J74" s="37">
        <v>10813.58</v>
      </c>
      <c r="K74" s="25" t="s">
        <v>531</v>
      </c>
      <c r="L74" s="37">
        <v>-321.55</v>
      </c>
      <c r="M74" s="36">
        <v>0</v>
      </c>
      <c r="N74" s="37">
        <v>4.5405869286582199</v>
      </c>
      <c r="O74" s="37">
        <v>-152.69786969367101</v>
      </c>
      <c r="P74" s="6"/>
      <c r="Q74" s="1"/>
      <c r="R74" s="1"/>
    </row>
    <row r="75" spans="1:18" x14ac:dyDescent="0.35">
      <c r="A75" s="1"/>
      <c r="B75" s="5"/>
      <c r="C75" s="25" t="s">
        <v>570</v>
      </c>
      <c r="D75" s="25" t="s">
        <v>530</v>
      </c>
      <c r="E75" s="36">
        <v>0</v>
      </c>
      <c r="F75" s="36">
        <v>0</v>
      </c>
      <c r="G75" s="36">
        <v>0.83268229166666696</v>
      </c>
      <c r="H75" s="36">
        <v>0</v>
      </c>
      <c r="I75" s="37">
        <v>682.59630602797904</v>
      </c>
      <c r="J75" s="37">
        <v>8061.7</v>
      </c>
      <c r="K75" s="25" t="s">
        <v>531</v>
      </c>
      <c r="L75" s="37">
        <v>600.88</v>
      </c>
      <c r="M75" s="36">
        <v>6.0621341565539902E-2</v>
      </c>
      <c r="N75" s="37">
        <v>1.39672773732587</v>
      </c>
      <c r="O75" s="37">
        <v>18.739182532286002</v>
      </c>
      <c r="P75" s="6"/>
      <c r="Q75" s="1"/>
      <c r="R75" s="1"/>
    </row>
    <row r="76" spans="1:18" x14ac:dyDescent="0.35">
      <c r="A76" s="1"/>
      <c r="B76" s="5"/>
      <c r="C76" s="25" t="s">
        <v>571</v>
      </c>
      <c r="D76" s="25" t="s">
        <v>530</v>
      </c>
      <c r="E76" s="36">
        <v>0</v>
      </c>
      <c r="F76" s="36">
        <v>0</v>
      </c>
      <c r="G76" s="36">
        <v>5.2374459337923403E-2</v>
      </c>
      <c r="H76" s="36">
        <v>0</v>
      </c>
      <c r="I76" s="37">
        <v>670</v>
      </c>
      <c r="J76" s="37">
        <v>9065.32</v>
      </c>
      <c r="K76" s="25" t="s">
        <v>531</v>
      </c>
      <c r="L76" s="37">
        <v>-1113.46</v>
      </c>
      <c r="M76" s="36">
        <v>5.9821428571428602E-2</v>
      </c>
      <c r="N76" s="37">
        <v>1.23547762241156</v>
      </c>
      <c r="O76" s="37">
        <v>-10.0587358324502</v>
      </c>
      <c r="P76" s="6"/>
      <c r="Q76" s="1"/>
      <c r="R76" s="1"/>
    </row>
    <row r="77" spans="1:18" x14ac:dyDescent="0.35">
      <c r="A77" s="1"/>
      <c r="B77" s="5"/>
      <c r="C77" s="25" t="s">
        <v>572</v>
      </c>
      <c r="D77" s="25" t="s">
        <v>530</v>
      </c>
      <c r="E77" s="36">
        <v>0</v>
      </c>
      <c r="F77" s="36">
        <v>0</v>
      </c>
      <c r="G77" s="36">
        <v>0</v>
      </c>
      <c r="H77" s="36">
        <v>0</v>
      </c>
      <c r="I77" s="37">
        <v>26.92</v>
      </c>
      <c r="J77" s="37">
        <v>1595.08</v>
      </c>
      <c r="K77" s="25" t="s">
        <v>531</v>
      </c>
      <c r="L77" s="37">
        <v>51.26</v>
      </c>
      <c r="M77" s="36">
        <v>5.6083333333333298E-2</v>
      </c>
      <c r="N77" s="37">
        <v>0.30092534543721899</v>
      </c>
      <c r="O77" s="37">
        <v>9.3640265314085092</v>
      </c>
      <c r="P77" s="6"/>
      <c r="Q77" s="1"/>
      <c r="R77" s="1"/>
    </row>
    <row r="78" spans="1:18" x14ac:dyDescent="0.35">
      <c r="A78" s="1"/>
      <c r="B78" s="5"/>
      <c r="C78" s="25" t="s">
        <v>296</v>
      </c>
      <c r="D78" s="25" t="s">
        <v>532</v>
      </c>
      <c r="E78" s="36">
        <v>-2.06E-2</v>
      </c>
      <c r="F78" s="36">
        <v>-6.6047471620227102E-2</v>
      </c>
      <c r="G78" s="36">
        <v>0.47154471544715398</v>
      </c>
      <c r="H78" s="36">
        <v>-3.20855614973262E-2</v>
      </c>
      <c r="I78" s="37">
        <v>1462.75</v>
      </c>
      <c r="J78" s="37">
        <v>18808.650000000001</v>
      </c>
      <c r="K78" s="25" t="s">
        <v>531</v>
      </c>
      <c r="L78" s="37">
        <v>13751.83</v>
      </c>
      <c r="M78" s="36">
        <v>8.0814917127071798E-2</v>
      </c>
      <c r="N78" s="37">
        <v>0.96232318640625403</v>
      </c>
      <c r="O78" s="37">
        <v>1.3161884636444701</v>
      </c>
      <c r="P78" s="6"/>
      <c r="Q78" s="1"/>
      <c r="R78" s="1"/>
    </row>
    <row r="79" spans="1:18" x14ac:dyDescent="0.35">
      <c r="A79" s="1"/>
      <c r="B79" s="5"/>
      <c r="C79" s="25" t="s">
        <v>573</v>
      </c>
      <c r="D79" s="25" t="s">
        <v>532</v>
      </c>
      <c r="E79" s="36">
        <v>-1.43E-2</v>
      </c>
      <c r="F79" s="36">
        <v>6.8111455108359004E-2</v>
      </c>
      <c r="G79" s="25"/>
      <c r="H79" s="36">
        <v>-0.36346863468634699</v>
      </c>
      <c r="I79" s="25"/>
      <c r="J79" s="37">
        <v>22446.7</v>
      </c>
      <c r="K79" s="25" t="s">
        <v>531</v>
      </c>
      <c r="L79" s="37">
        <v>2569.7399999999998</v>
      </c>
      <c r="M79" s="25"/>
      <c r="N79" s="37">
        <v>0.61478970182699499</v>
      </c>
      <c r="O79" s="37">
        <v>5.3701930934647102</v>
      </c>
      <c r="P79" s="6"/>
      <c r="Q79" s="1"/>
      <c r="R79" s="1"/>
    </row>
    <row r="80" spans="1:18" x14ac:dyDescent="0.35">
      <c r="A80" s="1"/>
      <c r="B80" s="5"/>
      <c r="C80" s="25" t="s">
        <v>574</v>
      </c>
      <c r="D80" s="25" t="s">
        <v>530</v>
      </c>
      <c r="E80" s="36">
        <v>0</v>
      </c>
      <c r="F80" s="36">
        <v>0</v>
      </c>
      <c r="G80" s="36">
        <v>0.23555555555555599</v>
      </c>
      <c r="H80" s="36">
        <v>9.0196078431372506E-2</v>
      </c>
      <c r="I80" s="37">
        <v>0</v>
      </c>
      <c r="J80" s="37">
        <v>91764.02</v>
      </c>
      <c r="K80" s="25" t="s">
        <v>531</v>
      </c>
      <c r="L80" s="37">
        <v>7507.39</v>
      </c>
      <c r="M80" s="36">
        <v>0</v>
      </c>
      <c r="N80" s="37">
        <v>0.30295098231311102</v>
      </c>
      <c r="O80" s="37">
        <v>3.7030179596371</v>
      </c>
      <c r="P80" s="6"/>
      <c r="Q80" s="1"/>
      <c r="R80" s="1"/>
    </row>
    <row r="81" spans="1:18" x14ac:dyDescent="0.35">
      <c r="A81" s="1"/>
      <c r="B81" s="5"/>
      <c r="C81" s="25" t="s">
        <v>575</v>
      </c>
      <c r="D81" s="25" t="s">
        <v>530</v>
      </c>
      <c r="E81" s="36">
        <v>0</v>
      </c>
      <c r="F81" s="36">
        <v>0</v>
      </c>
      <c r="G81" s="36">
        <v>0.24686716791980001</v>
      </c>
      <c r="H81" s="36">
        <v>0.24374999999999999</v>
      </c>
      <c r="I81" s="37">
        <v>0</v>
      </c>
      <c r="J81" s="37">
        <v>12290.67</v>
      </c>
      <c r="K81" s="25" t="s">
        <v>531</v>
      </c>
      <c r="L81" s="37">
        <v>2633.27</v>
      </c>
      <c r="M81" s="36">
        <v>0</v>
      </c>
      <c r="N81" s="37">
        <v>0.80955716816088996</v>
      </c>
      <c r="O81" s="37">
        <v>3.77857188970368</v>
      </c>
      <c r="P81" s="6"/>
      <c r="Q81" s="1"/>
      <c r="R81" s="1"/>
    </row>
    <row r="82" spans="1:18" x14ac:dyDescent="0.35">
      <c r="A82" s="1"/>
      <c r="B82" s="9"/>
      <c r="C82" s="25" t="s">
        <v>320</v>
      </c>
      <c r="D82" s="25" t="s">
        <v>530</v>
      </c>
      <c r="E82" s="36">
        <v>0</v>
      </c>
      <c r="F82" s="36">
        <v>0.25654450261780098</v>
      </c>
      <c r="G82" s="36">
        <v>0.14285714285714299</v>
      </c>
      <c r="H82" s="36">
        <v>0.26315789473684198</v>
      </c>
      <c r="I82" s="37">
        <v>0</v>
      </c>
      <c r="J82" s="37">
        <v>6766.45</v>
      </c>
      <c r="K82" s="25" t="s">
        <v>531</v>
      </c>
      <c r="L82" s="37">
        <v>-234.06</v>
      </c>
      <c r="M82" s="36">
        <v>0</v>
      </c>
      <c r="N82" s="37">
        <v>0.35469116006177498</v>
      </c>
      <c r="O82" s="37">
        <v>-10.2537810817739</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576</v>
      </c>
      <c r="D5" s="29" t="s">
        <v>577</v>
      </c>
      <c r="E5" s="29" t="s">
        <v>578</v>
      </c>
      <c r="F5" s="29" t="s">
        <v>579</v>
      </c>
      <c r="G5" s="1"/>
      <c r="H5" s="6"/>
      <c r="I5" s="1"/>
      <c r="J5" s="1"/>
    </row>
    <row r="6" spans="1:10" x14ac:dyDescent="0.35">
      <c r="A6" s="1"/>
      <c r="B6" s="5"/>
      <c r="C6" s="71" t="s">
        <v>580</v>
      </c>
      <c r="D6" s="76"/>
      <c r="E6" s="38" t="s">
        <v>5</v>
      </c>
      <c r="F6" s="38">
        <v>3248.87</v>
      </c>
      <c r="G6" s="1"/>
      <c r="H6" s="6"/>
      <c r="I6" s="1"/>
      <c r="J6" s="1"/>
    </row>
    <row r="7" spans="1:10" x14ac:dyDescent="0.35">
      <c r="A7" s="1"/>
      <c r="B7" s="5"/>
      <c r="C7" s="20" t="s">
        <v>581</v>
      </c>
      <c r="D7" s="20" t="s">
        <v>529</v>
      </c>
      <c r="E7" s="39">
        <v>114864.6</v>
      </c>
      <c r="F7" s="39">
        <v>35355246.593431003</v>
      </c>
      <c r="G7" s="1"/>
      <c r="H7" s="6"/>
      <c r="I7" s="1"/>
      <c r="J7" s="1"/>
    </row>
    <row r="8" spans="1:10" x14ac:dyDescent="0.35">
      <c r="A8" s="1"/>
      <c r="B8" s="5"/>
      <c r="C8" s="20" t="s">
        <v>299</v>
      </c>
      <c r="D8" s="20" t="s">
        <v>298</v>
      </c>
      <c r="E8" s="39">
        <v>3461793.2215999998</v>
      </c>
      <c r="F8" s="39">
        <v>1065537624.34323</v>
      </c>
      <c r="G8" s="1"/>
      <c r="H8" s="6"/>
      <c r="I8" s="1"/>
      <c r="J8" s="1"/>
    </row>
    <row r="9" spans="1:10" x14ac:dyDescent="0.35">
      <c r="A9" s="1"/>
      <c r="B9" s="5"/>
      <c r="C9" s="20" t="s">
        <v>323</v>
      </c>
      <c r="D9" s="20" t="s">
        <v>322</v>
      </c>
      <c r="E9" s="39">
        <v>15516045.528988</v>
      </c>
      <c r="F9" s="39">
        <v>4775828373.86168</v>
      </c>
      <c r="G9" s="1"/>
      <c r="H9" s="6"/>
      <c r="I9" s="1"/>
      <c r="J9" s="1"/>
    </row>
    <row r="10" spans="1:10" x14ac:dyDescent="0.35">
      <c r="A10" s="1"/>
      <c r="B10" s="5"/>
      <c r="C10" s="20" t="s">
        <v>301</v>
      </c>
      <c r="D10" s="20" t="s">
        <v>300</v>
      </c>
      <c r="E10" s="39">
        <v>396041.52408</v>
      </c>
      <c r="F10" s="39">
        <v>121901314.63555001</v>
      </c>
      <c r="G10" s="1"/>
      <c r="H10" s="6"/>
      <c r="I10" s="1"/>
      <c r="J10" s="1"/>
    </row>
    <row r="11" spans="1:10" x14ac:dyDescent="0.35">
      <c r="A11" s="1"/>
      <c r="B11" s="5"/>
      <c r="C11" s="20" t="s">
        <v>259</v>
      </c>
      <c r="D11" s="20" t="s">
        <v>258</v>
      </c>
      <c r="E11" s="39">
        <v>13321915.050000001</v>
      </c>
      <c r="F11" s="39">
        <v>4100476488.7484002</v>
      </c>
      <c r="G11" s="1"/>
      <c r="H11" s="6"/>
      <c r="I11" s="1"/>
      <c r="J11" s="1"/>
    </row>
    <row r="12" spans="1:10" x14ac:dyDescent="0.35">
      <c r="A12" s="1"/>
      <c r="B12" s="5"/>
      <c r="C12" s="20" t="s">
        <v>303</v>
      </c>
      <c r="D12" s="20" t="s">
        <v>302</v>
      </c>
      <c r="E12" s="39">
        <v>927066.34508</v>
      </c>
      <c r="F12" s="39">
        <v>285350397.23965597</v>
      </c>
      <c r="G12" s="1"/>
      <c r="H12" s="6"/>
      <c r="I12" s="1"/>
      <c r="J12" s="1"/>
    </row>
    <row r="13" spans="1:10" x14ac:dyDescent="0.35">
      <c r="A13" s="1"/>
      <c r="B13" s="5"/>
      <c r="C13" s="20" t="s">
        <v>582</v>
      </c>
      <c r="D13" s="20" t="s">
        <v>533</v>
      </c>
      <c r="E13" s="39">
        <v>666274.87139391003</v>
      </c>
      <c r="F13" s="39">
        <v>205078957.112445</v>
      </c>
      <c r="G13" s="1"/>
      <c r="H13" s="6"/>
      <c r="I13" s="1"/>
      <c r="J13" s="1"/>
    </row>
    <row r="14" spans="1:10" x14ac:dyDescent="0.35">
      <c r="A14" s="1"/>
      <c r="B14" s="5"/>
      <c r="C14" s="20" t="s">
        <v>261</v>
      </c>
      <c r="D14" s="20" t="s">
        <v>260</v>
      </c>
      <c r="E14" s="39">
        <v>5433136.1612</v>
      </c>
      <c r="F14" s="39">
        <v>1672315654.7353401</v>
      </c>
      <c r="G14" s="1"/>
      <c r="H14" s="6"/>
      <c r="I14" s="1"/>
      <c r="J14" s="1"/>
    </row>
    <row r="15" spans="1:10" x14ac:dyDescent="0.35">
      <c r="A15" s="1"/>
      <c r="B15" s="5"/>
      <c r="C15" s="20" t="s">
        <v>263</v>
      </c>
      <c r="D15" s="20" t="s">
        <v>262</v>
      </c>
      <c r="E15" s="39">
        <v>14235534.7827</v>
      </c>
      <c r="F15" s="39">
        <v>4381688027.7450304</v>
      </c>
      <c r="G15" s="1"/>
      <c r="H15" s="6"/>
      <c r="I15" s="1"/>
      <c r="J15" s="1"/>
    </row>
    <row r="16" spans="1:10" x14ac:dyDescent="0.35">
      <c r="A16" s="1"/>
      <c r="B16" s="5"/>
      <c r="C16" s="20" t="s">
        <v>265</v>
      </c>
      <c r="D16" s="20" t="s">
        <v>264</v>
      </c>
      <c r="E16" s="39">
        <v>40707886.434720002</v>
      </c>
      <c r="F16" s="39">
        <v>12529860054.332701</v>
      </c>
      <c r="G16" s="1"/>
      <c r="H16" s="6"/>
      <c r="I16" s="1"/>
      <c r="J16" s="1"/>
    </row>
    <row r="17" spans="1:10" x14ac:dyDescent="0.35">
      <c r="A17" s="1"/>
      <c r="B17" s="5"/>
      <c r="C17" s="20" t="s">
        <v>305</v>
      </c>
      <c r="D17" s="20" t="s">
        <v>304</v>
      </c>
      <c r="E17" s="39">
        <v>1504345.31588304</v>
      </c>
      <c r="F17" s="39">
        <v>463036476.03106302</v>
      </c>
      <c r="G17" s="1"/>
      <c r="H17" s="6"/>
      <c r="I17" s="1"/>
      <c r="J17" s="1"/>
    </row>
    <row r="18" spans="1:10" x14ac:dyDescent="0.35">
      <c r="A18" s="1"/>
      <c r="B18" s="5"/>
      <c r="C18" s="20" t="s">
        <v>583</v>
      </c>
      <c r="D18" s="20" t="s">
        <v>536</v>
      </c>
      <c r="E18" s="39">
        <v>630370.89663184003</v>
      </c>
      <c r="F18" s="39">
        <v>194027737.83864501</v>
      </c>
      <c r="G18" s="1"/>
      <c r="H18" s="6"/>
      <c r="I18" s="1"/>
      <c r="J18" s="1"/>
    </row>
    <row r="19" spans="1:10" x14ac:dyDescent="0.35">
      <c r="A19" s="1"/>
      <c r="B19" s="5"/>
      <c r="C19" s="20" t="s">
        <v>584</v>
      </c>
      <c r="D19" s="20" t="s">
        <v>537</v>
      </c>
      <c r="E19" s="39">
        <v>1948142.19692652</v>
      </c>
      <c r="F19" s="39">
        <v>599636857.40781295</v>
      </c>
      <c r="G19" s="1"/>
      <c r="H19" s="6"/>
      <c r="I19" s="1"/>
      <c r="J19" s="1"/>
    </row>
    <row r="20" spans="1:10" x14ac:dyDescent="0.35">
      <c r="A20" s="1"/>
      <c r="B20" s="5"/>
      <c r="C20" s="20" t="s">
        <v>585</v>
      </c>
      <c r="D20" s="20" t="s">
        <v>538</v>
      </c>
      <c r="E20" s="39">
        <v>27946.560000000001</v>
      </c>
      <c r="F20" s="39">
        <v>8601932.3641758505</v>
      </c>
      <c r="G20" s="1"/>
      <c r="H20" s="6"/>
      <c r="I20" s="1"/>
      <c r="J20" s="1"/>
    </row>
    <row r="21" spans="1:10" x14ac:dyDescent="0.35">
      <c r="A21" s="1"/>
      <c r="B21" s="5"/>
      <c r="C21" s="20" t="s">
        <v>307</v>
      </c>
      <c r="D21" s="20" t="s">
        <v>306</v>
      </c>
      <c r="E21" s="39">
        <v>485461.11389199999</v>
      </c>
      <c r="F21" s="39">
        <v>149424604.21377301</v>
      </c>
      <c r="G21" s="1"/>
      <c r="H21" s="6"/>
      <c r="I21" s="1"/>
      <c r="J21" s="1"/>
    </row>
    <row r="22" spans="1:10" x14ac:dyDescent="0.35">
      <c r="A22" s="1"/>
      <c r="B22" s="5"/>
      <c r="C22" s="20" t="s">
        <v>586</v>
      </c>
      <c r="D22" s="20" t="s">
        <v>539</v>
      </c>
      <c r="E22" s="39">
        <v>251087.91450000001</v>
      </c>
      <c r="F22" s="39">
        <v>77284691.138765201</v>
      </c>
      <c r="G22" s="1"/>
      <c r="H22" s="6"/>
      <c r="I22" s="1"/>
      <c r="J22" s="1"/>
    </row>
    <row r="23" spans="1:10" x14ac:dyDescent="0.35">
      <c r="A23" s="1"/>
      <c r="B23" s="5"/>
      <c r="C23" s="20" t="s">
        <v>267</v>
      </c>
      <c r="D23" s="20" t="s">
        <v>266</v>
      </c>
      <c r="E23" s="39">
        <v>6588599.6293200003</v>
      </c>
      <c r="F23" s="39">
        <v>2027966532.76986</v>
      </c>
      <c r="G23" s="1"/>
      <c r="H23" s="6"/>
      <c r="I23" s="1"/>
      <c r="J23" s="1"/>
    </row>
    <row r="24" spans="1:10" x14ac:dyDescent="0.35">
      <c r="A24" s="1"/>
      <c r="B24" s="5"/>
      <c r="C24" s="20" t="s">
        <v>587</v>
      </c>
      <c r="D24" s="20" t="s">
        <v>540</v>
      </c>
      <c r="E24" s="39">
        <v>113835.22174920001</v>
      </c>
      <c r="F24" s="39">
        <v>35038404.660451204</v>
      </c>
      <c r="G24" s="1"/>
      <c r="H24" s="6"/>
      <c r="I24" s="1"/>
      <c r="J24" s="1"/>
    </row>
    <row r="25" spans="1:10" x14ac:dyDescent="0.35">
      <c r="A25" s="1"/>
      <c r="B25" s="5"/>
      <c r="C25" s="20" t="s">
        <v>588</v>
      </c>
      <c r="D25" s="20" t="s">
        <v>541</v>
      </c>
      <c r="E25" s="39">
        <v>6994.6638408500003</v>
      </c>
      <c r="F25" s="39">
        <v>2152952.8238587598</v>
      </c>
      <c r="G25" s="1"/>
      <c r="H25" s="6"/>
      <c r="I25" s="1"/>
      <c r="J25" s="1"/>
    </row>
    <row r="26" spans="1:10" x14ac:dyDescent="0.35">
      <c r="A26" s="1"/>
      <c r="B26" s="5"/>
      <c r="C26" s="20" t="s">
        <v>269</v>
      </c>
      <c r="D26" s="20" t="s">
        <v>268</v>
      </c>
      <c r="E26" s="39">
        <v>108136907.03470001</v>
      </c>
      <c r="F26" s="39">
        <v>33284467225.435299</v>
      </c>
      <c r="G26" s="1"/>
      <c r="H26" s="6"/>
      <c r="I26" s="1"/>
      <c r="J26" s="1"/>
    </row>
    <row r="27" spans="1:10" x14ac:dyDescent="0.35">
      <c r="A27" s="1"/>
      <c r="B27" s="5"/>
      <c r="C27" s="20" t="s">
        <v>309</v>
      </c>
      <c r="D27" s="20" t="s">
        <v>308</v>
      </c>
      <c r="E27" s="39">
        <v>275695.59360000002</v>
      </c>
      <c r="F27" s="39">
        <v>84858918.208484799</v>
      </c>
      <c r="G27" s="1"/>
      <c r="H27" s="6"/>
      <c r="I27" s="1"/>
      <c r="J27" s="1"/>
    </row>
    <row r="28" spans="1:10" x14ac:dyDescent="0.35">
      <c r="A28" s="1"/>
      <c r="B28" s="5"/>
      <c r="C28" s="20" t="s">
        <v>589</v>
      </c>
      <c r="D28" s="20" t="s">
        <v>542</v>
      </c>
      <c r="E28" s="39">
        <v>151980.21522908</v>
      </c>
      <c r="F28" s="39">
        <v>46779407.987724997</v>
      </c>
      <c r="G28" s="1"/>
      <c r="H28" s="6"/>
      <c r="I28" s="1"/>
      <c r="J28" s="1"/>
    </row>
    <row r="29" spans="1:10" x14ac:dyDescent="0.35">
      <c r="A29" s="1"/>
      <c r="B29" s="5"/>
      <c r="C29" s="20" t="s">
        <v>311</v>
      </c>
      <c r="D29" s="20" t="s">
        <v>310</v>
      </c>
      <c r="E29" s="39">
        <v>223474.7878734</v>
      </c>
      <c r="F29" s="39">
        <v>68785389.342571393</v>
      </c>
      <c r="G29" s="1"/>
      <c r="H29" s="6"/>
      <c r="I29" s="1"/>
      <c r="J29" s="1"/>
    </row>
    <row r="30" spans="1:10" x14ac:dyDescent="0.35">
      <c r="A30" s="1"/>
      <c r="B30" s="5"/>
      <c r="C30" s="20" t="s">
        <v>590</v>
      </c>
      <c r="D30" s="20" t="s">
        <v>543</v>
      </c>
      <c r="E30" s="39">
        <v>8900.7459999999992</v>
      </c>
      <c r="F30" s="39">
        <v>2739643.6299390299</v>
      </c>
      <c r="G30" s="1"/>
      <c r="H30" s="6"/>
      <c r="I30" s="1"/>
      <c r="J30" s="1"/>
    </row>
    <row r="31" spans="1:10" x14ac:dyDescent="0.35">
      <c r="A31" s="1"/>
      <c r="B31" s="5"/>
      <c r="C31" s="20" t="s">
        <v>313</v>
      </c>
      <c r="D31" s="20" t="s">
        <v>312</v>
      </c>
      <c r="E31" s="39">
        <v>266291.50589999999</v>
      </c>
      <c r="F31" s="39">
        <v>81964346.341958895</v>
      </c>
      <c r="G31" s="1"/>
      <c r="H31" s="6"/>
      <c r="I31" s="1"/>
      <c r="J31" s="1"/>
    </row>
    <row r="32" spans="1:10" x14ac:dyDescent="0.35">
      <c r="A32" s="1"/>
      <c r="B32" s="5"/>
      <c r="C32" s="20" t="s">
        <v>271</v>
      </c>
      <c r="D32" s="20" t="s">
        <v>270</v>
      </c>
      <c r="E32" s="39">
        <v>6190812.9924299996</v>
      </c>
      <c r="F32" s="39">
        <v>1905528073.5855899</v>
      </c>
      <c r="G32" s="1"/>
      <c r="H32" s="6"/>
      <c r="I32" s="1"/>
      <c r="J32" s="1"/>
    </row>
    <row r="33" spans="1:10" x14ac:dyDescent="0.35">
      <c r="A33" s="1"/>
      <c r="B33" s="5"/>
      <c r="C33" s="20" t="s">
        <v>315</v>
      </c>
      <c r="D33" s="20" t="s">
        <v>314</v>
      </c>
      <c r="E33" s="39">
        <v>34967.0239086</v>
      </c>
      <c r="F33" s="39">
        <v>10762826.431528499</v>
      </c>
      <c r="G33" s="1"/>
      <c r="H33" s="6"/>
      <c r="I33" s="1"/>
      <c r="J33" s="1"/>
    </row>
    <row r="34" spans="1:10" x14ac:dyDescent="0.35">
      <c r="A34" s="1"/>
      <c r="B34" s="5"/>
      <c r="C34" s="20" t="s">
        <v>591</v>
      </c>
      <c r="D34" s="20" t="s">
        <v>546</v>
      </c>
      <c r="E34" s="39">
        <v>88712.183730799996</v>
      </c>
      <c r="F34" s="39">
        <v>27305550.4624069</v>
      </c>
      <c r="G34" s="1"/>
      <c r="H34" s="6"/>
      <c r="I34" s="1"/>
      <c r="J34" s="1"/>
    </row>
    <row r="35" spans="1:10" x14ac:dyDescent="0.35">
      <c r="A35" s="1"/>
      <c r="B35" s="5"/>
      <c r="C35" s="20" t="s">
        <v>273</v>
      </c>
      <c r="D35" s="20" t="s">
        <v>272</v>
      </c>
      <c r="E35" s="39">
        <v>27314001.625574999</v>
      </c>
      <c r="F35" s="39">
        <v>8407231322.14431</v>
      </c>
      <c r="G35" s="1"/>
      <c r="H35" s="6"/>
      <c r="I35" s="1"/>
      <c r="J35" s="1"/>
    </row>
    <row r="36" spans="1:10" x14ac:dyDescent="0.35">
      <c r="A36" s="1"/>
      <c r="B36" s="5"/>
      <c r="C36" s="20" t="s">
        <v>592</v>
      </c>
      <c r="D36" s="20" t="s">
        <v>547</v>
      </c>
      <c r="E36" s="39">
        <v>1166788.78476</v>
      </c>
      <c r="F36" s="39">
        <v>359136802.876077</v>
      </c>
      <c r="G36" s="1"/>
      <c r="H36" s="6"/>
      <c r="I36" s="1"/>
      <c r="J36" s="1"/>
    </row>
    <row r="37" spans="1:10" x14ac:dyDescent="0.35">
      <c r="A37" s="1"/>
      <c r="B37" s="5"/>
      <c r="C37" s="20" t="s">
        <v>275</v>
      </c>
      <c r="D37" s="20" t="s">
        <v>274</v>
      </c>
      <c r="E37" s="39">
        <v>6649467.9151799995</v>
      </c>
      <c r="F37" s="39">
        <v>2046701750.2023799</v>
      </c>
      <c r="G37" s="1"/>
      <c r="H37" s="6"/>
      <c r="I37" s="1"/>
      <c r="J37" s="1"/>
    </row>
    <row r="38" spans="1:10" x14ac:dyDescent="0.35">
      <c r="A38" s="1"/>
      <c r="B38" s="5"/>
      <c r="C38" s="20" t="s">
        <v>277</v>
      </c>
      <c r="D38" s="20" t="s">
        <v>276</v>
      </c>
      <c r="E38" s="39">
        <v>7115664.4386999998</v>
      </c>
      <c r="F38" s="39">
        <v>2190196726.4618201</v>
      </c>
      <c r="G38" s="1"/>
      <c r="H38" s="6"/>
      <c r="I38" s="1"/>
      <c r="J38" s="1"/>
    </row>
    <row r="39" spans="1:10" x14ac:dyDescent="0.35">
      <c r="A39" s="1"/>
      <c r="B39" s="5"/>
      <c r="C39" s="20" t="s">
        <v>287</v>
      </c>
      <c r="D39" s="20" t="s">
        <v>316</v>
      </c>
      <c r="E39" s="39">
        <v>13104443.1852</v>
      </c>
      <c r="F39" s="39">
        <v>4033538795.0887499</v>
      </c>
      <c r="G39" s="1"/>
      <c r="H39" s="6"/>
      <c r="I39" s="1"/>
      <c r="J39" s="1"/>
    </row>
    <row r="40" spans="1:10" x14ac:dyDescent="0.35">
      <c r="A40" s="1"/>
      <c r="B40" s="5"/>
      <c r="C40" s="20" t="s">
        <v>593</v>
      </c>
      <c r="D40" s="20" t="s">
        <v>548</v>
      </c>
      <c r="E40" s="39">
        <v>306669.521152</v>
      </c>
      <c r="F40" s="39">
        <v>94392672.268204004</v>
      </c>
      <c r="G40" s="1"/>
      <c r="H40" s="6"/>
      <c r="I40" s="1"/>
      <c r="J40" s="1"/>
    </row>
    <row r="41" spans="1:10" x14ac:dyDescent="0.35">
      <c r="A41" s="1"/>
      <c r="B41" s="5"/>
      <c r="C41" s="20" t="s">
        <v>279</v>
      </c>
      <c r="D41" s="20" t="s">
        <v>278</v>
      </c>
      <c r="E41" s="39">
        <v>8938454.0013999995</v>
      </c>
      <c r="F41" s="39">
        <v>2751250127.39814</v>
      </c>
      <c r="G41" s="1"/>
      <c r="H41" s="6"/>
      <c r="I41" s="1"/>
      <c r="J41" s="1"/>
    </row>
    <row r="42" spans="1:10" x14ac:dyDescent="0.35">
      <c r="A42" s="1"/>
      <c r="B42" s="5"/>
      <c r="C42" s="20" t="s">
        <v>594</v>
      </c>
      <c r="D42" s="20" t="s">
        <v>554</v>
      </c>
      <c r="E42" s="39">
        <v>321552.50666057999</v>
      </c>
      <c r="F42" s="39">
        <v>98973645.193738103</v>
      </c>
      <c r="G42" s="1"/>
      <c r="H42" s="6"/>
      <c r="I42" s="1"/>
      <c r="J42" s="1"/>
    </row>
    <row r="43" spans="1:10" x14ac:dyDescent="0.35">
      <c r="A43" s="1"/>
      <c r="B43" s="5"/>
      <c r="C43" s="20" t="s">
        <v>595</v>
      </c>
      <c r="D43" s="20" t="s">
        <v>555</v>
      </c>
      <c r="E43" s="39">
        <v>154575.53692514999</v>
      </c>
      <c r="F43" s="39">
        <v>47578246.259514801</v>
      </c>
      <c r="G43" s="1"/>
      <c r="H43" s="6"/>
      <c r="I43" s="1"/>
      <c r="J43" s="1"/>
    </row>
    <row r="44" spans="1:10" x14ac:dyDescent="0.35">
      <c r="A44" s="1"/>
      <c r="B44" s="5"/>
      <c r="C44" s="20" t="s">
        <v>596</v>
      </c>
      <c r="D44" s="20" t="s">
        <v>556</v>
      </c>
      <c r="E44" s="39">
        <v>122758.75</v>
      </c>
      <c r="F44" s="39">
        <v>37785060.651857398</v>
      </c>
      <c r="G44" s="1"/>
      <c r="H44" s="6"/>
      <c r="I44" s="1"/>
      <c r="J44" s="1"/>
    </row>
    <row r="45" spans="1:10" x14ac:dyDescent="0.35">
      <c r="A45" s="1"/>
      <c r="B45" s="5"/>
      <c r="C45" s="20" t="s">
        <v>281</v>
      </c>
      <c r="D45" s="20" t="s">
        <v>280</v>
      </c>
      <c r="E45" s="39">
        <v>33230336.82</v>
      </c>
      <c r="F45" s="39">
        <v>10228275314.186199</v>
      </c>
      <c r="G45" s="1"/>
      <c r="H45" s="6"/>
      <c r="I45" s="1"/>
      <c r="J45" s="1"/>
    </row>
    <row r="46" spans="1:10" x14ac:dyDescent="0.35">
      <c r="A46" s="1"/>
      <c r="B46" s="5"/>
      <c r="C46" s="20" t="s">
        <v>597</v>
      </c>
      <c r="D46" s="20" t="s">
        <v>557</v>
      </c>
      <c r="E46" s="39">
        <v>700670.74366397003</v>
      </c>
      <c r="F46" s="39">
        <v>215665983.45392999</v>
      </c>
      <c r="G46" s="1"/>
      <c r="H46" s="6"/>
      <c r="I46" s="1"/>
      <c r="J46" s="1"/>
    </row>
    <row r="47" spans="1:10" x14ac:dyDescent="0.35">
      <c r="A47" s="1"/>
      <c r="B47" s="5"/>
      <c r="C47" s="20" t="s">
        <v>598</v>
      </c>
      <c r="D47" s="20" t="s">
        <v>558</v>
      </c>
      <c r="E47" s="39">
        <v>842023.47413015994</v>
      </c>
      <c r="F47" s="39">
        <v>259174258.782334</v>
      </c>
      <c r="G47" s="1"/>
      <c r="H47" s="6"/>
      <c r="I47" s="1"/>
      <c r="J47" s="1"/>
    </row>
    <row r="48" spans="1:10" x14ac:dyDescent="0.35">
      <c r="A48" s="1"/>
      <c r="B48" s="5"/>
      <c r="C48" s="20" t="s">
        <v>283</v>
      </c>
      <c r="D48" s="20" t="s">
        <v>282</v>
      </c>
      <c r="E48" s="39">
        <v>4584598.0135000004</v>
      </c>
      <c r="F48" s="39">
        <v>1411136183.8116</v>
      </c>
      <c r="G48" s="1"/>
      <c r="H48" s="6"/>
      <c r="I48" s="1"/>
      <c r="J48" s="1"/>
    </row>
    <row r="49" spans="1:10" x14ac:dyDescent="0.35">
      <c r="A49" s="1"/>
      <c r="B49" s="5"/>
      <c r="C49" s="20" t="s">
        <v>325</v>
      </c>
      <c r="D49" s="20" t="s">
        <v>324</v>
      </c>
      <c r="E49" s="39">
        <v>139547165.71028</v>
      </c>
      <c r="F49" s="39">
        <v>42952523711.407303</v>
      </c>
      <c r="G49" s="1"/>
      <c r="H49" s="6"/>
      <c r="I49" s="1"/>
      <c r="J49" s="1"/>
    </row>
    <row r="50" spans="1:10" x14ac:dyDescent="0.35">
      <c r="A50" s="1"/>
      <c r="B50" s="5"/>
      <c r="C50" s="20" t="s">
        <v>318</v>
      </c>
      <c r="D50" s="20" t="s">
        <v>317</v>
      </c>
      <c r="E50" s="39">
        <v>3086814.4361999999</v>
      </c>
      <c r="F50" s="39">
        <v>950119406.50133705</v>
      </c>
      <c r="G50" s="1"/>
      <c r="H50" s="6"/>
      <c r="I50" s="1"/>
      <c r="J50" s="1"/>
    </row>
    <row r="51" spans="1:10" x14ac:dyDescent="0.35">
      <c r="A51" s="1"/>
      <c r="B51" s="5"/>
      <c r="C51" s="20" t="s">
        <v>599</v>
      </c>
      <c r="D51" s="20" t="s">
        <v>559</v>
      </c>
      <c r="E51" s="39">
        <v>96995.525230500003</v>
      </c>
      <c r="F51" s="39">
        <v>29855157.402573802</v>
      </c>
      <c r="G51" s="1"/>
      <c r="H51" s="6"/>
      <c r="I51" s="1"/>
      <c r="J51" s="1"/>
    </row>
    <row r="52" spans="1:10" x14ac:dyDescent="0.35">
      <c r="A52" s="1"/>
      <c r="B52" s="5"/>
      <c r="C52" s="20" t="s">
        <v>285</v>
      </c>
      <c r="D52" s="20" t="s">
        <v>284</v>
      </c>
      <c r="E52" s="39">
        <v>3354884.1789600002</v>
      </c>
      <c r="F52" s="39">
        <v>1032631092.95232</v>
      </c>
      <c r="G52" s="1"/>
      <c r="H52" s="6"/>
      <c r="I52" s="1"/>
      <c r="J52" s="1"/>
    </row>
    <row r="53" spans="1:10" x14ac:dyDescent="0.35">
      <c r="A53" s="1"/>
      <c r="B53" s="5"/>
      <c r="C53" s="20" t="s">
        <v>287</v>
      </c>
      <c r="D53" s="20" t="s">
        <v>286</v>
      </c>
      <c r="E53" s="39">
        <v>6135337.3263739999</v>
      </c>
      <c r="F53" s="39">
        <v>1888452700.90031</v>
      </c>
      <c r="G53" s="1"/>
      <c r="H53" s="6"/>
      <c r="I53" s="1"/>
      <c r="J53" s="1"/>
    </row>
    <row r="54" spans="1:10" x14ac:dyDescent="0.35">
      <c r="A54" s="1"/>
      <c r="B54" s="5"/>
      <c r="C54" s="20" t="s">
        <v>299</v>
      </c>
      <c r="D54" s="20" t="s">
        <v>560</v>
      </c>
      <c r="E54" s="39">
        <v>189404.4504</v>
      </c>
      <c r="F54" s="39">
        <v>58298562.392462596</v>
      </c>
      <c r="G54" s="1"/>
      <c r="H54" s="6"/>
      <c r="I54" s="1"/>
      <c r="J54" s="1"/>
    </row>
    <row r="55" spans="1:10" x14ac:dyDescent="0.35">
      <c r="A55" s="1"/>
      <c r="B55" s="5"/>
      <c r="C55" s="20" t="s">
        <v>263</v>
      </c>
      <c r="D55" s="20" t="s">
        <v>319</v>
      </c>
      <c r="E55" s="39">
        <v>4450.8570600000003</v>
      </c>
      <c r="F55" s="39">
        <v>1369970.80831181</v>
      </c>
      <c r="G55" s="1"/>
      <c r="H55" s="6"/>
      <c r="I55" s="1"/>
      <c r="J55" s="1"/>
    </row>
    <row r="56" spans="1:10" x14ac:dyDescent="0.35">
      <c r="A56" s="1"/>
      <c r="B56" s="5"/>
      <c r="C56" s="20" t="s">
        <v>265</v>
      </c>
      <c r="D56" s="20" t="s">
        <v>288</v>
      </c>
      <c r="E56" s="39">
        <v>29521168.648400001</v>
      </c>
      <c r="F56" s="39">
        <v>9086595846.6790009</v>
      </c>
      <c r="G56" s="1"/>
      <c r="H56" s="6"/>
      <c r="I56" s="1"/>
      <c r="J56" s="1"/>
    </row>
    <row r="57" spans="1:10" x14ac:dyDescent="0.35">
      <c r="A57" s="1"/>
      <c r="B57" s="5"/>
      <c r="C57" s="20" t="s">
        <v>267</v>
      </c>
      <c r="D57" s="20" t="s">
        <v>289</v>
      </c>
      <c r="E57" s="39">
        <v>332628.39750000002</v>
      </c>
      <c r="F57" s="39">
        <v>102382796.941706</v>
      </c>
      <c r="G57" s="1"/>
      <c r="H57" s="6"/>
      <c r="I57" s="1"/>
      <c r="J57" s="1"/>
    </row>
    <row r="58" spans="1:10" x14ac:dyDescent="0.35">
      <c r="A58" s="1"/>
      <c r="B58" s="5"/>
      <c r="C58" s="20" t="s">
        <v>291</v>
      </c>
      <c r="D58" s="20" t="s">
        <v>290</v>
      </c>
      <c r="E58" s="39">
        <v>5412033.4708200004</v>
      </c>
      <c r="F58" s="39">
        <v>1665820260.83531</v>
      </c>
      <c r="G58" s="1"/>
      <c r="H58" s="6"/>
      <c r="I58" s="1"/>
      <c r="J58" s="1"/>
    </row>
    <row r="59" spans="1:10" x14ac:dyDescent="0.35">
      <c r="A59" s="1"/>
      <c r="B59" s="5"/>
      <c r="C59" s="20" t="s">
        <v>327</v>
      </c>
      <c r="D59" s="20" t="s">
        <v>326</v>
      </c>
      <c r="E59" s="39">
        <v>2887041.05712</v>
      </c>
      <c r="F59" s="39">
        <v>888629294.83789802</v>
      </c>
      <c r="G59" s="1"/>
      <c r="H59" s="6"/>
      <c r="I59" s="1"/>
      <c r="J59" s="1"/>
    </row>
    <row r="60" spans="1:10" x14ac:dyDescent="0.35">
      <c r="A60" s="1"/>
      <c r="B60" s="5"/>
      <c r="C60" s="20" t="s">
        <v>277</v>
      </c>
      <c r="D60" s="20" t="s">
        <v>292</v>
      </c>
      <c r="E60" s="39">
        <v>3539676.6324</v>
      </c>
      <c r="F60" s="39">
        <v>1089510085.7836699</v>
      </c>
      <c r="G60" s="1"/>
      <c r="H60" s="6"/>
      <c r="I60" s="1"/>
      <c r="J60" s="1"/>
    </row>
    <row r="61" spans="1:10" x14ac:dyDescent="0.35">
      <c r="A61" s="1"/>
      <c r="B61" s="5"/>
      <c r="C61" s="20" t="s">
        <v>279</v>
      </c>
      <c r="D61" s="20" t="s">
        <v>293</v>
      </c>
      <c r="E61" s="39">
        <v>7125600.2456400003</v>
      </c>
      <c r="F61" s="39">
        <v>2193254961.1526499</v>
      </c>
      <c r="G61" s="1"/>
      <c r="H61" s="6"/>
      <c r="I61" s="1"/>
      <c r="J61" s="1"/>
    </row>
    <row r="62" spans="1:10" x14ac:dyDescent="0.35">
      <c r="A62" s="1"/>
      <c r="B62" s="5"/>
      <c r="C62" s="20" t="s">
        <v>321</v>
      </c>
      <c r="D62" s="20" t="s">
        <v>561</v>
      </c>
      <c r="E62" s="39">
        <v>223.17782034999999</v>
      </c>
      <c r="F62" s="39">
        <v>68693.982938683301</v>
      </c>
      <c r="G62" s="1"/>
      <c r="H62" s="6"/>
      <c r="I62" s="1"/>
      <c r="J62" s="1"/>
    </row>
    <row r="63" spans="1:10" x14ac:dyDescent="0.35">
      <c r="A63" s="1"/>
      <c r="B63" s="5"/>
      <c r="C63" s="20" t="s">
        <v>321</v>
      </c>
      <c r="D63" s="20" t="s">
        <v>562</v>
      </c>
      <c r="E63" s="39">
        <v>283.46012339999999</v>
      </c>
      <c r="F63" s="39">
        <v>87248.835256566104</v>
      </c>
      <c r="G63" s="1"/>
      <c r="H63" s="6"/>
      <c r="I63" s="1"/>
      <c r="J63" s="1"/>
    </row>
    <row r="64" spans="1:10" x14ac:dyDescent="0.35">
      <c r="A64" s="1"/>
      <c r="B64" s="5"/>
      <c r="C64" s="20" t="s">
        <v>321</v>
      </c>
      <c r="D64" s="20" t="s">
        <v>563</v>
      </c>
      <c r="E64" s="39">
        <v>9720.8579977000009</v>
      </c>
      <c r="F64" s="39">
        <v>2992073.5510192802</v>
      </c>
      <c r="G64" s="1"/>
      <c r="H64" s="6"/>
      <c r="I64" s="1"/>
      <c r="J64" s="1"/>
    </row>
    <row r="65" spans="1:10" x14ac:dyDescent="0.35">
      <c r="A65" s="1"/>
      <c r="B65" s="5"/>
      <c r="C65" s="20" t="s">
        <v>321</v>
      </c>
      <c r="D65" s="20" t="s">
        <v>564</v>
      </c>
      <c r="E65" s="39">
        <v>19.568573399999998</v>
      </c>
      <c r="F65" s="39">
        <v>6023.1937258185199</v>
      </c>
      <c r="G65" s="1"/>
      <c r="H65" s="6"/>
      <c r="I65" s="1"/>
      <c r="J65" s="1"/>
    </row>
    <row r="66" spans="1:10" x14ac:dyDescent="0.35">
      <c r="A66" s="1"/>
      <c r="B66" s="5"/>
      <c r="C66" s="20" t="s">
        <v>321</v>
      </c>
      <c r="D66" s="20" t="s">
        <v>565</v>
      </c>
      <c r="E66" s="39">
        <v>643.67208915000003</v>
      </c>
      <c r="F66" s="39">
        <v>198121.835946037</v>
      </c>
      <c r="G66" s="1"/>
      <c r="H66" s="6"/>
      <c r="I66" s="1"/>
      <c r="J66" s="1"/>
    </row>
    <row r="67" spans="1:10" x14ac:dyDescent="0.35">
      <c r="A67" s="1"/>
      <c r="B67" s="5"/>
      <c r="C67" s="20" t="s">
        <v>321</v>
      </c>
      <c r="D67" s="20" t="s">
        <v>566</v>
      </c>
      <c r="E67" s="39">
        <v>995.13503505000006</v>
      </c>
      <c r="F67" s="39">
        <v>306301.89421244903</v>
      </c>
      <c r="G67" s="1"/>
      <c r="H67" s="6"/>
      <c r="I67" s="1"/>
      <c r="J67" s="1"/>
    </row>
    <row r="68" spans="1:10" x14ac:dyDescent="0.35">
      <c r="A68" s="1"/>
      <c r="B68" s="5"/>
      <c r="C68" s="20" t="s">
        <v>600</v>
      </c>
      <c r="D68" s="20" t="s">
        <v>567</v>
      </c>
      <c r="E68" s="39">
        <v>946332.47699999996</v>
      </c>
      <c r="F68" s="39">
        <v>291280499.68142802</v>
      </c>
      <c r="G68" s="1"/>
      <c r="H68" s="6"/>
      <c r="I68" s="1"/>
      <c r="J68" s="1"/>
    </row>
    <row r="69" spans="1:10" x14ac:dyDescent="0.35">
      <c r="A69" s="1"/>
      <c r="B69" s="5"/>
      <c r="C69" s="20" t="s">
        <v>295</v>
      </c>
      <c r="D69" s="20" t="s">
        <v>294</v>
      </c>
      <c r="E69" s="39">
        <v>7524042.5250899997</v>
      </c>
      <c r="F69" s="39">
        <v>2315895226.6757398</v>
      </c>
      <c r="G69" s="1"/>
      <c r="H69" s="6"/>
      <c r="I69" s="1"/>
      <c r="J69" s="1"/>
    </row>
    <row r="70" spans="1:10" x14ac:dyDescent="0.35">
      <c r="A70" s="1"/>
      <c r="B70" s="5"/>
      <c r="C70" s="20" t="s">
        <v>601</v>
      </c>
      <c r="D70" s="20" t="s">
        <v>568</v>
      </c>
      <c r="E70" s="39">
        <v>2618416.9517295398</v>
      </c>
      <c r="F70" s="39">
        <v>805946975.94226301</v>
      </c>
      <c r="G70" s="1"/>
      <c r="H70" s="6"/>
      <c r="I70" s="1"/>
      <c r="J70" s="1"/>
    </row>
    <row r="71" spans="1:10" x14ac:dyDescent="0.35">
      <c r="A71" s="1"/>
      <c r="B71" s="5"/>
      <c r="C71" s="20" t="s">
        <v>602</v>
      </c>
      <c r="D71" s="20" t="s">
        <v>569</v>
      </c>
      <c r="E71" s="39">
        <v>482008.27804583998</v>
      </c>
      <c r="F71" s="39">
        <v>148361823.66356301</v>
      </c>
      <c r="G71" s="1"/>
      <c r="H71" s="6"/>
      <c r="I71" s="1"/>
      <c r="J71" s="1"/>
    </row>
    <row r="72" spans="1:10" x14ac:dyDescent="0.35">
      <c r="A72" s="1"/>
      <c r="B72" s="5"/>
      <c r="C72" s="20" t="s">
        <v>603</v>
      </c>
      <c r="D72" s="20" t="s">
        <v>570</v>
      </c>
      <c r="E72" s="39">
        <v>272039.46257089998</v>
      </c>
      <c r="F72" s="39">
        <v>83733563.537753105</v>
      </c>
      <c r="G72" s="1"/>
      <c r="H72" s="6"/>
      <c r="I72" s="1"/>
      <c r="J72" s="1"/>
    </row>
    <row r="73" spans="1:10" x14ac:dyDescent="0.35">
      <c r="A73" s="1"/>
      <c r="B73" s="5"/>
      <c r="C73" s="20" t="s">
        <v>604</v>
      </c>
      <c r="D73" s="20" t="s">
        <v>571</v>
      </c>
      <c r="E73" s="39">
        <v>541507.18124228006</v>
      </c>
      <c r="F73" s="39">
        <v>166675546.03363001</v>
      </c>
      <c r="G73" s="1"/>
      <c r="H73" s="6"/>
      <c r="I73" s="1"/>
      <c r="J73" s="1"/>
    </row>
    <row r="74" spans="1:10" x14ac:dyDescent="0.35">
      <c r="A74" s="1"/>
      <c r="B74" s="5"/>
      <c r="C74" s="20" t="s">
        <v>605</v>
      </c>
      <c r="D74" s="20" t="s">
        <v>572</v>
      </c>
      <c r="E74" s="39">
        <v>95704.8</v>
      </c>
      <c r="F74" s="39">
        <v>29457873.045089498</v>
      </c>
      <c r="G74" s="1"/>
      <c r="H74" s="6"/>
      <c r="I74" s="1"/>
      <c r="J74" s="1"/>
    </row>
    <row r="75" spans="1:10" x14ac:dyDescent="0.35">
      <c r="A75" s="1"/>
      <c r="B75" s="5"/>
      <c r="C75" s="20" t="s">
        <v>297</v>
      </c>
      <c r="D75" s="20" t="s">
        <v>296</v>
      </c>
      <c r="E75" s="39">
        <v>3283783.5405000001</v>
      </c>
      <c r="F75" s="39">
        <v>1010746364.27435</v>
      </c>
      <c r="G75" s="1"/>
      <c r="H75" s="6"/>
      <c r="I75" s="1"/>
      <c r="J75" s="1"/>
    </row>
    <row r="76" spans="1:10" x14ac:dyDescent="0.35">
      <c r="A76" s="1"/>
      <c r="B76" s="5"/>
      <c r="C76" s="20" t="s">
        <v>606</v>
      </c>
      <c r="D76" s="20" t="s">
        <v>573</v>
      </c>
      <c r="E76" s="39">
        <v>268601.13</v>
      </c>
      <c r="F76" s="39">
        <v>82675247.085909903</v>
      </c>
      <c r="G76" s="1"/>
      <c r="H76" s="6"/>
      <c r="I76" s="1"/>
      <c r="J76" s="1"/>
    </row>
    <row r="77" spans="1:10" x14ac:dyDescent="0.35">
      <c r="A77" s="1"/>
      <c r="B77" s="5"/>
      <c r="C77" s="20" t="s">
        <v>607</v>
      </c>
      <c r="D77" s="20" t="s">
        <v>574</v>
      </c>
      <c r="E77" s="39">
        <v>38877.243600000002</v>
      </c>
      <c r="F77" s="39">
        <v>11966389.421552701</v>
      </c>
      <c r="G77" s="1"/>
      <c r="H77" s="6"/>
      <c r="I77" s="1"/>
      <c r="J77" s="1"/>
    </row>
    <row r="78" spans="1:10" x14ac:dyDescent="0.35">
      <c r="A78" s="1"/>
      <c r="B78" s="5"/>
      <c r="C78" s="20" t="s">
        <v>608</v>
      </c>
      <c r="D78" s="20" t="s">
        <v>575</v>
      </c>
      <c r="E78" s="39">
        <v>100377.77905</v>
      </c>
      <c r="F78" s="39">
        <v>30896212.852468699</v>
      </c>
      <c r="G78" s="1"/>
      <c r="H78" s="6"/>
      <c r="I78" s="1"/>
      <c r="J78" s="1"/>
    </row>
    <row r="79" spans="1:10" x14ac:dyDescent="0.35">
      <c r="A79" s="1"/>
      <c r="B79" s="5"/>
      <c r="C79" s="20" t="s">
        <v>321</v>
      </c>
      <c r="D79" s="20" t="s">
        <v>320</v>
      </c>
      <c r="E79" s="39">
        <v>535139.26560000004</v>
      </c>
      <c r="F79" s="39">
        <v>164715505.88358399</v>
      </c>
      <c r="G79" s="1"/>
      <c r="H79" s="6"/>
      <c r="I79" s="1"/>
      <c r="J79" s="1"/>
    </row>
    <row r="80" spans="1:10" x14ac:dyDescent="0.35">
      <c r="A80" s="1"/>
      <c r="B80" s="9"/>
      <c r="C80" s="19" t="s">
        <v>609</v>
      </c>
      <c r="D80" s="40" t="s">
        <v>5</v>
      </c>
      <c r="E80" s="41">
        <v>544219006.87517595</v>
      </c>
      <c r="F80" s="41">
        <v>167510244138.78601</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28" x14ac:dyDescent="0.3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35">
      <c r="A8" s="1"/>
      <c r="B8" s="5"/>
      <c r="C8" s="46" t="s">
        <v>322</v>
      </c>
      <c r="D8" s="47">
        <v>583.54779199999996</v>
      </c>
      <c r="E8" s="47">
        <v>1613910</v>
      </c>
      <c r="F8" s="47">
        <v>81</v>
      </c>
      <c r="G8" s="48">
        <v>358</v>
      </c>
      <c r="H8" s="48">
        <v>372</v>
      </c>
      <c r="I8" s="48">
        <v>361.57393658878101</v>
      </c>
      <c r="J8" s="48">
        <v>359</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92.527299999999997</v>
      </c>
      <c r="E9" s="47">
        <v>2474</v>
      </c>
      <c r="F9" s="47">
        <v>33</v>
      </c>
      <c r="G9" s="48">
        <v>37100</v>
      </c>
      <c r="H9" s="48">
        <v>37680</v>
      </c>
      <c r="I9" s="48">
        <v>37399.878738884399</v>
      </c>
      <c r="J9" s="48">
        <v>37500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12.214079999999999</v>
      </c>
      <c r="E10" s="47">
        <v>798</v>
      </c>
      <c r="F10" s="47">
        <v>37</v>
      </c>
      <c r="G10" s="46"/>
      <c r="H10" s="46"/>
      <c r="I10" s="48">
        <v>15305.864661654099</v>
      </c>
      <c r="J10" s="48">
        <v>15320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1016.8224</v>
      </c>
      <c r="E11" s="47">
        <v>191880</v>
      </c>
      <c r="F11" s="47">
        <v>278</v>
      </c>
      <c r="G11" s="48">
        <v>5190</v>
      </c>
      <c r="H11" s="48">
        <v>5400</v>
      </c>
      <c r="I11" s="48">
        <v>5299.2620387742299</v>
      </c>
      <c r="J11" s="48">
        <v>5260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2864.9138800000001</v>
      </c>
      <c r="E12" s="47">
        <v>243468</v>
      </c>
      <c r="F12" s="47">
        <v>469</v>
      </c>
      <c r="G12" s="48">
        <v>11660</v>
      </c>
      <c r="H12" s="48">
        <v>11900</v>
      </c>
      <c r="I12" s="48">
        <v>11767.1064780587</v>
      </c>
      <c r="J12" s="48">
        <v>11660</v>
      </c>
      <c r="K12" s="47">
        <v>399.40525329000002</v>
      </c>
      <c r="L12" s="47">
        <v>53670</v>
      </c>
      <c r="M12" s="47">
        <v>3</v>
      </c>
      <c r="N12" s="46"/>
      <c r="O12" s="48">
        <v>12.5</v>
      </c>
      <c r="P12" s="48">
        <v>12.555000305175801</v>
      </c>
      <c r="Q12" s="48">
        <v>12.6169996261597</v>
      </c>
      <c r="R12" s="46"/>
      <c r="S12" s="47">
        <v>710.46619999999996</v>
      </c>
      <c r="T12" s="47">
        <v>60209</v>
      </c>
      <c r="U12" s="47">
        <v>1</v>
      </c>
      <c r="V12" s="48">
        <v>14</v>
      </c>
      <c r="W12" s="46"/>
      <c r="X12" s="46"/>
      <c r="Y12" s="46"/>
      <c r="Z12" s="46"/>
      <c r="AA12" s="1"/>
      <c r="AB12" s="6"/>
      <c r="AC12" s="1"/>
      <c r="AD12" s="1"/>
    </row>
    <row r="13" spans="1:30" x14ac:dyDescent="0.35">
      <c r="A13" s="1"/>
      <c r="B13" s="5"/>
      <c r="C13" s="46" t="s">
        <v>264</v>
      </c>
      <c r="D13" s="47">
        <v>7584.0744599999998</v>
      </c>
      <c r="E13" s="47">
        <v>94643</v>
      </c>
      <c r="F13" s="47">
        <v>344</v>
      </c>
      <c r="G13" s="48">
        <v>77040</v>
      </c>
      <c r="H13" s="48">
        <v>81420</v>
      </c>
      <c r="I13" s="48">
        <v>80133.4959796287</v>
      </c>
      <c r="J13" s="48">
        <v>79960</v>
      </c>
      <c r="K13" s="47">
        <v>1704.1484170000001</v>
      </c>
      <c r="L13" s="47">
        <v>36840</v>
      </c>
      <c r="M13" s="47">
        <v>6</v>
      </c>
      <c r="N13" s="46"/>
      <c r="O13" s="46"/>
      <c r="P13" s="48">
        <v>11.671999931335399</v>
      </c>
      <c r="Q13" s="48">
        <v>12.6169996261597</v>
      </c>
      <c r="R13" s="46"/>
      <c r="S13" s="47">
        <v>0</v>
      </c>
      <c r="T13" s="46"/>
      <c r="U13" s="46"/>
      <c r="V13" s="46"/>
      <c r="W13" s="46"/>
      <c r="X13" s="46"/>
      <c r="Y13" s="46"/>
      <c r="Z13" s="46"/>
      <c r="AA13" s="1"/>
      <c r="AB13" s="6"/>
      <c r="AC13" s="1"/>
      <c r="AD13" s="1"/>
    </row>
    <row r="14" spans="1:30" x14ac:dyDescent="0.35">
      <c r="A14" s="1"/>
      <c r="B14" s="5"/>
      <c r="C14" s="46" t="s">
        <v>306</v>
      </c>
      <c r="D14" s="47">
        <v>98.647976999999997</v>
      </c>
      <c r="E14" s="47">
        <v>230506</v>
      </c>
      <c r="F14" s="47">
        <v>21</v>
      </c>
      <c r="G14" s="48">
        <v>428</v>
      </c>
      <c r="H14" s="48">
        <v>428</v>
      </c>
      <c r="I14" s="48">
        <v>427.96272982048202</v>
      </c>
      <c r="J14" s="48">
        <v>428</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1254.3795</v>
      </c>
      <c r="E15" s="47">
        <v>66373</v>
      </c>
      <c r="F15" s="47">
        <v>152</v>
      </c>
      <c r="G15" s="48">
        <v>18700</v>
      </c>
      <c r="H15" s="48">
        <v>19040</v>
      </c>
      <c r="I15" s="48">
        <v>18898.9423410122</v>
      </c>
      <c r="J15" s="48">
        <v>19020</v>
      </c>
      <c r="K15" s="47">
        <v>293</v>
      </c>
      <c r="L15" s="47">
        <v>19405</v>
      </c>
      <c r="M15" s="47">
        <v>1</v>
      </c>
      <c r="N15" s="46"/>
      <c r="O15" s="46"/>
      <c r="P15" s="48">
        <v>12.5</v>
      </c>
      <c r="Q15" s="46"/>
      <c r="R15" s="46"/>
      <c r="S15" s="47">
        <v>0</v>
      </c>
      <c r="T15" s="46"/>
      <c r="U15" s="46"/>
      <c r="V15" s="46"/>
      <c r="W15" s="46"/>
      <c r="X15" s="46"/>
      <c r="Y15" s="46"/>
      <c r="Z15" s="46"/>
      <c r="AA15" s="1"/>
      <c r="AB15" s="6"/>
      <c r="AC15" s="1"/>
      <c r="AD15" s="1"/>
    </row>
    <row r="16" spans="1:30" x14ac:dyDescent="0.35">
      <c r="A16" s="1"/>
      <c r="B16" s="5"/>
      <c r="C16" s="46" t="s">
        <v>268</v>
      </c>
      <c r="D16" s="47">
        <v>80504.493765000007</v>
      </c>
      <c r="E16" s="47">
        <v>30970192</v>
      </c>
      <c r="F16" s="47">
        <v>1244</v>
      </c>
      <c r="G16" s="48">
        <v>2570</v>
      </c>
      <c r="H16" s="48">
        <v>2630</v>
      </c>
      <c r="I16" s="48">
        <v>2599.4186204916</v>
      </c>
      <c r="J16" s="48">
        <v>2630</v>
      </c>
      <c r="K16" s="47">
        <v>40</v>
      </c>
      <c r="L16" s="47">
        <v>19227</v>
      </c>
      <c r="M16" s="47">
        <v>1</v>
      </c>
      <c r="N16" s="46"/>
      <c r="O16" s="46"/>
      <c r="P16" s="48">
        <v>12.5</v>
      </c>
      <c r="Q16" s="46"/>
      <c r="R16" s="46"/>
      <c r="S16" s="47">
        <v>0</v>
      </c>
      <c r="T16" s="46"/>
      <c r="U16" s="46"/>
      <c r="V16" s="46"/>
      <c r="W16" s="46"/>
      <c r="X16" s="46"/>
      <c r="Y16" s="46"/>
      <c r="Z16" s="46"/>
      <c r="AA16" s="1"/>
      <c r="AB16" s="6"/>
      <c r="AC16" s="1"/>
      <c r="AD16" s="1"/>
    </row>
    <row r="17" spans="1:30" x14ac:dyDescent="0.35">
      <c r="A17" s="1"/>
      <c r="B17" s="5"/>
      <c r="C17" s="46" t="s">
        <v>308</v>
      </c>
      <c r="D17" s="47">
        <v>3.1135999999999999</v>
      </c>
      <c r="E17" s="47">
        <v>6934</v>
      </c>
      <c r="F17" s="47">
        <v>2</v>
      </c>
      <c r="G17" s="46"/>
      <c r="H17" s="46"/>
      <c r="I17" s="48">
        <v>449.03374675511998</v>
      </c>
      <c r="J17" s="48">
        <v>480</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310</v>
      </c>
      <c r="D18" s="47">
        <v>7.8834311000000001</v>
      </c>
      <c r="E18" s="47">
        <v>410925</v>
      </c>
      <c r="F18" s="47">
        <v>17</v>
      </c>
      <c r="G18" s="46"/>
      <c r="H18" s="46"/>
      <c r="I18" s="48">
        <v>19.1845984060352</v>
      </c>
      <c r="J18" s="48">
        <v>19.100000000000001</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312</v>
      </c>
      <c r="D19" s="47">
        <v>23.325514999999999</v>
      </c>
      <c r="E19" s="47">
        <v>320381</v>
      </c>
      <c r="F19" s="47">
        <v>17</v>
      </c>
      <c r="G19" s="48">
        <v>75</v>
      </c>
      <c r="H19" s="48">
        <v>75</v>
      </c>
      <c r="I19" s="48">
        <v>72.805550266713695</v>
      </c>
      <c r="J19" s="48">
        <v>75</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270</v>
      </c>
      <c r="D20" s="47">
        <v>70.076650000000001</v>
      </c>
      <c r="E20" s="47">
        <v>14691</v>
      </c>
      <c r="F20" s="47">
        <v>59</v>
      </c>
      <c r="G20" s="48">
        <v>4725</v>
      </c>
      <c r="H20" s="48">
        <v>4790</v>
      </c>
      <c r="I20" s="48">
        <v>4770.0394799537098</v>
      </c>
      <c r="J20" s="48">
        <v>4770</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3047.1694200000002</v>
      </c>
      <c r="E21" s="47">
        <v>1022107</v>
      </c>
      <c r="F21" s="47">
        <v>406</v>
      </c>
      <c r="G21" s="48">
        <v>2960</v>
      </c>
      <c r="H21" s="48">
        <v>3000</v>
      </c>
      <c r="I21" s="48">
        <v>2981.2626466700599</v>
      </c>
      <c r="J21" s="48">
        <v>2975</v>
      </c>
      <c r="K21" s="47">
        <v>2520.4364999999998</v>
      </c>
      <c r="L21" s="47">
        <v>1089744</v>
      </c>
      <c r="M21" s="47">
        <v>4</v>
      </c>
      <c r="N21" s="48">
        <v>12.7084943392512</v>
      </c>
      <c r="O21" s="48">
        <v>12.5</v>
      </c>
      <c r="P21" s="46"/>
      <c r="Q21" s="46"/>
      <c r="R21" s="46"/>
      <c r="S21" s="47">
        <v>0</v>
      </c>
      <c r="T21" s="46"/>
      <c r="U21" s="46"/>
      <c r="V21" s="46"/>
      <c r="W21" s="46"/>
      <c r="X21" s="46"/>
      <c r="Y21" s="46"/>
      <c r="Z21" s="46"/>
      <c r="AA21" s="1"/>
      <c r="AB21" s="6"/>
      <c r="AC21" s="1"/>
      <c r="AD21" s="1"/>
    </row>
    <row r="22" spans="1:30" x14ac:dyDescent="0.35">
      <c r="A22" s="1"/>
      <c r="B22" s="5"/>
      <c r="C22" s="46" t="s">
        <v>274</v>
      </c>
      <c r="D22" s="47">
        <v>70.352080000000001</v>
      </c>
      <c r="E22" s="47">
        <v>864</v>
      </c>
      <c r="F22" s="47">
        <v>28</v>
      </c>
      <c r="G22" s="48">
        <v>80160</v>
      </c>
      <c r="H22" s="48">
        <v>82960</v>
      </c>
      <c r="I22" s="48">
        <v>81426.018518518496</v>
      </c>
      <c r="J22" s="48">
        <v>81420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2915.0065199999999</v>
      </c>
      <c r="E23" s="47">
        <v>163408</v>
      </c>
      <c r="F23" s="47">
        <v>421</v>
      </c>
      <c r="G23" s="48">
        <v>17600</v>
      </c>
      <c r="H23" s="48">
        <v>18100</v>
      </c>
      <c r="I23" s="48">
        <v>17838.823802996201</v>
      </c>
      <c r="J23" s="48">
        <v>17900</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316</v>
      </c>
      <c r="D24" s="47">
        <v>40.337609999999998</v>
      </c>
      <c r="E24" s="47">
        <v>48669</v>
      </c>
      <c r="F24" s="47">
        <v>53</v>
      </c>
      <c r="G24" s="48">
        <v>810</v>
      </c>
      <c r="H24" s="48">
        <v>847</v>
      </c>
      <c r="I24" s="48">
        <v>828.81526228194502</v>
      </c>
      <c r="J24" s="48">
        <v>810</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1713.3102200000001</v>
      </c>
      <c r="E25" s="47">
        <v>31751</v>
      </c>
      <c r="F25" s="47">
        <v>145</v>
      </c>
      <c r="G25" s="48">
        <v>53680</v>
      </c>
      <c r="H25" s="48">
        <v>54160</v>
      </c>
      <c r="I25" s="48">
        <v>53960.827060565003</v>
      </c>
      <c r="J25" s="48">
        <v>53900</v>
      </c>
      <c r="K25" s="47">
        <v>0</v>
      </c>
      <c r="L25" s="46"/>
      <c r="M25" s="46"/>
      <c r="N25" s="46"/>
      <c r="O25" s="46"/>
      <c r="P25" s="46"/>
      <c r="Q25" s="46"/>
      <c r="R25" s="46"/>
      <c r="S25" s="47">
        <v>0</v>
      </c>
      <c r="T25" s="46"/>
      <c r="U25" s="46"/>
      <c r="V25" s="46"/>
      <c r="W25" s="46"/>
      <c r="X25" s="46"/>
      <c r="Y25" s="46"/>
      <c r="Z25" s="46"/>
      <c r="AA25" s="1"/>
      <c r="AB25" s="6"/>
      <c r="AC25" s="1"/>
      <c r="AD25" s="1"/>
    </row>
    <row r="26" spans="1:30" x14ac:dyDescent="0.35">
      <c r="A26" s="1"/>
      <c r="B26" s="5"/>
      <c r="C26" s="46" t="s">
        <v>549</v>
      </c>
      <c r="D26" s="47">
        <v>26.003920000000001</v>
      </c>
      <c r="E26" s="47">
        <v>437</v>
      </c>
      <c r="F26" s="47">
        <v>11</v>
      </c>
      <c r="G26" s="48">
        <v>59000</v>
      </c>
      <c r="H26" s="48">
        <v>59600</v>
      </c>
      <c r="I26" s="48">
        <v>59505.537757437101</v>
      </c>
      <c r="J26" s="48">
        <v>59600</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551</v>
      </c>
      <c r="D27" s="47">
        <v>62.879319500000001</v>
      </c>
      <c r="E27" s="47">
        <v>2391</v>
      </c>
      <c r="F27" s="47">
        <v>15</v>
      </c>
      <c r="G27" s="48">
        <v>26235.5</v>
      </c>
      <c r="H27" s="48">
        <v>26396</v>
      </c>
      <c r="I27" s="48">
        <v>26298.335215390998</v>
      </c>
      <c r="J27" s="48">
        <v>26396</v>
      </c>
      <c r="K27" s="47">
        <v>0</v>
      </c>
      <c r="L27" s="46"/>
      <c r="M27" s="46"/>
      <c r="N27" s="46"/>
      <c r="O27" s="46"/>
      <c r="P27" s="46"/>
      <c r="Q27" s="46"/>
      <c r="R27" s="46"/>
      <c r="S27" s="47">
        <v>26.318999999999999</v>
      </c>
      <c r="T27" s="47">
        <v>1000</v>
      </c>
      <c r="U27" s="47">
        <v>1</v>
      </c>
      <c r="V27" s="48">
        <v>20</v>
      </c>
      <c r="W27" s="46"/>
      <c r="X27" s="46"/>
      <c r="Y27" s="46"/>
      <c r="Z27" s="46"/>
      <c r="AA27" s="1"/>
      <c r="AB27" s="6"/>
      <c r="AC27" s="1"/>
      <c r="AD27" s="1"/>
    </row>
    <row r="28" spans="1:30" x14ac:dyDescent="0.35">
      <c r="A28" s="1"/>
      <c r="B28" s="5"/>
      <c r="C28" s="46" t="s">
        <v>624</v>
      </c>
      <c r="D28" s="47">
        <v>0</v>
      </c>
      <c r="E28" s="46"/>
      <c r="F28" s="46"/>
      <c r="G28" s="46"/>
      <c r="H28" s="46"/>
      <c r="I28" s="46"/>
      <c r="J28" s="48">
        <v>394400</v>
      </c>
      <c r="K28" s="47">
        <v>800</v>
      </c>
      <c r="L28" s="47">
        <v>2286</v>
      </c>
      <c r="M28" s="47">
        <v>1</v>
      </c>
      <c r="N28" s="46"/>
      <c r="O28" s="46"/>
      <c r="P28" s="48">
        <v>12.5</v>
      </c>
      <c r="Q28" s="46"/>
      <c r="R28" s="46"/>
      <c r="S28" s="47">
        <v>0</v>
      </c>
      <c r="T28" s="46"/>
      <c r="U28" s="46"/>
      <c r="V28" s="46"/>
      <c r="W28" s="46"/>
      <c r="X28" s="46"/>
      <c r="Y28" s="46"/>
      <c r="Z28" s="46"/>
      <c r="AA28" s="1"/>
      <c r="AB28" s="6"/>
      <c r="AC28" s="1"/>
      <c r="AD28" s="1"/>
    </row>
    <row r="29" spans="1:30" x14ac:dyDescent="0.35">
      <c r="A29" s="1"/>
      <c r="B29" s="5"/>
      <c r="C29" s="46" t="s">
        <v>553</v>
      </c>
      <c r="D29" s="47">
        <v>8670.9464674999999</v>
      </c>
      <c r="E29" s="47">
        <v>381209</v>
      </c>
      <c r="F29" s="47">
        <v>160</v>
      </c>
      <c r="G29" s="48">
        <v>22710</v>
      </c>
      <c r="H29" s="48">
        <v>22964</v>
      </c>
      <c r="I29" s="48">
        <v>22745.912262040001</v>
      </c>
      <c r="J29" s="48">
        <v>22710.5</v>
      </c>
      <c r="K29" s="47">
        <v>0</v>
      </c>
      <c r="L29" s="46"/>
      <c r="M29" s="46"/>
      <c r="N29" s="46"/>
      <c r="O29" s="46"/>
      <c r="P29" s="46"/>
      <c r="Q29" s="46"/>
      <c r="R29" s="46"/>
      <c r="S29" s="47">
        <v>0</v>
      </c>
      <c r="T29" s="46"/>
      <c r="U29" s="46"/>
      <c r="V29" s="46"/>
      <c r="W29" s="46"/>
      <c r="X29" s="46"/>
      <c r="Y29" s="46"/>
      <c r="Z29" s="46"/>
      <c r="AA29" s="1"/>
      <c r="AB29" s="6"/>
      <c r="AC29" s="1"/>
      <c r="AD29" s="1"/>
    </row>
    <row r="30" spans="1:30" x14ac:dyDescent="0.35">
      <c r="A30" s="1"/>
      <c r="B30" s="5"/>
      <c r="C30" s="46" t="s">
        <v>280</v>
      </c>
      <c r="D30" s="47">
        <v>5254.6476000000002</v>
      </c>
      <c r="E30" s="47">
        <v>175647</v>
      </c>
      <c r="F30" s="47">
        <v>377</v>
      </c>
      <c r="G30" s="48">
        <v>28340</v>
      </c>
      <c r="H30" s="48">
        <v>30240</v>
      </c>
      <c r="I30" s="48">
        <v>29915.9541580556</v>
      </c>
      <c r="J30" s="48">
        <v>30000</v>
      </c>
      <c r="K30" s="47">
        <v>0</v>
      </c>
      <c r="L30" s="46"/>
      <c r="M30" s="46"/>
      <c r="N30" s="46"/>
      <c r="O30" s="46"/>
      <c r="P30" s="46"/>
      <c r="Q30" s="46"/>
      <c r="R30" s="46"/>
      <c r="S30" s="47">
        <v>0</v>
      </c>
      <c r="T30" s="46"/>
      <c r="U30" s="46"/>
      <c r="V30" s="46"/>
      <c r="W30" s="46"/>
      <c r="X30" s="46"/>
      <c r="Y30" s="46"/>
      <c r="Z30" s="46"/>
      <c r="AA30" s="1"/>
      <c r="AB30" s="6"/>
      <c r="AC30" s="1"/>
      <c r="AD30" s="1"/>
    </row>
    <row r="31" spans="1:30" x14ac:dyDescent="0.35">
      <c r="A31" s="1"/>
      <c r="B31" s="5"/>
      <c r="C31" s="46" t="s">
        <v>282</v>
      </c>
      <c r="D31" s="47">
        <v>2116.9205000000002</v>
      </c>
      <c r="E31" s="47">
        <v>133896</v>
      </c>
      <c r="F31" s="47">
        <v>407</v>
      </c>
      <c r="G31" s="48">
        <v>15500</v>
      </c>
      <c r="H31" s="48">
        <v>16000</v>
      </c>
      <c r="I31" s="48">
        <v>15810.184770269499</v>
      </c>
      <c r="J31" s="48">
        <v>15500</v>
      </c>
      <c r="K31" s="47">
        <v>1071.625</v>
      </c>
      <c r="L31" s="47">
        <v>87894</v>
      </c>
      <c r="M31" s="47">
        <v>3</v>
      </c>
      <c r="N31" s="46"/>
      <c r="O31" s="48">
        <v>12.75</v>
      </c>
      <c r="P31" s="48">
        <v>12.5</v>
      </c>
      <c r="Q31" s="46"/>
      <c r="R31" s="46"/>
      <c r="S31" s="47">
        <v>0</v>
      </c>
      <c r="T31" s="46"/>
      <c r="U31" s="46"/>
      <c r="V31" s="46"/>
      <c r="W31" s="46"/>
      <c r="X31" s="46"/>
      <c r="Y31" s="46"/>
      <c r="Z31" s="46"/>
      <c r="AA31" s="1"/>
      <c r="AB31" s="6"/>
      <c r="AC31" s="1"/>
      <c r="AD31" s="1"/>
    </row>
    <row r="32" spans="1:30" x14ac:dyDescent="0.35">
      <c r="A32" s="1"/>
      <c r="B32" s="5"/>
      <c r="C32" s="46" t="s">
        <v>625</v>
      </c>
      <c r="D32" s="47">
        <v>0</v>
      </c>
      <c r="E32" s="46"/>
      <c r="F32" s="46"/>
      <c r="G32" s="46"/>
      <c r="H32" s="46"/>
      <c r="I32" s="46"/>
      <c r="J32" s="48">
        <v>45220</v>
      </c>
      <c r="K32" s="47">
        <v>266</v>
      </c>
      <c r="L32" s="47">
        <v>10335</v>
      </c>
      <c r="M32" s="47">
        <v>1</v>
      </c>
      <c r="N32" s="46"/>
      <c r="O32" s="46"/>
      <c r="P32" s="48">
        <v>12.5</v>
      </c>
      <c r="Q32" s="46"/>
      <c r="R32" s="46"/>
      <c r="S32" s="47">
        <v>0</v>
      </c>
      <c r="T32" s="46"/>
      <c r="U32" s="46"/>
      <c r="V32" s="46"/>
      <c r="W32" s="46"/>
      <c r="X32" s="46"/>
      <c r="Y32" s="46"/>
      <c r="Z32" s="46"/>
      <c r="AA32" s="1"/>
      <c r="AB32" s="6"/>
      <c r="AC32" s="1"/>
      <c r="AD32" s="1"/>
    </row>
    <row r="33" spans="1:30" x14ac:dyDescent="0.35">
      <c r="A33" s="1"/>
      <c r="B33" s="5"/>
      <c r="C33" s="46" t="s">
        <v>324</v>
      </c>
      <c r="D33" s="47">
        <v>281.14251999999999</v>
      </c>
      <c r="E33" s="47">
        <v>916</v>
      </c>
      <c r="F33" s="47">
        <v>35</v>
      </c>
      <c r="G33" s="48">
        <v>289020</v>
      </c>
      <c r="H33" s="48">
        <v>311380</v>
      </c>
      <c r="I33" s="48">
        <v>306924.14847161598</v>
      </c>
      <c r="J33" s="48">
        <v>308680</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284</v>
      </c>
      <c r="D34" s="47">
        <v>923.07500000000005</v>
      </c>
      <c r="E34" s="47">
        <v>13736</v>
      </c>
      <c r="F34" s="47">
        <v>107</v>
      </c>
      <c r="G34" s="48">
        <v>66520</v>
      </c>
      <c r="H34" s="48">
        <v>67980</v>
      </c>
      <c r="I34" s="48">
        <v>67201.150262084993</v>
      </c>
      <c r="J34" s="48">
        <v>67160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286</v>
      </c>
      <c r="D35" s="47">
        <v>2352.2189429999999</v>
      </c>
      <c r="E35" s="47">
        <v>2878020</v>
      </c>
      <c r="F35" s="47">
        <v>862</v>
      </c>
      <c r="G35" s="48">
        <v>805</v>
      </c>
      <c r="H35" s="48">
        <v>834</v>
      </c>
      <c r="I35" s="48">
        <v>817.30458544416001</v>
      </c>
      <c r="J35" s="48">
        <v>811</v>
      </c>
      <c r="K35" s="47">
        <v>1000</v>
      </c>
      <c r="L35" s="47">
        <v>2000000</v>
      </c>
      <c r="M35" s="47">
        <v>1</v>
      </c>
      <c r="N35" s="46"/>
      <c r="O35" s="46"/>
      <c r="P35" s="46"/>
      <c r="Q35" s="46"/>
      <c r="R35" s="48">
        <v>11.710000038146999</v>
      </c>
      <c r="S35" s="47">
        <v>0</v>
      </c>
      <c r="T35" s="46"/>
      <c r="U35" s="46"/>
      <c r="V35" s="46"/>
      <c r="W35" s="46"/>
      <c r="X35" s="46"/>
      <c r="Y35" s="46"/>
      <c r="Z35" s="46"/>
      <c r="AA35" s="1"/>
      <c r="AB35" s="6"/>
      <c r="AC35" s="1"/>
      <c r="AD35" s="1"/>
    </row>
    <row r="36" spans="1:30" x14ac:dyDescent="0.35">
      <c r="A36" s="1"/>
      <c r="B36" s="5"/>
      <c r="C36" s="46" t="s">
        <v>319</v>
      </c>
      <c r="D36" s="47">
        <v>6.3949600000000002</v>
      </c>
      <c r="E36" s="47">
        <v>553</v>
      </c>
      <c r="F36" s="47">
        <v>35</v>
      </c>
      <c r="G36" s="46"/>
      <c r="H36" s="46"/>
      <c r="I36" s="48">
        <v>11564.122965642</v>
      </c>
      <c r="J36" s="48">
        <v>11740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288</v>
      </c>
      <c r="D37" s="47">
        <v>21125.224160000002</v>
      </c>
      <c r="E37" s="47">
        <v>316028</v>
      </c>
      <c r="F37" s="47">
        <v>837</v>
      </c>
      <c r="G37" s="48">
        <v>66020</v>
      </c>
      <c r="H37" s="48">
        <v>67300</v>
      </c>
      <c r="I37" s="48">
        <v>66846.052121963905</v>
      </c>
      <c r="J37" s="48">
        <v>67100</v>
      </c>
      <c r="K37" s="47">
        <v>395</v>
      </c>
      <c r="L37" s="47">
        <v>7305</v>
      </c>
      <c r="M37" s="47">
        <v>2</v>
      </c>
      <c r="N37" s="48">
        <v>12</v>
      </c>
      <c r="O37" s="46"/>
      <c r="P37" s="46"/>
      <c r="Q37" s="46"/>
      <c r="R37" s="46"/>
      <c r="S37" s="47">
        <v>0</v>
      </c>
      <c r="T37" s="46"/>
      <c r="U37" s="46"/>
      <c r="V37" s="46"/>
      <c r="W37" s="46"/>
      <c r="X37" s="46"/>
      <c r="Y37" s="46"/>
      <c r="Z37" s="46"/>
      <c r="AA37" s="1"/>
      <c r="AB37" s="6"/>
      <c r="AC37" s="1"/>
      <c r="AD37" s="1"/>
    </row>
    <row r="38" spans="1:30" x14ac:dyDescent="0.35">
      <c r="A38" s="1"/>
      <c r="B38" s="5"/>
      <c r="C38" s="46" t="s">
        <v>289</v>
      </c>
      <c r="D38" s="47">
        <v>282.84222</v>
      </c>
      <c r="E38" s="47">
        <v>16390</v>
      </c>
      <c r="F38" s="47">
        <v>42</v>
      </c>
      <c r="G38" s="48">
        <v>17120</v>
      </c>
      <c r="H38" s="48">
        <v>17500</v>
      </c>
      <c r="I38" s="48">
        <v>17256.9993898719</v>
      </c>
      <c r="J38" s="48">
        <v>17300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290</v>
      </c>
      <c r="D39" s="47">
        <v>2685.8405200000002</v>
      </c>
      <c r="E39" s="47">
        <v>84316</v>
      </c>
      <c r="F39" s="47">
        <v>100</v>
      </c>
      <c r="G39" s="48">
        <v>31200</v>
      </c>
      <c r="H39" s="48">
        <v>32100</v>
      </c>
      <c r="I39" s="48">
        <v>31854.4584657716</v>
      </c>
      <c r="J39" s="48">
        <v>31940</v>
      </c>
      <c r="K39" s="47">
        <v>0</v>
      </c>
      <c r="L39" s="46"/>
      <c r="M39" s="46"/>
      <c r="N39" s="46"/>
      <c r="O39" s="46"/>
      <c r="P39" s="46"/>
      <c r="Q39" s="46"/>
      <c r="R39" s="46"/>
      <c r="S39" s="47">
        <v>0</v>
      </c>
      <c r="T39" s="46"/>
      <c r="U39" s="46"/>
      <c r="V39" s="46"/>
      <c r="W39" s="46"/>
      <c r="X39" s="46"/>
      <c r="Y39" s="46"/>
      <c r="Z39" s="46"/>
      <c r="AA39" s="1"/>
      <c r="AB39" s="6"/>
      <c r="AC39" s="1"/>
      <c r="AD39" s="1"/>
    </row>
    <row r="40" spans="1:30" x14ac:dyDescent="0.35">
      <c r="A40" s="1"/>
      <c r="B40" s="5"/>
      <c r="C40" s="46" t="s">
        <v>326</v>
      </c>
      <c r="D40" s="47">
        <v>166.71835999999999</v>
      </c>
      <c r="E40" s="47">
        <v>6714</v>
      </c>
      <c r="F40" s="47">
        <v>47</v>
      </c>
      <c r="G40" s="48">
        <v>24500</v>
      </c>
      <c r="H40" s="48">
        <v>24900</v>
      </c>
      <c r="I40" s="48">
        <v>24831.4507000298</v>
      </c>
      <c r="J40" s="48">
        <v>24760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292</v>
      </c>
      <c r="D41" s="47">
        <v>5409.8231400000004</v>
      </c>
      <c r="E41" s="47">
        <v>438820</v>
      </c>
      <c r="F41" s="47">
        <v>232</v>
      </c>
      <c r="G41" s="48">
        <v>12300</v>
      </c>
      <c r="H41" s="48">
        <v>12500</v>
      </c>
      <c r="I41" s="48">
        <v>12328.1143521262</v>
      </c>
      <c r="J41" s="48">
        <v>12300</v>
      </c>
      <c r="K41" s="47">
        <v>705.12277825000001</v>
      </c>
      <c r="L41" s="47">
        <v>79819</v>
      </c>
      <c r="M41" s="47">
        <v>3</v>
      </c>
      <c r="N41" s="46"/>
      <c r="O41" s="46"/>
      <c r="P41" s="48">
        <v>12.555000305175801</v>
      </c>
      <c r="Q41" s="48">
        <v>12.6169996261597</v>
      </c>
      <c r="R41" s="46"/>
      <c r="S41" s="47">
        <v>0</v>
      </c>
      <c r="T41" s="46"/>
      <c r="U41" s="46"/>
      <c r="V41" s="46"/>
      <c r="W41" s="46"/>
      <c r="X41" s="46"/>
      <c r="Y41" s="46"/>
      <c r="Z41" s="46"/>
      <c r="AA41" s="1"/>
      <c r="AB41" s="6"/>
      <c r="AC41" s="1"/>
      <c r="AD41" s="1"/>
    </row>
    <row r="42" spans="1:30" x14ac:dyDescent="0.35">
      <c r="A42" s="1"/>
      <c r="B42" s="5"/>
      <c r="C42" s="46" t="s">
        <v>293</v>
      </c>
      <c r="D42" s="47">
        <v>2801.91048</v>
      </c>
      <c r="E42" s="47">
        <v>63200</v>
      </c>
      <c r="F42" s="47">
        <v>236</v>
      </c>
      <c r="G42" s="48">
        <v>44000</v>
      </c>
      <c r="H42" s="48">
        <v>45380</v>
      </c>
      <c r="I42" s="48">
        <v>44334.0265822785</v>
      </c>
      <c r="J42" s="48">
        <v>44020</v>
      </c>
      <c r="K42" s="47">
        <v>915</v>
      </c>
      <c r="L42" s="47">
        <v>44250</v>
      </c>
      <c r="M42" s="47">
        <v>2</v>
      </c>
      <c r="N42" s="46"/>
      <c r="O42" s="46"/>
      <c r="P42" s="46"/>
      <c r="Q42" s="48">
        <v>9.7344236373901403</v>
      </c>
      <c r="R42" s="46"/>
      <c r="S42" s="47">
        <v>0</v>
      </c>
      <c r="T42" s="46"/>
      <c r="U42" s="46"/>
      <c r="V42" s="46"/>
      <c r="W42" s="46"/>
      <c r="X42" s="46"/>
      <c r="Y42" s="46"/>
      <c r="Z42" s="46"/>
      <c r="AA42" s="1"/>
      <c r="AB42" s="6"/>
      <c r="AC42" s="1"/>
      <c r="AD42" s="1"/>
    </row>
    <row r="43" spans="1:30" x14ac:dyDescent="0.35">
      <c r="A43" s="1"/>
      <c r="B43" s="5"/>
      <c r="C43" s="46" t="s">
        <v>294</v>
      </c>
      <c r="D43" s="47">
        <v>128.53675000000001</v>
      </c>
      <c r="E43" s="47">
        <v>19389</v>
      </c>
      <c r="F43" s="47">
        <v>29</v>
      </c>
      <c r="G43" s="48">
        <v>6580</v>
      </c>
      <c r="H43" s="48">
        <v>6640</v>
      </c>
      <c r="I43" s="48">
        <v>6629.3645881685497</v>
      </c>
      <c r="J43" s="48">
        <v>6630</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5"/>
      <c r="C44" s="46" t="s">
        <v>296</v>
      </c>
      <c r="D44" s="47">
        <v>166.31168</v>
      </c>
      <c r="E44" s="47">
        <v>9161</v>
      </c>
      <c r="F44" s="47">
        <v>175</v>
      </c>
      <c r="G44" s="48">
        <v>18040</v>
      </c>
      <c r="H44" s="48">
        <v>18500</v>
      </c>
      <c r="I44" s="48">
        <v>18154.315031110102</v>
      </c>
      <c r="J44" s="48">
        <v>18100</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9"/>
      <c r="C45" s="46" t="s">
        <v>573</v>
      </c>
      <c r="D45" s="47">
        <v>185.33524</v>
      </c>
      <c r="E45" s="47">
        <v>13406</v>
      </c>
      <c r="F45" s="47">
        <v>43</v>
      </c>
      <c r="G45" s="48">
        <v>13800</v>
      </c>
      <c r="H45" s="48">
        <v>13820</v>
      </c>
      <c r="I45" s="48">
        <v>13824.797851708199</v>
      </c>
      <c r="J45" s="48">
        <v>13800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626</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627</v>
      </c>
      <c r="E7" s="43" t="s">
        <v>628</v>
      </c>
      <c r="F7" s="43" t="s">
        <v>629</v>
      </c>
      <c r="G7" s="43" t="s">
        <v>630</v>
      </c>
      <c r="H7" s="43" t="s">
        <v>631</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632</v>
      </c>
      <c r="D10" s="86"/>
      <c r="E10" s="86"/>
      <c r="F10" s="86"/>
      <c r="G10" s="86"/>
      <c r="H10" s="87"/>
      <c r="I10" s="1"/>
      <c r="J10" s="1"/>
      <c r="K10" s="6"/>
      <c r="L10" s="1"/>
      <c r="M10" s="1"/>
    </row>
    <row r="11" spans="1:13" ht="18" customHeight="1" x14ac:dyDescent="0.35">
      <c r="A11" s="1"/>
      <c r="B11" s="5"/>
      <c r="C11" s="85" t="s">
        <v>633</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634</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635</v>
      </c>
      <c r="E15" s="43" t="s">
        <v>629</v>
      </c>
      <c r="F15" s="43" t="s">
        <v>236</v>
      </c>
      <c r="G15" s="43" t="s">
        <v>630</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636</v>
      </c>
      <c r="D5" s="43" t="s">
        <v>637</v>
      </c>
      <c r="E5" s="43" t="s">
        <v>635</v>
      </c>
      <c r="F5" s="43" t="s">
        <v>629</v>
      </c>
      <c r="G5" s="43" t="s">
        <v>235</v>
      </c>
      <c r="H5" s="43" t="s">
        <v>236</v>
      </c>
      <c r="I5" s="43" t="s">
        <v>630</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4"/>
  <sheetViews>
    <sheetView showGridLines="0" workbookViewId="0"/>
  </sheetViews>
  <sheetFormatPr baseColWidth="10" defaultRowHeight="14.5" x14ac:dyDescent="0.35"/>
  <cols>
    <col min="1" max="2" width="2.7265625" customWidth="1"/>
    <col min="3" max="8" width="13.7265625" customWidth="1"/>
    <col min="9" max="9" width="25.6328125" customWidth="1"/>
    <col min="10" max="10" width="5.6328125" customWidth="1"/>
    <col min="11" max="11" width="240.2695312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x14ac:dyDescent="0.35">
      <c r="A5" s="1"/>
      <c r="B5" s="5"/>
      <c r="C5" s="43" t="s">
        <v>638</v>
      </c>
      <c r="D5" s="43" t="s">
        <v>639</v>
      </c>
      <c r="E5" s="43" t="s">
        <v>640</v>
      </c>
      <c r="F5" s="43" t="s">
        <v>641</v>
      </c>
      <c r="G5" s="43" t="s">
        <v>642</v>
      </c>
      <c r="H5" s="43" t="s">
        <v>643</v>
      </c>
      <c r="I5" s="1"/>
      <c r="J5" s="6"/>
      <c r="K5" s="1"/>
      <c r="L5" s="1"/>
    </row>
    <row r="6" spans="1:12" x14ac:dyDescent="0.35">
      <c r="A6" s="1"/>
      <c r="B6" s="5"/>
      <c r="C6" s="46" t="s">
        <v>516</v>
      </c>
      <c r="D6" s="46" t="s">
        <v>644</v>
      </c>
      <c r="E6" s="48">
        <v>5350</v>
      </c>
      <c r="F6" s="46">
        <v>1</v>
      </c>
      <c r="G6" s="48">
        <v>2289</v>
      </c>
      <c r="H6" s="47">
        <v>12246150</v>
      </c>
      <c r="I6" s="1"/>
      <c r="J6" s="6"/>
      <c r="K6" s="1"/>
      <c r="L6" s="1"/>
    </row>
    <row r="7" spans="1:12" x14ac:dyDescent="0.35">
      <c r="A7" s="1"/>
      <c r="B7" s="5"/>
      <c r="C7" s="46" t="s">
        <v>516</v>
      </c>
      <c r="D7" s="46" t="s">
        <v>644</v>
      </c>
      <c r="E7" s="48">
        <v>5380</v>
      </c>
      <c r="F7" s="46">
        <v>26</v>
      </c>
      <c r="G7" s="48">
        <v>12554</v>
      </c>
      <c r="H7" s="47">
        <v>67540520</v>
      </c>
      <c r="I7" s="1"/>
      <c r="J7" s="6"/>
      <c r="K7" s="1"/>
      <c r="L7" s="1"/>
    </row>
    <row r="8" spans="1:12" x14ac:dyDescent="0.35">
      <c r="A8" s="1"/>
      <c r="B8" s="5"/>
      <c r="C8" s="46" t="s">
        <v>516</v>
      </c>
      <c r="D8" s="46" t="s">
        <v>645</v>
      </c>
      <c r="E8" s="48">
        <v>11760</v>
      </c>
      <c r="F8" s="46">
        <v>5</v>
      </c>
      <c r="G8" s="48">
        <v>8064</v>
      </c>
      <c r="H8" s="47">
        <v>94832640</v>
      </c>
      <c r="I8" s="1"/>
      <c r="J8" s="6"/>
      <c r="K8" s="1"/>
      <c r="L8" s="1"/>
    </row>
    <row r="9" spans="1:12" x14ac:dyDescent="0.35">
      <c r="A9" s="1"/>
      <c r="B9" s="5"/>
      <c r="C9" s="46" t="s">
        <v>516</v>
      </c>
      <c r="D9" s="46" t="s">
        <v>645</v>
      </c>
      <c r="E9" s="48">
        <v>11780</v>
      </c>
      <c r="F9" s="46">
        <v>8</v>
      </c>
      <c r="G9" s="48">
        <v>6068</v>
      </c>
      <c r="H9" s="47">
        <v>71481040</v>
      </c>
      <c r="I9" s="1"/>
      <c r="J9" s="6"/>
      <c r="K9" s="1"/>
      <c r="L9" s="1"/>
    </row>
    <row r="10" spans="1:12" x14ac:dyDescent="0.35">
      <c r="A10" s="1"/>
      <c r="B10" s="5"/>
      <c r="C10" s="46" t="s">
        <v>516</v>
      </c>
      <c r="D10" s="46" t="s">
        <v>645</v>
      </c>
      <c r="E10" s="48">
        <v>11800</v>
      </c>
      <c r="F10" s="46">
        <v>2</v>
      </c>
      <c r="G10" s="48">
        <v>1101</v>
      </c>
      <c r="H10" s="47">
        <v>12991800</v>
      </c>
      <c r="I10" s="1"/>
      <c r="J10" s="6"/>
      <c r="K10" s="1"/>
      <c r="L10" s="1"/>
    </row>
    <row r="11" spans="1:12" x14ac:dyDescent="0.35">
      <c r="A11" s="1"/>
      <c r="B11" s="5"/>
      <c r="C11" s="46" t="s">
        <v>516</v>
      </c>
      <c r="D11" s="46" t="s">
        <v>645</v>
      </c>
      <c r="E11" s="48">
        <v>11820</v>
      </c>
      <c r="F11" s="46">
        <v>1</v>
      </c>
      <c r="G11" s="48">
        <v>10153</v>
      </c>
      <c r="H11" s="47">
        <v>120008460</v>
      </c>
      <c r="I11" s="1"/>
      <c r="J11" s="6"/>
      <c r="K11" s="1"/>
      <c r="L11" s="1"/>
    </row>
    <row r="12" spans="1:12" x14ac:dyDescent="0.35">
      <c r="A12" s="1"/>
      <c r="B12" s="5"/>
      <c r="C12" s="46" t="s">
        <v>516</v>
      </c>
      <c r="D12" s="46" t="s">
        <v>645</v>
      </c>
      <c r="E12" s="48">
        <v>11840</v>
      </c>
      <c r="F12" s="46">
        <v>2</v>
      </c>
      <c r="G12" s="48">
        <v>3887</v>
      </c>
      <c r="H12" s="47">
        <v>46022080</v>
      </c>
      <c r="I12" s="1"/>
      <c r="J12" s="6"/>
      <c r="K12" s="1"/>
      <c r="L12" s="1"/>
    </row>
    <row r="13" spans="1:12" x14ac:dyDescent="0.35">
      <c r="A13" s="1"/>
      <c r="B13" s="5"/>
      <c r="C13" s="46" t="s">
        <v>516</v>
      </c>
      <c r="D13" s="46" t="s">
        <v>645</v>
      </c>
      <c r="E13" s="48">
        <v>11860</v>
      </c>
      <c r="F13" s="46">
        <v>2</v>
      </c>
      <c r="G13" s="48">
        <v>2458</v>
      </c>
      <c r="H13" s="47">
        <v>29151880</v>
      </c>
      <c r="I13" s="1"/>
      <c r="J13" s="6"/>
      <c r="K13" s="1"/>
      <c r="L13" s="1"/>
    </row>
    <row r="14" spans="1:12" x14ac:dyDescent="0.35">
      <c r="A14" s="1"/>
      <c r="B14" s="5"/>
      <c r="C14" s="46" t="s">
        <v>516</v>
      </c>
      <c r="D14" s="46" t="s">
        <v>645</v>
      </c>
      <c r="E14" s="48">
        <v>11900</v>
      </c>
      <c r="F14" s="46">
        <v>1</v>
      </c>
      <c r="G14" s="48">
        <v>8000</v>
      </c>
      <c r="H14" s="47">
        <v>95200000</v>
      </c>
      <c r="I14" s="1"/>
      <c r="J14" s="6"/>
      <c r="K14" s="1"/>
      <c r="L14" s="1"/>
    </row>
    <row r="15" spans="1:12" x14ac:dyDescent="0.35">
      <c r="A15" s="1"/>
      <c r="B15" s="5"/>
      <c r="C15" s="46" t="s">
        <v>516</v>
      </c>
      <c r="D15" s="46" t="s">
        <v>646</v>
      </c>
      <c r="E15" s="48">
        <v>80140</v>
      </c>
      <c r="F15" s="46">
        <v>1</v>
      </c>
      <c r="G15" s="48">
        <v>450</v>
      </c>
      <c r="H15" s="47">
        <v>36063000</v>
      </c>
      <c r="I15" s="1"/>
      <c r="J15" s="6"/>
      <c r="K15" s="1"/>
      <c r="L15" s="1"/>
    </row>
    <row r="16" spans="1:12" x14ac:dyDescent="0.35">
      <c r="A16" s="1"/>
      <c r="B16" s="5"/>
      <c r="C16" s="46" t="s">
        <v>516</v>
      </c>
      <c r="D16" s="46" t="s">
        <v>646</v>
      </c>
      <c r="E16" s="48">
        <v>80460</v>
      </c>
      <c r="F16" s="46">
        <v>2</v>
      </c>
      <c r="G16" s="48">
        <v>460</v>
      </c>
      <c r="H16" s="47">
        <v>37011600</v>
      </c>
      <c r="I16" s="1"/>
      <c r="J16" s="6"/>
      <c r="K16" s="1"/>
      <c r="L16" s="1"/>
    </row>
    <row r="17" spans="1:12" x14ac:dyDescent="0.35">
      <c r="A17" s="1"/>
      <c r="B17" s="5"/>
      <c r="C17" s="46" t="s">
        <v>516</v>
      </c>
      <c r="D17" s="46" t="s">
        <v>646</v>
      </c>
      <c r="E17" s="48">
        <v>80780</v>
      </c>
      <c r="F17" s="46">
        <v>1</v>
      </c>
      <c r="G17" s="48">
        <v>446</v>
      </c>
      <c r="H17" s="47">
        <v>36027880</v>
      </c>
      <c r="I17" s="1"/>
      <c r="J17" s="6"/>
      <c r="K17" s="1"/>
      <c r="L17" s="1"/>
    </row>
    <row r="18" spans="1:12" x14ac:dyDescent="0.35">
      <c r="A18" s="1"/>
      <c r="B18" s="5"/>
      <c r="C18" s="46" t="s">
        <v>516</v>
      </c>
      <c r="D18" s="46" t="s">
        <v>646</v>
      </c>
      <c r="E18" s="48">
        <v>80940</v>
      </c>
      <c r="F18" s="46">
        <v>1</v>
      </c>
      <c r="G18" s="48">
        <v>445</v>
      </c>
      <c r="H18" s="47">
        <v>36018300</v>
      </c>
      <c r="I18" s="1"/>
      <c r="J18" s="6"/>
      <c r="K18" s="1"/>
      <c r="L18" s="1"/>
    </row>
    <row r="19" spans="1:12" x14ac:dyDescent="0.35">
      <c r="A19" s="1"/>
      <c r="B19" s="5"/>
      <c r="C19" s="46" t="s">
        <v>516</v>
      </c>
      <c r="D19" s="46" t="s">
        <v>647</v>
      </c>
      <c r="E19" s="48">
        <v>2575</v>
      </c>
      <c r="F19" s="46">
        <v>1</v>
      </c>
      <c r="G19" s="48">
        <v>112000</v>
      </c>
      <c r="H19" s="47">
        <v>288400000</v>
      </c>
      <c r="I19" s="1"/>
      <c r="J19" s="6"/>
      <c r="K19" s="1"/>
      <c r="L19" s="1"/>
    </row>
    <row r="20" spans="1:12" x14ac:dyDescent="0.35">
      <c r="A20" s="1"/>
      <c r="B20" s="5"/>
      <c r="C20" s="46" t="s">
        <v>516</v>
      </c>
      <c r="D20" s="46" t="s">
        <v>647</v>
      </c>
      <c r="E20" s="48">
        <v>2580</v>
      </c>
      <c r="F20" s="46">
        <v>6</v>
      </c>
      <c r="G20" s="48">
        <v>286032</v>
      </c>
      <c r="H20" s="47">
        <v>737962560</v>
      </c>
      <c r="I20" s="1"/>
      <c r="J20" s="6"/>
      <c r="K20" s="1"/>
      <c r="L20" s="1"/>
    </row>
    <row r="21" spans="1:12" x14ac:dyDescent="0.35">
      <c r="A21" s="1"/>
      <c r="B21" s="5"/>
      <c r="C21" s="46" t="s">
        <v>516</v>
      </c>
      <c r="D21" s="46" t="s">
        <v>647</v>
      </c>
      <c r="E21" s="48">
        <v>2585</v>
      </c>
      <c r="F21" s="46">
        <v>1</v>
      </c>
      <c r="G21" s="48">
        <v>112000</v>
      </c>
      <c r="H21" s="47">
        <v>289520000</v>
      </c>
      <c r="I21" s="1"/>
      <c r="J21" s="6"/>
      <c r="K21" s="1"/>
      <c r="L21" s="1"/>
    </row>
    <row r="22" spans="1:12" x14ac:dyDescent="0.35">
      <c r="A22" s="1"/>
      <c r="B22" s="5"/>
      <c r="C22" s="46" t="s">
        <v>516</v>
      </c>
      <c r="D22" s="46" t="s">
        <v>647</v>
      </c>
      <c r="E22" s="48">
        <v>2590</v>
      </c>
      <c r="F22" s="46">
        <v>4</v>
      </c>
      <c r="G22" s="48">
        <v>217000</v>
      </c>
      <c r="H22" s="47">
        <v>562030000</v>
      </c>
      <c r="I22" s="1"/>
      <c r="J22" s="6"/>
      <c r="K22" s="1"/>
      <c r="L22" s="1"/>
    </row>
    <row r="23" spans="1:12" x14ac:dyDescent="0.35">
      <c r="A23" s="1"/>
      <c r="B23" s="5"/>
      <c r="C23" s="46" t="s">
        <v>516</v>
      </c>
      <c r="D23" s="46" t="s">
        <v>647</v>
      </c>
      <c r="E23" s="48">
        <v>2595</v>
      </c>
      <c r="F23" s="46">
        <v>14</v>
      </c>
      <c r="G23" s="48">
        <v>196004</v>
      </c>
      <c r="H23" s="47">
        <v>508630380</v>
      </c>
      <c r="I23" s="1"/>
      <c r="J23" s="6"/>
      <c r="K23" s="1"/>
      <c r="L23" s="1"/>
    </row>
    <row r="24" spans="1:12" x14ac:dyDescent="0.35">
      <c r="A24" s="1"/>
      <c r="B24" s="5"/>
      <c r="C24" s="46" t="s">
        <v>516</v>
      </c>
      <c r="D24" s="46" t="s">
        <v>647</v>
      </c>
      <c r="E24" s="48">
        <v>2600</v>
      </c>
      <c r="F24" s="46">
        <v>2</v>
      </c>
      <c r="G24" s="48">
        <v>112000</v>
      </c>
      <c r="H24" s="47">
        <v>291200000</v>
      </c>
      <c r="I24" s="1"/>
      <c r="J24" s="6"/>
      <c r="K24" s="1"/>
      <c r="L24" s="1"/>
    </row>
    <row r="25" spans="1:12" x14ac:dyDescent="0.35">
      <c r="A25" s="1"/>
      <c r="B25" s="5"/>
      <c r="C25" s="46" t="s">
        <v>516</v>
      </c>
      <c r="D25" s="46" t="s">
        <v>647</v>
      </c>
      <c r="E25" s="48">
        <v>2605</v>
      </c>
      <c r="F25" s="46">
        <v>1</v>
      </c>
      <c r="G25" s="48">
        <v>112000</v>
      </c>
      <c r="H25" s="47">
        <v>291760000</v>
      </c>
      <c r="I25" s="1"/>
      <c r="J25" s="6"/>
      <c r="K25" s="1"/>
      <c r="L25" s="1"/>
    </row>
    <row r="26" spans="1:12" x14ac:dyDescent="0.35">
      <c r="A26" s="1"/>
      <c r="B26" s="5"/>
      <c r="C26" s="46" t="s">
        <v>516</v>
      </c>
      <c r="D26" s="46" t="s">
        <v>647</v>
      </c>
      <c r="E26" s="48">
        <v>2615</v>
      </c>
      <c r="F26" s="46">
        <v>4</v>
      </c>
      <c r="G26" s="48">
        <v>448000</v>
      </c>
      <c r="H26" s="47">
        <v>1171520000</v>
      </c>
      <c r="I26" s="1"/>
      <c r="J26" s="6"/>
      <c r="K26" s="1"/>
      <c r="L26" s="1"/>
    </row>
    <row r="27" spans="1:12" x14ac:dyDescent="0.35">
      <c r="A27" s="1"/>
      <c r="B27" s="5"/>
      <c r="C27" s="46" t="s">
        <v>516</v>
      </c>
      <c r="D27" s="46" t="s">
        <v>647</v>
      </c>
      <c r="E27" s="48">
        <v>2620</v>
      </c>
      <c r="F27" s="46">
        <v>29</v>
      </c>
      <c r="G27" s="48">
        <v>222000</v>
      </c>
      <c r="H27" s="47">
        <v>581640000</v>
      </c>
      <c r="I27" s="1"/>
      <c r="J27" s="6"/>
      <c r="K27" s="1"/>
      <c r="L27" s="1"/>
    </row>
    <row r="28" spans="1:12" x14ac:dyDescent="0.35">
      <c r="A28" s="1"/>
      <c r="B28" s="5"/>
      <c r="C28" s="46" t="s">
        <v>516</v>
      </c>
      <c r="D28" s="46" t="s">
        <v>647</v>
      </c>
      <c r="E28" s="48">
        <v>2625</v>
      </c>
      <c r="F28" s="46">
        <v>3</v>
      </c>
      <c r="G28" s="48">
        <v>224000</v>
      </c>
      <c r="H28" s="47">
        <v>588000000</v>
      </c>
      <c r="I28" s="1"/>
      <c r="J28" s="6"/>
      <c r="K28" s="1"/>
      <c r="L28" s="1"/>
    </row>
    <row r="29" spans="1:12" x14ac:dyDescent="0.35">
      <c r="A29" s="1"/>
      <c r="B29" s="5"/>
      <c r="C29" s="46" t="s">
        <v>516</v>
      </c>
      <c r="D29" s="46" t="s">
        <v>648</v>
      </c>
      <c r="E29" s="48">
        <v>2980</v>
      </c>
      <c r="F29" s="46">
        <v>2</v>
      </c>
      <c r="G29" s="48">
        <v>4250</v>
      </c>
      <c r="H29" s="47">
        <v>12665000</v>
      </c>
      <c r="I29" s="1"/>
      <c r="J29" s="6"/>
      <c r="K29" s="1"/>
      <c r="L29" s="1"/>
    </row>
    <row r="30" spans="1:12" x14ac:dyDescent="0.35">
      <c r="A30" s="1"/>
      <c r="B30" s="5"/>
      <c r="C30" s="46" t="s">
        <v>516</v>
      </c>
      <c r="D30" s="46" t="s">
        <v>648</v>
      </c>
      <c r="E30" s="48">
        <v>2985</v>
      </c>
      <c r="F30" s="46">
        <v>2</v>
      </c>
      <c r="G30" s="48">
        <v>168545</v>
      </c>
      <c r="H30" s="47">
        <v>503106825</v>
      </c>
      <c r="I30" s="1"/>
      <c r="J30" s="6"/>
      <c r="K30" s="1"/>
      <c r="L30" s="1"/>
    </row>
    <row r="31" spans="1:12" x14ac:dyDescent="0.35">
      <c r="A31" s="1"/>
      <c r="B31" s="5"/>
      <c r="C31" s="46" t="s">
        <v>516</v>
      </c>
      <c r="D31" s="46" t="s">
        <v>648</v>
      </c>
      <c r="E31" s="48">
        <v>3000</v>
      </c>
      <c r="F31" s="46">
        <v>6</v>
      </c>
      <c r="G31" s="48">
        <v>12500</v>
      </c>
      <c r="H31" s="47">
        <v>37500000</v>
      </c>
      <c r="I31" s="1"/>
      <c r="J31" s="6"/>
      <c r="K31" s="1"/>
      <c r="L31" s="1"/>
    </row>
    <row r="32" spans="1:12" x14ac:dyDescent="0.35">
      <c r="A32" s="1"/>
      <c r="B32" s="5"/>
      <c r="C32" s="46" t="s">
        <v>516</v>
      </c>
      <c r="D32" s="46" t="s">
        <v>276</v>
      </c>
      <c r="E32" s="48">
        <v>18000</v>
      </c>
      <c r="F32" s="46">
        <v>1</v>
      </c>
      <c r="G32" s="48">
        <v>51</v>
      </c>
      <c r="H32" s="47">
        <v>918000</v>
      </c>
      <c r="I32" s="1"/>
      <c r="J32" s="6"/>
      <c r="K32" s="1"/>
      <c r="L32" s="1"/>
    </row>
    <row r="33" spans="1:12" x14ac:dyDescent="0.35">
      <c r="A33" s="1"/>
      <c r="B33" s="5"/>
      <c r="C33" s="46" t="s">
        <v>516</v>
      </c>
      <c r="D33" s="46" t="s">
        <v>276</v>
      </c>
      <c r="E33" s="48">
        <v>18100</v>
      </c>
      <c r="F33" s="46">
        <v>1</v>
      </c>
      <c r="G33" s="48">
        <v>2500</v>
      </c>
      <c r="H33" s="47">
        <v>45250000</v>
      </c>
      <c r="I33" s="1"/>
      <c r="J33" s="6"/>
      <c r="K33" s="1"/>
      <c r="L33" s="1"/>
    </row>
    <row r="34" spans="1:12" x14ac:dyDescent="0.35">
      <c r="A34" s="1"/>
      <c r="B34" s="5"/>
      <c r="C34" s="46" t="s">
        <v>516</v>
      </c>
      <c r="D34" s="46" t="s">
        <v>649</v>
      </c>
      <c r="E34" s="48">
        <v>30000</v>
      </c>
      <c r="F34" s="46">
        <v>1</v>
      </c>
      <c r="G34" s="48">
        <v>571</v>
      </c>
      <c r="H34" s="47">
        <v>17130000</v>
      </c>
      <c r="I34" s="1"/>
      <c r="J34" s="6"/>
      <c r="K34" s="1"/>
      <c r="L34" s="1"/>
    </row>
    <row r="35" spans="1:12" x14ac:dyDescent="0.35">
      <c r="A35" s="1"/>
      <c r="B35" s="5"/>
      <c r="C35" s="46" t="s">
        <v>516</v>
      </c>
      <c r="D35" s="46" t="s">
        <v>650</v>
      </c>
      <c r="E35" s="48">
        <v>67200</v>
      </c>
      <c r="F35" s="46">
        <v>1</v>
      </c>
      <c r="G35" s="48">
        <v>1700</v>
      </c>
      <c r="H35" s="47">
        <v>114240000</v>
      </c>
      <c r="I35" s="1"/>
      <c r="J35" s="6"/>
      <c r="K35" s="1"/>
      <c r="L35" s="1"/>
    </row>
    <row r="36" spans="1:12" x14ac:dyDescent="0.35">
      <c r="A36" s="1"/>
      <c r="B36" s="5"/>
      <c r="C36" s="46" t="s">
        <v>516</v>
      </c>
      <c r="D36" s="46" t="s">
        <v>651</v>
      </c>
      <c r="E36" s="48">
        <v>815</v>
      </c>
      <c r="F36" s="46">
        <v>2</v>
      </c>
      <c r="G36" s="48">
        <v>4277</v>
      </c>
      <c r="H36" s="47">
        <v>3485755</v>
      </c>
      <c r="I36" s="1"/>
      <c r="J36" s="6"/>
      <c r="K36" s="1"/>
      <c r="L36" s="1"/>
    </row>
    <row r="37" spans="1:12" x14ac:dyDescent="0.35">
      <c r="A37" s="1"/>
      <c r="B37" s="5"/>
      <c r="C37" s="46" t="s">
        <v>516</v>
      </c>
      <c r="D37" s="46" t="s">
        <v>651</v>
      </c>
      <c r="E37" s="48">
        <v>816</v>
      </c>
      <c r="F37" s="46">
        <v>1</v>
      </c>
      <c r="G37" s="48">
        <v>823</v>
      </c>
      <c r="H37" s="47">
        <v>671568</v>
      </c>
      <c r="I37" s="1"/>
      <c r="J37" s="6"/>
      <c r="K37" s="1"/>
      <c r="L37" s="1"/>
    </row>
    <row r="38" spans="1:12" x14ac:dyDescent="0.35">
      <c r="A38" s="1"/>
      <c r="B38" s="5"/>
      <c r="C38" s="46" t="s">
        <v>516</v>
      </c>
      <c r="D38" s="46" t="s">
        <v>651</v>
      </c>
      <c r="E38" s="48">
        <v>817</v>
      </c>
      <c r="F38" s="46">
        <v>3</v>
      </c>
      <c r="G38" s="48">
        <v>1208</v>
      </c>
      <c r="H38" s="47">
        <v>986936</v>
      </c>
      <c r="I38" s="1"/>
      <c r="J38" s="6"/>
      <c r="K38" s="1"/>
      <c r="L38" s="1"/>
    </row>
    <row r="39" spans="1:12" x14ac:dyDescent="0.35">
      <c r="A39" s="1"/>
      <c r="B39" s="5"/>
      <c r="C39" s="46" t="s">
        <v>516</v>
      </c>
      <c r="D39" s="46" t="s">
        <v>651</v>
      </c>
      <c r="E39" s="48">
        <v>819</v>
      </c>
      <c r="F39" s="46">
        <v>1</v>
      </c>
      <c r="G39" s="48">
        <v>1315</v>
      </c>
      <c r="H39" s="47">
        <v>1076985</v>
      </c>
      <c r="I39" s="1"/>
      <c r="J39" s="6"/>
      <c r="K39" s="1"/>
      <c r="L39" s="1"/>
    </row>
    <row r="40" spans="1:12" x14ac:dyDescent="0.35">
      <c r="A40" s="1"/>
      <c r="B40" s="5"/>
      <c r="C40" s="46" t="s">
        <v>516</v>
      </c>
      <c r="D40" s="46" t="s">
        <v>651</v>
      </c>
      <c r="E40" s="48">
        <v>820</v>
      </c>
      <c r="F40" s="46">
        <v>1</v>
      </c>
      <c r="G40" s="48">
        <v>9580</v>
      </c>
      <c r="H40" s="47">
        <v>7855600</v>
      </c>
      <c r="I40" s="1"/>
      <c r="J40" s="6"/>
      <c r="K40" s="1"/>
      <c r="L40" s="1"/>
    </row>
    <row r="41" spans="1:12" x14ac:dyDescent="0.35">
      <c r="A41" s="1"/>
      <c r="B41" s="5"/>
      <c r="C41" s="46" t="s">
        <v>516</v>
      </c>
      <c r="D41" s="46" t="s">
        <v>652</v>
      </c>
      <c r="E41" s="48">
        <v>66800</v>
      </c>
      <c r="F41" s="46">
        <v>1</v>
      </c>
      <c r="G41" s="48">
        <v>539</v>
      </c>
      <c r="H41" s="47">
        <v>36005200</v>
      </c>
      <c r="I41" s="1"/>
      <c r="J41" s="6"/>
      <c r="K41" s="1"/>
      <c r="L41" s="1"/>
    </row>
    <row r="42" spans="1:12" x14ac:dyDescent="0.35">
      <c r="A42" s="1"/>
      <c r="B42" s="5"/>
      <c r="C42" s="46" t="s">
        <v>516</v>
      </c>
      <c r="D42" s="46" t="s">
        <v>652</v>
      </c>
      <c r="E42" s="48">
        <v>66820</v>
      </c>
      <c r="F42" s="46">
        <v>4</v>
      </c>
      <c r="G42" s="48">
        <v>1559</v>
      </c>
      <c r="H42" s="47">
        <v>104172380</v>
      </c>
      <c r="I42" s="1"/>
      <c r="J42" s="6"/>
      <c r="K42" s="1"/>
      <c r="L42" s="1"/>
    </row>
    <row r="43" spans="1:12" x14ac:dyDescent="0.35">
      <c r="A43" s="1"/>
      <c r="B43" s="5"/>
      <c r="C43" s="46" t="s">
        <v>516</v>
      </c>
      <c r="D43" s="46" t="s">
        <v>652</v>
      </c>
      <c r="E43" s="48">
        <v>66860</v>
      </c>
      <c r="F43" s="46">
        <v>2</v>
      </c>
      <c r="G43" s="48">
        <v>879</v>
      </c>
      <c r="H43" s="47">
        <v>58769940</v>
      </c>
      <c r="I43" s="1"/>
      <c r="J43" s="6"/>
      <c r="K43" s="1"/>
      <c r="L43" s="1"/>
    </row>
    <row r="44" spans="1:12" x14ac:dyDescent="0.35">
      <c r="A44" s="1"/>
      <c r="B44" s="9"/>
      <c r="C44" s="46" t="s">
        <v>516</v>
      </c>
      <c r="D44" s="46" t="s">
        <v>652</v>
      </c>
      <c r="E44" s="48">
        <v>66940</v>
      </c>
      <c r="F44" s="46">
        <v>2</v>
      </c>
      <c r="G44" s="48">
        <v>890</v>
      </c>
      <c r="H44" s="47">
        <v>59576600</v>
      </c>
      <c r="I44" s="10"/>
      <c r="J44" s="11"/>
      <c r="K44" s="1"/>
      <c r="L44"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9"/>
  <sheetViews>
    <sheetView showGridLines="0" workbookViewId="0"/>
  </sheetViews>
  <sheetFormatPr baseColWidth="10" defaultRowHeight="14.5" x14ac:dyDescent="0.35"/>
  <cols>
    <col min="1" max="2" width="2.7265625" customWidth="1"/>
    <col min="3" max="3" width="17.81640625" customWidth="1"/>
    <col min="4" max="18" width="13.7265625" customWidth="1"/>
    <col min="19" max="19" width="130.2695312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67"/>
      <c r="M3" s="1"/>
      <c r="N3" s="1"/>
      <c r="O3" s="1"/>
      <c r="P3" s="1"/>
      <c r="Q3" s="1"/>
      <c r="R3" s="6"/>
      <c r="S3" s="1"/>
      <c r="T3" s="1"/>
    </row>
    <row r="4" spans="1:20" ht="56.9"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8" t="s">
        <v>653</v>
      </c>
      <c r="D5" s="67"/>
      <c r="E5" s="67"/>
      <c r="F5" s="67"/>
      <c r="G5" s="67"/>
      <c r="H5" s="67"/>
      <c r="I5" s="67"/>
      <c r="J5" s="67"/>
      <c r="K5" s="67"/>
      <c r="L5" s="67"/>
      <c r="M5" s="1"/>
      <c r="N5" s="1"/>
      <c r="O5" s="1"/>
      <c r="P5" s="1"/>
      <c r="Q5" s="1"/>
      <c r="R5" s="6"/>
      <c r="S5" s="1"/>
      <c r="T5" s="1"/>
    </row>
    <row r="6" spans="1:20" ht="41.75" customHeight="1" x14ac:dyDescent="0.35">
      <c r="A6" s="1"/>
      <c r="B6" s="5"/>
      <c r="C6" s="1"/>
      <c r="D6" s="1"/>
      <c r="E6" s="1"/>
      <c r="F6" s="1"/>
      <c r="G6" s="1"/>
      <c r="H6" s="1"/>
      <c r="I6" s="1"/>
      <c r="J6" s="1"/>
      <c r="K6" s="1"/>
      <c r="L6" s="1"/>
      <c r="M6" s="1"/>
      <c r="N6" s="1"/>
      <c r="O6" s="1"/>
      <c r="P6" s="1"/>
      <c r="Q6" s="1"/>
      <c r="R6" s="6"/>
      <c r="S6" s="1"/>
      <c r="T6" s="1"/>
    </row>
    <row r="7" spans="1:20" x14ac:dyDescent="0.35">
      <c r="A7" s="1"/>
      <c r="B7" s="5"/>
      <c r="C7" s="14" t="s">
        <v>5</v>
      </c>
      <c r="D7" s="14" t="s">
        <v>5</v>
      </c>
      <c r="E7" s="74" t="s">
        <v>232</v>
      </c>
      <c r="F7" s="75"/>
      <c r="G7" s="75"/>
      <c r="H7" s="75"/>
      <c r="I7" s="75"/>
      <c r="J7" s="75"/>
      <c r="K7" s="75"/>
      <c r="L7" s="75"/>
      <c r="M7" s="75"/>
      <c r="N7" s="76"/>
      <c r="O7" s="74" t="s">
        <v>233</v>
      </c>
      <c r="P7" s="75"/>
      <c r="Q7" s="75"/>
      <c r="R7" s="76"/>
      <c r="S7" s="1"/>
      <c r="T7" s="1"/>
    </row>
    <row r="8" spans="1:20" x14ac:dyDescent="0.35">
      <c r="A8" s="1"/>
      <c r="B8" s="5"/>
      <c r="C8" s="14" t="s">
        <v>5</v>
      </c>
      <c r="D8" s="88" t="s">
        <v>654</v>
      </c>
      <c r="E8" s="88" t="s">
        <v>619</v>
      </c>
      <c r="F8" s="76"/>
      <c r="G8" s="88" t="s">
        <v>620</v>
      </c>
      <c r="H8" s="76"/>
      <c r="I8" s="88" t="s">
        <v>621</v>
      </c>
      <c r="J8" s="76"/>
      <c r="K8" s="88" t="s">
        <v>622</v>
      </c>
      <c r="L8" s="76"/>
      <c r="M8" s="88" t="s">
        <v>655</v>
      </c>
      <c r="N8" s="76"/>
      <c r="O8" s="88" t="s">
        <v>619</v>
      </c>
      <c r="P8" s="76"/>
      <c r="Q8" s="88" t="s">
        <v>620</v>
      </c>
      <c r="R8" s="76"/>
      <c r="S8" s="1"/>
      <c r="T8" s="1"/>
    </row>
    <row r="9" spans="1:20" x14ac:dyDescent="0.35">
      <c r="A9" s="1"/>
      <c r="B9" s="5"/>
      <c r="C9" s="14" t="s">
        <v>5</v>
      </c>
      <c r="D9" s="89"/>
      <c r="E9" s="49" t="s">
        <v>656</v>
      </c>
      <c r="F9" s="49" t="s">
        <v>642</v>
      </c>
      <c r="G9" s="49" t="s">
        <v>656</v>
      </c>
      <c r="H9" s="49" t="s">
        <v>642</v>
      </c>
      <c r="I9" s="49" t="s">
        <v>656</v>
      </c>
      <c r="J9" s="49" t="s">
        <v>642</v>
      </c>
      <c r="K9" s="49" t="s">
        <v>656</v>
      </c>
      <c r="L9" s="49" t="s">
        <v>642</v>
      </c>
      <c r="M9" s="49" t="s">
        <v>656</v>
      </c>
      <c r="N9" s="49" t="s">
        <v>642</v>
      </c>
      <c r="O9" s="49" t="s">
        <v>656</v>
      </c>
      <c r="P9" s="49" t="s">
        <v>642</v>
      </c>
      <c r="Q9" s="49" t="s">
        <v>656</v>
      </c>
      <c r="R9" s="49" t="s">
        <v>642</v>
      </c>
      <c r="S9" s="1"/>
      <c r="T9" s="1"/>
    </row>
    <row r="10" spans="1:20" x14ac:dyDescent="0.35">
      <c r="A10" s="1"/>
      <c r="B10" s="5"/>
      <c r="C10" s="25" t="s">
        <v>262</v>
      </c>
      <c r="D10" s="50">
        <v>1220886345</v>
      </c>
      <c r="E10" s="50">
        <v>1513.3661999999999</v>
      </c>
      <c r="F10" s="50">
        <v>162944</v>
      </c>
      <c r="G10" s="50">
        <v>5986.76287839</v>
      </c>
      <c r="H10" s="50">
        <v>710437</v>
      </c>
      <c r="I10" s="50">
        <v>2993.8829595100001</v>
      </c>
      <c r="J10" s="50">
        <v>360010</v>
      </c>
      <c r="K10" s="50">
        <v>532.09025314999997</v>
      </c>
      <c r="L10" s="50">
        <v>71703</v>
      </c>
      <c r="M10" s="50">
        <v>143.41286012</v>
      </c>
      <c r="N10" s="50">
        <v>14980</v>
      </c>
      <c r="O10" s="50">
        <v>710.46619999999996</v>
      </c>
      <c r="P10" s="50">
        <v>60209</v>
      </c>
      <c r="Q10" s="50">
        <v>0</v>
      </c>
      <c r="R10" s="25"/>
      <c r="S10" s="1"/>
      <c r="T10" s="1"/>
    </row>
    <row r="11" spans="1:20" x14ac:dyDescent="0.35">
      <c r="A11" s="1"/>
      <c r="B11" s="5"/>
      <c r="C11" s="25" t="s">
        <v>264</v>
      </c>
      <c r="D11" s="50">
        <v>509103132</v>
      </c>
      <c r="E11" s="50">
        <v>180.00781057</v>
      </c>
      <c r="F11" s="50">
        <v>3683</v>
      </c>
      <c r="G11" s="50">
        <v>493.53128155000002</v>
      </c>
      <c r="H11" s="50">
        <v>10371</v>
      </c>
      <c r="I11" s="50">
        <v>3390.2010267599999</v>
      </c>
      <c r="J11" s="50">
        <v>57630</v>
      </c>
      <c r="K11" s="50">
        <v>2284.7982267100001</v>
      </c>
      <c r="L11" s="50">
        <v>45655</v>
      </c>
      <c r="M11" s="50">
        <v>0</v>
      </c>
      <c r="N11" s="25"/>
      <c r="O11" s="50">
        <v>0</v>
      </c>
      <c r="P11" s="25"/>
      <c r="Q11" s="50">
        <v>0</v>
      </c>
      <c r="R11" s="25"/>
      <c r="S11" s="1"/>
      <c r="T11" s="1"/>
    </row>
    <row r="12" spans="1:20" x14ac:dyDescent="0.35">
      <c r="A12" s="1"/>
      <c r="B12" s="5"/>
      <c r="C12" s="25" t="s">
        <v>266</v>
      </c>
      <c r="D12" s="50">
        <v>346403766</v>
      </c>
      <c r="E12" s="50">
        <v>7664.3652805499996</v>
      </c>
      <c r="F12" s="50">
        <v>933786</v>
      </c>
      <c r="G12" s="50">
        <v>2146.8806572100002</v>
      </c>
      <c r="H12" s="50">
        <v>143426</v>
      </c>
      <c r="I12" s="50">
        <v>12228.11126229</v>
      </c>
      <c r="J12" s="50">
        <v>1056860</v>
      </c>
      <c r="K12" s="50">
        <v>917.05641165999998</v>
      </c>
      <c r="L12" s="50">
        <v>70872</v>
      </c>
      <c r="M12" s="50">
        <v>1954.19783332</v>
      </c>
      <c r="N12" s="50">
        <v>141268</v>
      </c>
      <c r="O12" s="50">
        <v>0</v>
      </c>
      <c r="P12" s="25"/>
      <c r="Q12" s="50">
        <v>0</v>
      </c>
      <c r="R12" s="25"/>
      <c r="S12" s="1"/>
      <c r="T12" s="1"/>
    </row>
    <row r="13" spans="1:20" x14ac:dyDescent="0.35">
      <c r="A13" s="1"/>
      <c r="B13" s="5"/>
      <c r="C13" s="25" t="s">
        <v>268</v>
      </c>
      <c r="D13" s="50">
        <v>41116694690</v>
      </c>
      <c r="E13" s="50">
        <v>1754.90208334</v>
      </c>
      <c r="F13" s="50">
        <v>916984</v>
      </c>
      <c r="G13" s="50">
        <v>2832.33874934</v>
      </c>
      <c r="H13" s="50">
        <v>1426517</v>
      </c>
      <c r="I13" s="50">
        <v>2410.1599972499998</v>
      </c>
      <c r="J13" s="50">
        <v>1134221</v>
      </c>
      <c r="K13" s="50">
        <v>1952.6685553699999</v>
      </c>
      <c r="L13" s="50">
        <v>927632</v>
      </c>
      <c r="M13" s="50">
        <v>0</v>
      </c>
      <c r="N13" s="25"/>
      <c r="O13" s="50">
        <v>0</v>
      </c>
      <c r="P13" s="25"/>
      <c r="Q13" s="50">
        <v>0</v>
      </c>
      <c r="R13" s="25"/>
      <c r="S13" s="1"/>
      <c r="T13" s="1"/>
    </row>
    <row r="14" spans="1:20" x14ac:dyDescent="0.35">
      <c r="A14" s="1"/>
      <c r="B14" s="5"/>
      <c r="C14" s="25" t="s">
        <v>272</v>
      </c>
      <c r="D14" s="50">
        <v>9181177017</v>
      </c>
      <c r="E14" s="50">
        <v>3315.57681465</v>
      </c>
      <c r="F14" s="50">
        <v>1419082</v>
      </c>
      <c r="G14" s="50">
        <v>11829.183042520001</v>
      </c>
      <c r="H14" s="50">
        <v>4861919</v>
      </c>
      <c r="I14" s="50">
        <v>2414.8391925599999</v>
      </c>
      <c r="J14" s="50">
        <v>1054868</v>
      </c>
      <c r="K14" s="50">
        <v>5070.9548377800002</v>
      </c>
      <c r="L14" s="50">
        <v>2157946</v>
      </c>
      <c r="M14" s="50">
        <v>189.19254341999999</v>
      </c>
      <c r="N14" s="50">
        <v>110486</v>
      </c>
      <c r="O14" s="50">
        <v>0</v>
      </c>
      <c r="P14" s="25"/>
      <c r="Q14" s="50">
        <v>0</v>
      </c>
      <c r="R14" s="25"/>
      <c r="S14" s="1"/>
      <c r="T14" s="1"/>
    </row>
    <row r="15" spans="1:20" x14ac:dyDescent="0.35">
      <c r="A15" s="1"/>
      <c r="B15" s="5"/>
      <c r="C15" s="25" t="s">
        <v>276</v>
      </c>
      <c r="D15" s="50">
        <v>397523153</v>
      </c>
      <c r="E15" s="50">
        <v>0</v>
      </c>
      <c r="F15" s="25"/>
      <c r="G15" s="50">
        <v>0</v>
      </c>
      <c r="H15" s="25"/>
      <c r="I15" s="50">
        <v>863.28324263000002</v>
      </c>
      <c r="J15" s="50">
        <v>62652</v>
      </c>
      <c r="K15" s="50">
        <v>1592.83584913</v>
      </c>
      <c r="L15" s="50">
        <v>135840</v>
      </c>
      <c r="M15" s="50">
        <v>347.2659208</v>
      </c>
      <c r="N15" s="50">
        <v>24984</v>
      </c>
      <c r="O15" s="50">
        <v>0</v>
      </c>
      <c r="P15" s="25"/>
      <c r="Q15" s="50">
        <v>0</v>
      </c>
      <c r="R15" s="25"/>
      <c r="S15" s="1"/>
      <c r="T15" s="1"/>
    </row>
    <row r="16" spans="1:20" x14ac:dyDescent="0.35">
      <c r="A16" s="1"/>
      <c r="B16" s="5"/>
      <c r="C16" s="25" t="s">
        <v>278</v>
      </c>
      <c r="D16" s="50">
        <v>165834026</v>
      </c>
      <c r="E16" s="50">
        <v>12337.734475130001</v>
      </c>
      <c r="F16" s="50">
        <v>412801</v>
      </c>
      <c r="G16" s="50">
        <v>23455.782865130001</v>
      </c>
      <c r="H16" s="50">
        <v>586113</v>
      </c>
      <c r="I16" s="50">
        <v>3037.9128608800002</v>
      </c>
      <c r="J16" s="50">
        <v>79431</v>
      </c>
      <c r="K16" s="50">
        <v>656.24374614999999</v>
      </c>
      <c r="L16" s="50">
        <v>18384</v>
      </c>
      <c r="M16" s="50">
        <v>0</v>
      </c>
      <c r="N16" s="25"/>
      <c r="O16" s="50">
        <v>0</v>
      </c>
      <c r="P16" s="25"/>
      <c r="Q16" s="50">
        <v>0</v>
      </c>
      <c r="R16" s="25"/>
      <c r="S16" s="1"/>
      <c r="T16" s="1"/>
    </row>
    <row r="17" spans="1:20" x14ac:dyDescent="0.35">
      <c r="A17" s="1"/>
      <c r="B17" s="5"/>
      <c r="C17" s="25" t="s">
        <v>551</v>
      </c>
      <c r="D17" s="50">
        <v>10000</v>
      </c>
      <c r="E17" s="50">
        <v>0</v>
      </c>
      <c r="F17" s="25"/>
      <c r="G17" s="50">
        <v>0</v>
      </c>
      <c r="H17" s="25"/>
      <c r="I17" s="50">
        <v>0</v>
      </c>
      <c r="J17" s="25"/>
      <c r="K17" s="50">
        <v>0</v>
      </c>
      <c r="L17" s="25"/>
      <c r="M17" s="50">
        <v>0</v>
      </c>
      <c r="N17" s="25"/>
      <c r="O17" s="50">
        <v>26.318999999999999</v>
      </c>
      <c r="P17" s="50">
        <v>1000</v>
      </c>
      <c r="Q17" s="50">
        <v>0</v>
      </c>
      <c r="R17" s="25"/>
      <c r="S17" s="1"/>
      <c r="T17" s="1"/>
    </row>
    <row r="18" spans="1:20" x14ac:dyDescent="0.35">
      <c r="A18" s="1"/>
      <c r="B18" s="5"/>
      <c r="C18" s="25" t="s">
        <v>624</v>
      </c>
      <c r="D18" s="50">
        <v>754048560</v>
      </c>
      <c r="E18" s="50">
        <v>2347.99305</v>
      </c>
      <c r="F18" s="50">
        <v>6440</v>
      </c>
      <c r="G18" s="50">
        <v>630.12140222999994</v>
      </c>
      <c r="H18" s="50">
        <v>1724</v>
      </c>
      <c r="I18" s="50">
        <v>5065.2794444399997</v>
      </c>
      <c r="J18" s="50">
        <v>14212</v>
      </c>
      <c r="K18" s="50">
        <v>745.81666667000002</v>
      </c>
      <c r="L18" s="50">
        <v>2082</v>
      </c>
      <c r="M18" s="50">
        <v>0</v>
      </c>
      <c r="N18" s="25"/>
      <c r="O18" s="50">
        <v>0</v>
      </c>
      <c r="P18" s="25"/>
      <c r="Q18" s="50">
        <v>0</v>
      </c>
      <c r="R18" s="25"/>
      <c r="S18" s="1"/>
      <c r="T18" s="1"/>
    </row>
    <row r="19" spans="1:20" x14ac:dyDescent="0.35">
      <c r="A19" s="1"/>
      <c r="B19" s="5"/>
      <c r="C19" s="25" t="s">
        <v>280</v>
      </c>
      <c r="D19" s="50">
        <v>1107677894</v>
      </c>
      <c r="E19" s="50">
        <v>101.974</v>
      </c>
      <c r="F19" s="50">
        <v>4164</v>
      </c>
      <c r="G19" s="50">
        <v>565.65347684000005</v>
      </c>
      <c r="H19" s="50">
        <v>28142</v>
      </c>
      <c r="I19" s="50">
        <v>0</v>
      </c>
      <c r="J19" s="25"/>
      <c r="K19" s="50">
        <v>206.4866442</v>
      </c>
      <c r="L19" s="50">
        <v>8790</v>
      </c>
      <c r="M19" s="50">
        <v>0</v>
      </c>
      <c r="N19" s="25"/>
      <c r="O19" s="50">
        <v>0</v>
      </c>
      <c r="P19" s="25"/>
      <c r="Q19" s="50">
        <v>304.39999999999998</v>
      </c>
      <c r="R19" s="50">
        <v>10000</v>
      </c>
      <c r="S19" s="1"/>
      <c r="T19" s="1"/>
    </row>
    <row r="20" spans="1:20" x14ac:dyDescent="0.35">
      <c r="A20" s="1"/>
      <c r="B20" s="5"/>
      <c r="C20" s="25" t="s">
        <v>282</v>
      </c>
      <c r="D20" s="50">
        <v>295780517</v>
      </c>
      <c r="E20" s="50">
        <v>3748.0427</v>
      </c>
      <c r="F20" s="50">
        <v>294898</v>
      </c>
      <c r="G20" s="50">
        <v>4535.4648994199997</v>
      </c>
      <c r="H20" s="50">
        <v>389425</v>
      </c>
      <c r="I20" s="50">
        <v>12170.828707299999</v>
      </c>
      <c r="J20" s="50">
        <v>1082833</v>
      </c>
      <c r="K20" s="50">
        <v>2412.36408781</v>
      </c>
      <c r="L20" s="50">
        <v>233320</v>
      </c>
      <c r="M20" s="50">
        <v>0</v>
      </c>
      <c r="N20" s="25"/>
      <c r="O20" s="50">
        <v>0</v>
      </c>
      <c r="P20" s="25"/>
      <c r="Q20" s="50">
        <v>0</v>
      </c>
      <c r="R20" s="25"/>
      <c r="S20" s="1"/>
      <c r="T20" s="1"/>
    </row>
    <row r="21" spans="1:20" x14ac:dyDescent="0.35">
      <c r="A21" s="1"/>
      <c r="B21" s="5"/>
      <c r="C21" s="25" t="s">
        <v>625</v>
      </c>
      <c r="D21" s="50">
        <v>289150555</v>
      </c>
      <c r="E21" s="50">
        <v>0</v>
      </c>
      <c r="F21" s="25"/>
      <c r="G21" s="50">
        <v>4507.6825324000001</v>
      </c>
      <c r="H21" s="50">
        <v>179547</v>
      </c>
      <c r="I21" s="50">
        <v>3219.4307777700001</v>
      </c>
      <c r="J21" s="50">
        <v>121280</v>
      </c>
      <c r="K21" s="50">
        <v>409.87957728999999</v>
      </c>
      <c r="L21" s="50">
        <v>15792</v>
      </c>
      <c r="M21" s="50">
        <v>0</v>
      </c>
      <c r="N21" s="25"/>
      <c r="O21" s="50">
        <v>0</v>
      </c>
      <c r="P21" s="25"/>
      <c r="Q21" s="50">
        <v>0</v>
      </c>
      <c r="R21" s="25"/>
      <c r="S21" s="1"/>
      <c r="T21" s="1"/>
    </row>
    <row r="22" spans="1:20" x14ac:dyDescent="0.35">
      <c r="A22" s="1"/>
      <c r="B22" s="5"/>
      <c r="C22" s="25" t="s">
        <v>284</v>
      </c>
      <c r="D22" s="50">
        <v>49953606</v>
      </c>
      <c r="E22" s="50">
        <v>0</v>
      </c>
      <c r="F22" s="25"/>
      <c r="G22" s="50">
        <v>0</v>
      </c>
      <c r="H22" s="25"/>
      <c r="I22" s="50">
        <v>425.1</v>
      </c>
      <c r="J22" s="50">
        <v>12941</v>
      </c>
      <c r="K22" s="50">
        <v>0</v>
      </c>
      <c r="L22" s="25"/>
      <c r="M22" s="50">
        <v>0</v>
      </c>
      <c r="N22" s="25"/>
      <c r="O22" s="50">
        <v>0</v>
      </c>
      <c r="P22" s="25"/>
      <c r="Q22" s="50">
        <v>0</v>
      </c>
      <c r="R22" s="25"/>
      <c r="S22" s="1"/>
      <c r="T22" s="1"/>
    </row>
    <row r="23" spans="1:20" x14ac:dyDescent="0.35">
      <c r="A23" s="1"/>
      <c r="B23" s="5"/>
      <c r="C23" s="25" t="s">
        <v>286</v>
      </c>
      <c r="D23" s="50">
        <v>7565150834</v>
      </c>
      <c r="E23" s="50">
        <v>3222.7531444400001</v>
      </c>
      <c r="F23" s="50">
        <v>5238110</v>
      </c>
      <c r="G23" s="50">
        <v>7012.3406009199998</v>
      </c>
      <c r="H23" s="50">
        <v>11080351</v>
      </c>
      <c r="I23" s="50">
        <v>6358.8645155300001</v>
      </c>
      <c r="J23" s="50">
        <v>13143259</v>
      </c>
      <c r="K23" s="50">
        <v>194.31836666999999</v>
      </c>
      <c r="L23" s="50">
        <v>291140</v>
      </c>
      <c r="M23" s="50">
        <v>1226.44201389</v>
      </c>
      <c r="N23" s="50">
        <v>2292000</v>
      </c>
      <c r="O23" s="50">
        <v>0</v>
      </c>
      <c r="P23" s="25"/>
      <c r="Q23" s="50">
        <v>0</v>
      </c>
      <c r="R23" s="25"/>
      <c r="S23" s="1"/>
      <c r="T23" s="1"/>
    </row>
    <row r="24" spans="1:20" x14ac:dyDescent="0.35">
      <c r="A24" s="1"/>
      <c r="B24" s="5"/>
      <c r="C24" s="25" t="s">
        <v>288</v>
      </c>
      <c r="D24" s="50">
        <v>439957804</v>
      </c>
      <c r="E24" s="50">
        <v>4788.4449615100002</v>
      </c>
      <c r="F24" s="50">
        <v>90844</v>
      </c>
      <c r="G24" s="50">
        <v>6578.8156812999996</v>
      </c>
      <c r="H24" s="50">
        <v>126532</v>
      </c>
      <c r="I24" s="50">
        <v>22572.446851410001</v>
      </c>
      <c r="J24" s="50">
        <v>515058</v>
      </c>
      <c r="K24" s="50">
        <v>805.33881007000002</v>
      </c>
      <c r="L24" s="50">
        <v>19301</v>
      </c>
      <c r="M24" s="50">
        <v>3638.0646995299999</v>
      </c>
      <c r="N24" s="50">
        <v>66718</v>
      </c>
      <c r="O24" s="50">
        <v>8645</v>
      </c>
      <c r="P24" s="50">
        <v>130000</v>
      </c>
      <c r="Q24" s="50">
        <v>0</v>
      </c>
      <c r="R24" s="25"/>
      <c r="S24" s="1"/>
      <c r="T24" s="1"/>
    </row>
    <row r="25" spans="1:20" x14ac:dyDescent="0.35">
      <c r="A25" s="1"/>
      <c r="B25" s="5"/>
      <c r="C25" s="25" t="s">
        <v>290</v>
      </c>
      <c r="D25" s="50">
        <v>169443753</v>
      </c>
      <c r="E25" s="50">
        <v>0</v>
      </c>
      <c r="F25" s="25"/>
      <c r="G25" s="50">
        <v>707.47210832999997</v>
      </c>
      <c r="H25" s="50">
        <v>29409</v>
      </c>
      <c r="I25" s="50">
        <v>10943.38127109</v>
      </c>
      <c r="J25" s="50">
        <v>559656</v>
      </c>
      <c r="K25" s="50">
        <v>5852.6882973299998</v>
      </c>
      <c r="L25" s="50">
        <v>259091</v>
      </c>
      <c r="M25" s="50">
        <v>0</v>
      </c>
      <c r="N25" s="25"/>
      <c r="O25" s="50">
        <v>0</v>
      </c>
      <c r="P25" s="25"/>
      <c r="Q25" s="50">
        <v>0</v>
      </c>
      <c r="R25" s="25"/>
      <c r="S25" s="1"/>
      <c r="T25" s="1"/>
    </row>
    <row r="26" spans="1:20" x14ac:dyDescent="0.35">
      <c r="A26" s="1"/>
      <c r="B26" s="5"/>
      <c r="C26" s="25" t="s">
        <v>292</v>
      </c>
      <c r="D26" s="50">
        <v>287778588</v>
      </c>
      <c r="E26" s="50">
        <v>6425.6528333300002</v>
      </c>
      <c r="F26" s="50">
        <v>655773</v>
      </c>
      <c r="G26" s="50">
        <v>8317.3050554900001</v>
      </c>
      <c r="H26" s="50">
        <v>857675</v>
      </c>
      <c r="I26" s="50">
        <v>5183.64744935</v>
      </c>
      <c r="J26" s="50">
        <v>530865</v>
      </c>
      <c r="K26" s="50">
        <v>1336.23793368</v>
      </c>
      <c r="L26" s="50">
        <v>144401</v>
      </c>
      <c r="M26" s="50">
        <v>1316.4849022200001</v>
      </c>
      <c r="N26" s="50">
        <v>134506</v>
      </c>
      <c r="O26" s="50">
        <v>0</v>
      </c>
      <c r="P26" s="25"/>
      <c r="Q26" s="50">
        <v>0</v>
      </c>
      <c r="R26" s="25"/>
      <c r="S26" s="1"/>
      <c r="T26" s="1"/>
    </row>
    <row r="27" spans="1:20" x14ac:dyDescent="0.35">
      <c r="A27" s="1"/>
      <c r="B27" s="5"/>
      <c r="C27" s="25" t="s">
        <v>293</v>
      </c>
      <c r="D27" s="50">
        <v>161871882</v>
      </c>
      <c r="E27" s="50">
        <v>2188.2244999999998</v>
      </c>
      <c r="F27" s="50">
        <v>64808</v>
      </c>
      <c r="G27" s="50">
        <v>7112.0251039100003</v>
      </c>
      <c r="H27" s="50">
        <v>253044</v>
      </c>
      <c r="I27" s="50">
        <v>6410.8080306100001</v>
      </c>
      <c r="J27" s="50">
        <v>191857</v>
      </c>
      <c r="K27" s="50">
        <v>1013.58948013</v>
      </c>
      <c r="L27" s="50">
        <v>46832</v>
      </c>
      <c r="M27" s="50">
        <v>2089.95206143</v>
      </c>
      <c r="N27" s="50">
        <v>61272</v>
      </c>
      <c r="O27" s="50">
        <v>0</v>
      </c>
      <c r="P27" s="25"/>
      <c r="Q27" s="50">
        <v>0</v>
      </c>
      <c r="R27" s="25"/>
      <c r="S27" s="1"/>
      <c r="T27" s="1"/>
    </row>
    <row r="28" spans="1:20" x14ac:dyDescent="0.35">
      <c r="A28" s="1"/>
      <c r="B28" s="9"/>
      <c r="C28" s="51" t="s">
        <v>609</v>
      </c>
      <c r="D28" s="52" t="s">
        <v>5</v>
      </c>
      <c r="E28" s="53">
        <v>49589.03785352</v>
      </c>
      <c r="F28" s="53">
        <v>10204317</v>
      </c>
      <c r="G28" s="53">
        <v>86711.360334979996</v>
      </c>
      <c r="H28" s="53">
        <v>20684632</v>
      </c>
      <c r="I28" s="53">
        <v>99688.177589379993</v>
      </c>
      <c r="J28" s="53">
        <v>19977633</v>
      </c>
      <c r="K28" s="53">
        <v>25983.367743800001</v>
      </c>
      <c r="L28" s="53">
        <v>4448781</v>
      </c>
      <c r="M28" s="53">
        <v>10905.01283473</v>
      </c>
      <c r="N28" s="53">
        <v>2846214</v>
      </c>
      <c r="O28" s="53">
        <v>9381.7852000000003</v>
      </c>
      <c r="P28" s="53">
        <v>191209</v>
      </c>
      <c r="Q28" s="53">
        <v>304.39999999999998</v>
      </c>
      <c r="R28" s="53">
        <v>10000</v>
      </c>
      <c r="S28" s="1"/>
      <c r="T28" s="1"/>
    </row>
    <row r="29" spans="1:20" ht="0" hidden="1" customHeight="1" x14ac:dyDescent="0.3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657</v>
      </c>
      <c r="D5" s="43" t="s">
        <v>232</v>
      </c>
      <c r="E5" s="43" t="s">
        <v>233</v>
      </c>
      <c r="F5" s="1"/>
      <c r="G5" s="6"/>
      <c r="H5" s="1"/>
      <c r="I5" s="1"/>
    </row>
    <row r="6" spans="1:9" x14ac:dyDescent="0.35">
      <c r="A6" s="1"/>
      <c r="B6" s="5"/>
      <c r="C6" s="54" t="s">
        <v>658</v>
      </c>
      <c r="D6" s="55">
        <v>4394.3876268100003</v>
      </c>
      <c r="E6" s="55">
        <v>0</v>
      </c>
      <c r="F6" s="1"/>
      <c r="G6" s="6"/>
      <c r="H6" s="1"/>
      <c r="I6" s="1"/>
    </row>
    <row r="7" spans="1:9" x14ac:dyDescent="0.35">
      <c r="A7" s="1"/>
      <c r="B7" s="5"/>
      <c r="C7" s="54" t="s">
        <v>659</v>
      </c>
      <c r="D7" s="55">
        <v>31992.210538210002</v>
      </c>
      <c r="E7" s="55">
        <v>710.46619999999996</v>
      </c>
      <c r="F7" s="1"/>
      <c r="G7" s="6"/>
      <c r="H7" s="1"/>
      <c r="I7" s="1"/>
    </row>
    <row r="8" spans="1:9" x14ac:dyDescent="0.35">
      <c r="A8" s="1"/>
      <c r="B8" s="5"/>
      <c r="C8" s="54" t="s">
        <v>660</v>
      </c>
      <c r="D8" s="55">
        <v>59130.033881440002</v>
      </c>
      <c r="E8" s="55">
        <v>8975.7189999999991</v>
      </c>
      <c r="F8" s="1"/>
      <c r="G8" s="6"/>
      <c r="H8" s="1"/>
      <c r="I8" s="1"/>
    </row>
    <row r="9" spans="1:9" x14ac:dyDescent="0.35">
      <c r="A9" s="1"/>
      <c r="B9" s="5"/>
      <c r="C9" s="54" t="s">
        <v>661</v>
      </c>
      <c r="D9" s="55">
        <v>23309.133056120001</v>
      </c>
      <c r="E9" s="55">
        <v>0</v>
      </c>
      <c r="F9" s="1"/>
      <c r="G9" s="6"/>
      <c r="H9" s="1"/>
      <c r="I9" s="1"/>
    </row>
    <row r="10" spans="1:9" x14ac:dyDescent="0.35">
      <c r="A10" s="1"/>
      <c r="B10" s="5"/>
      <c r="C10" s="54" t="s">
        <v>662</v>
      </c>
      <c r="D10" s="55">
        <v>13742.51098241</v>
      </c>
      <c r="E10" s="55">
        <v>0</v>
      </c>
      <c r="F10" s="1"/>
      <c r="G10" s="6"/>
      <c r="H10" s="1"/>
      <c r="I10" s="1"/>
    </row>
    <row r="11" spans="1:9" x14ac:dyDescent="0.35">
      <c r="A11" s="1"/>
      <c r="B11" s="5"/>
      <c r="C11" s="54" t="s">
        <v>663</v>
      </c>
      <c r="D11" s="55">
        <v>2377.42464999</v>
      </c>
      <c r="E11" s="55">
        <v>0</v>
      </c>
      <c r="F11" s="1"/>
      <c r="G11" s="6"/>
      <c r="H11" s="1"/>
      <c r="I11" s="1"/>
    </row>
    <row r="12" spans="1:9" x14ac:dyDescent="0.35">
      <c r="A12" s="1"/>
      <c r="B12" s="5"/>
      <c r="C12" s="54" t="s">
        <v>664</v>
      </c>
      <c r="D12" s="55">
        <v>37684.257180230001</v>
      </c>
      <c r="E12" s="55">
        <v>0</v>
      </c>
      <c r="F12" s="1"/>
      <c r="G12" s="6"/>
      <c r="H12" s="1"/>
      <c r="I12" s="1"/>
    </row>
    <row r="13" spans="1:9" x14ac:dyDescent="0.35">
      <c r="A13" s="1"/>
      <c r="B13" s="5"/>
      <c r="C13" s="54" t="s">
        <v>665</v>
      </c>
      <c r="D13" s="55">
        <v>28601.756585319999</v>
      </c>
      <c r="E13" s="55">
        <v>0</v>
      </c>
      <c r="F13" s="1"/>
      <c r="G13" s="6"/>
      <c r="H13" s="1"/>
      <c r="I13" s="1"/>
    </row>
    <row r="14" spans="1:9" x14ac:dyDescent="0.35">
      <c r="A14" s="1"/>
      <c r="B14" s="5"/>
      <c r="C14" s="54" t="s">
        <v>666</v>
      </c>
      <c r="D14" s="55">
        <v>29570.16152044</v>
      </c>
      <c r="E14" s="55">
        <v>0</v>
      </c>
      <c r="F14" s="1"/>
      <c r="G14" s="6"/>
      <c r="H14" s="1"/>
      <c r="I14" s="1"/>
    </row>
    <row r="15" spans="1:9" x14ac:dyDescent="0.35">
      <c r="A15" s="1"/>
      <c r="B15" s="5"/>
      <c r="C15" s="54" t="s">
        <v>667</v>
      </c>
      <c r="D15" s="55">
        <v>42075.080335439998</v>
      </c>
      <c r="E15" s="55">
        <v>0</v>
      </c>
      <c r="F15" s="1"/>
      <c r="G15" s="6"/>
      <c r="H15" s="1"/>
      <c r="I15" s="1"/>
    </row>
    <row r="16" spans="1:9" x14ac:dyDescent="0.35">
      <c r="A16" s="1"/>
      <c r="B16" s="9"/>
      <c r="C16" s="56" t="s">
        <v>609</v>
      </c>
      <c r="D16" s="57">
        <v>272876.95635641</v>
      </c>
      <c r="E16" s="57">
        <v>9686.1851999999999</v>
      </c>
      <c r="F16" s="10"/>
      <c r="G16" s="11"/>
      <c r="H16" s="1"/>
      <c r="I16" s="1"/>
    </row>
    <row r="17" ht="0" hidden="1" customHeight="1" x14ac:dyDescent="0.3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989C6-8D42-4F39-816D-42A1BB28EB9F}">
  <dimension ref="A1:X7"/>
  <sheetViews>
    <sheetView workbookViewId="0"/>
  </sheetViews>
  <sheetFormatPr baseColWidth="10" defaultColWidth="9.1796875" defaultRowHeight="14.5" x14ac:dyDescent="0.35"/>
  <cols>
    <col min="1" max="2" width="2.7265625" style="97" customWidth="1"/>
    <col min="3" max="3" width="8.54296875" style="97" customWidth="1"/>
    <col min="4" max="4" width="8.7265625" style="97" customWidth="1"/>
    <col min="5" max="5" width="12.26953125" style="97" customWidth="1"/>
    <col min="6" max="6" width="19.81640625" style="97" customWidth="1"/>
    <col min="7" max="7" width="14.54296875" style="97" customWidth="1"/>
    <col min="8" max="8" width="10.453125" style="97" customWidth="1"/>
    <col min="9" max="9" width="12.7265625" style="97" customWidth="1"/>
    <col min="10" max="10" width="11.54296875" style="97" bestFit="1" customWidth="1"/>
    <col min="11" max="11" width="9.54296875" style="97" bestFit="1" customWidth="1"/>
    <col min="12" max="12" width="10.453125" style="97" bestFit="1" customWidth="1"/>
    <col min="13" max="13" width="7.1796875" style="97" bestFit="1" customWidth="1"/>
    <col min="14" max="14" width="11.54296875" style="97" bestFit="1" customWidth="1"/>
    <col min="15" max="15" width="14.1796875" style="97" customWidth="1"/>
    <col min="16" max="16" width="11" style="97" customWidth="1"/>
    <col min="17" max="17" width="11.453125" style="97" bestFit="1" customWidth="1"/>
    <col min="18" max="19" width="11.26953125" style="97" bestFit="1" customWidth="1"/>
    <col min="20" max="20" width="10.54296875" style="97" customWidth="1"/>
    <col min="21" max="21" width="10.81640625" style="97" customWidth="1"/>
    <col min="22" max="22" width="3" style="97" customWidth="1"/>
    <col min="23" max="23" width="222.453125" style="97" customWidth="1"/>
    <col min="24" max="24" width="8.7265625" style="97" customWidth="1"/>
    <col min="25" max="16384" width="9.1796875" style="97"/>
  </cols>
  <sheetData>
    <row r="1" spans="1:24" x14ac:dyDescent="0.35">
      <c r="A1" s="96"/>
      <c r="B1" s="96"/>
      <c r="C1" s="96"/>
      <c r="D1" s="96"/>
      <c r="E1" s="96"/>
      <c r="F1" s="96"/>
      <c r="G1" s="96"/>
      <c r="H1" s="96"/>
      <c r="I1" s="96"/>
      <c r="J1" s="96"/>
      <c r="K1" s="96"/>
      <c r="L1" s="96"/>
      <c r="M1" s="96"/>
      <c r="N1" s="96"/>
      <c r="O1" s="96"/>
      <c r="P1" s="96"/>
      <c r="Q1" s="96"/>
      <c r="R1" s="96"/>
      <c r="S1" s="96"/>
      <c r="T1" s="96"/>
      <c r="U1" s="96"/>
      <c r="V1" s="96"/>
      <c r="W1" s="96"/>
      <c r="X1" s="96"/>
    </row>
    <row r="2" spans="1:24" x14ac:dyDescent="0.35">
      <c r="A2" s="96"/>
      <c r="B2" s="98"/>
      <c r="C2" s="99"/>
      <c r="D2" s="99"/>
      <c r="E2" s="99"/>
      <c r="F2" s="99"/>
      <c r="G2" s="99"/>
      <c r="H2" s="99"/>
      <c r="I2" s="99"/>
      <c r="J2" s="99"/>
      <c r="K2" s="99"/>
      <c r="L2" s="99"/>
      <c r="M2" s="99"/>
      <c r="N2" s="99"/>
      <c r="O2" s="99"/>
      <c r="P2" s="99"/>
      <c r="Q2" s="99"/>
      <c r="R2" s="99"/>
      <c r="S2" s="99"/>
      <c r="T2" s="99"/>
      <c r="U2" s="99"/>
      <c r="V2" s="100"/>
      <c r="W2" s="96"/>
      <c r="X2" s="96"/>
    </row>
    <row r="3" spans="1:24" x14ac:dyDescent="0.35">
      <c r="A3" s="96"/>
      <c r="B3" s="101"/>
      <c r="C3" s="102"/>
      <c r="D3" s="102"/>
      <c r="E3" s="102"/>
      <c r="F3" s="102"/>
      <c r="G3" s="102"/>
      <c r="H3" s="102"/>
      <c r="I3" s="102"/>
      <c r="J3" s="102"/>
      <c r="K3" s="102"/>
      <c r="L3" s="102"/>
      <c r="M3" s="102"/>
      <c r="N3" s="102"/>
      <c r="O3" s="102"/>
      <c r="P3" s="102"/>
      <c r="Q3" s="102"/>
      <c r="R3" s="102"/>
      <c r="S3" s="102"/>
      <c r="T3" s="102"/>
      <c r="U3" s="102"/>
      <c r="V3" s="103"/>
      <c r="W3" s="96"/>
      <c r="X3" s="96"/>
    </row>
    <row r="4" spans="1:24" ht="59" customHeight="1" x14ac:dyDescent="0.35">
      <c r="A4" s="96"/>
      <c r="B4" s="101"/>
      <c r="C4" s="96"/>
      <c r="D4" s="96"/>
      <c r="E4" s="96"/>
      <c r="F4" s="96"/>
      <c r="G4" s="96"/>
      <c r="H4" s="96"/>
      <c r="I4" s="96"/>
      <c r="J4" s="96"/>
      <c r="K4" s="96"/>
      <c r="L4" s="96"/>
      <c r="M4" s="96"/>
      <c r="N4" s="96"/>
      <c r="O4" s="96"/>
      <c r="P4" s="96"/>
      <c r="Q4" s="96"/>
      <c r="R4" s="96"/>
      <c r="S4" s="96"/>
      <c r="T4" s="96"/>
      <c r="U4" s="96"/>
      <c r="V4" s="103"/>
      <c r="W4" s="96"/>
      <c r="X4" s="96"/>
    </row>
    <row r="5" spans="1:24" ht="37.5" x14ac:dyDescent="0.35">
      <c r="A5" s="96"/>
      <c r="B5" s="101"/>
      <c r="C5" s="104" t="s">
        <v>1162</v>
      </c>
      <c r="D5" s="104" t="s">
        <v>1163</v>
      </c>
      <c r="E5" s="104" t="s">
        <v>1164</v>
      </c>
      <c r="F5" s="104" t="s">
        <v>1165</v>
      </c>
      <c r="G5" s="104" t="s">
        <v>1166</v>
      </c>
      <c r="H5" s="104" t="s">
        <v>1167</v>
      </c>
      <c r="I5" s="104" t="s">
        <v>1168</v>
      </c>
      <c r="J5" s="104" t="s">
        <v>1169</v>
      </c>
      <c r="K5" s="104" t="s">
        <v>1170</v>
      </c>
      <c r="L5" s="104" t="s">
        <v>1171</v>
      </c>
      <c r="M5" s="104" t="s">
        <v>1172</v>
      </c>
      <c r="N5" s="104" t="s">
        <v>1173</v>
      </c>
      <c r="O5" s="104" t="s">
        <v>1174</v>
      </c>
      <c r="P5" s="104" t="s">
        <v>1175</v>
      </c>
      <c r="Q5" s="104" t="s">
        <v>1176</v>
      </c>
      <c r="R5" s="104" t="s">
        <v>1177</v>
      </c>
      <c r="S5" s="104" t="s">
        <v>1178</v>
      </c>
      <c r="T5" s="104" t="s">
        <v>1179</v>
      </c>
      <c r="U5" s="104" t="s">
        <v>1180</v>
      </c>
      <c r="V5" s="103"/>
      <c r="W5" s="96"/>
      <c r="X5" s="96"/>
    </row>
    <row r="6" spans="1:24" x14ac:dyDescent="0.35">
      <c r="A6" s="96"/>
      <c r="B6" s="101"/>
      <c r="C6" s="105"/>
      <c r="D6" s="105"/>
      <c r="E6" s="105"/>
      <c r="F6" s="105"/>
      <c r="G6" s="105"/>
      <c r="H6" s="105"/>
      <c r="I6" s="105"/>
      <c r="J6" s="105"/>
      <c r="K6" s="105"/>
      <c r="L6" s="105"/>
      <c r="M6" s="105"/>
      <c r="N6" s="105"/>
      <c r="O6" s="105"/>
      <c r="P6" s="105"/>
      <c r="Q6" s="105"/>
      <c r="R6" s="105"/>
      <c r="S6" s="106"/>
      <c r="T6" s="106"/>
      <c r="U6" s="106"/>
      <c r="V6" s="103"/>
      <c r="W6" s="96"/>
      <c r="X6" s="96"/>
    </row>
    <row r="7" spans="1:24" x14ac:dyDescent="0.35">
      <c r="A7" s="96"/>
      <c r="B7" s="107"/>
      <c r="C7" s="108"/>
      <c r="D7" s="108"/>
      <c r="E7" s="108"/>
      <c r="F7" s="108"/>
      <c r="G7" s="108"/>
      <c r="H7" s="108"/>
      <c r="I7" s="108"/>
      <c r="J7" s="108"/>
      <c r="K7" s="108"/>
      <c r="L7" s="108"/>
      <c r="M7" s="108"/>
      <c r="N7" s="108"/>
      <c r="O7" s="108"/>
      <c r="P7" s="108"/>
      <c r="Q7" s="108"/>
      <c r="R7" s="108"/>
      <c r="S7" s="109"/>
      <c r="T7" s="109"/>
      <c r="U7" s="109"/>
      <c r="V7" s="110"/>
      <c r="W7" s="96"/>
      <c r="X7" s="96"/>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5"/>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668</v>
      </c>
      <c r="D5" s="23" t="s">
        <v>643</v>
      </c>
      <c r="E5" s="23" t="s">
        <v>642</v>
      </c>
      <c r="F5" s="23" t="s">
        <v>641</v>
      </c>
      <c r="G5" s="1"/>
      <c r="H5" s="6"/>
      <c r="I5" s="1"/>
      <c r="J5" s="1"/>
    </row>
    <row r="6" spans="1:10" x14ac:dyDescent="0.35">
      <c r="A6" s="1"/>
      <c r="B6" s="5"/>
      <c r="C6" s="25" t="s">
        <v>669</v>
      </c>
      <c r="D6" s="50">
        <v>2855501.161167</v>
      </c>
      <c r="E6" s="50">
        <v>2802398000000</v>
      </c>
      <c r="F6" s="50">
        <v>48</v>
      </c>
      <c r="G6" s="1"/>
      <c r="H6" s="6"/>
      <c r="I6" s="1"/>
      <c r="J6" s="1"/>
    </row>
    <row r="7" spans="1:10" x14ac:dyDescent="0.35">
      <c r="A7" s="1"/>
      <c r="B7" s="5"/>
      <c r="C7" s="25" t="s">
        <v>670</v>
      </c>
      <c r="D7" s="50">
        <v>2905539.7566120001</v>
      </c>
      <c r="E7" s="50">
        <v>2012783000000</v>
      </c>
      <c r="F7" s="50">
        <v>90</v>
      </c>
      <c r="G7" s="1"/>
      <c r="H7" s="6"/>
      <c r="I7" s="1"/>
      <c r="J7" s="1"/>
    </row>
    <row r="8" spans="1:10" x14ac:dyDescent="0.35">
      <c r="A8" s="1"/>
      <c r="B8" s="5"/>
      <c r="C8" s="25" t="s">
        <v>671</v>
      </c>
      <c r="D8" s="50">
        <v>229619.46033500001</v>
      </c>
      <c r="E8" s="50">
        <v>147449874000</v>
      </c>
      <c r="F8" s="50">
        <v>29</v>
      </c>
      <c r="G8" s="1"/>
      <c r="H8" s="6"/>
      <c r="I8" s="1"/>
      <c r="J8" s="1"/>
    </row>
    <row r="9" spans="1:10" x14ac:dyDescent="0.35">
      <c r="A9" s="1"/>
      <c r="B9" s="5"/>
      <c r="C9" s="25" t="s">
        <v>672</v>
      </c>
      <c r="D9" s="50">
        <v>9727.1720000000005</v>
      </c>
      <c r="E9" s="50">
        <v>10000000000</v>
      </c>
      <c r="F9" s="50">
        <v>6</v>
      </c>
      <c r="G9" s="1"/>
      <c r="H9" s="6"/>
      <c r="I9" s="1"/>
      <c r="J9" s="1"/>
    </row>
    <row r="10" spans="1:10" x14ac:dyDescent="0.35">
      <c r="A10" s="1"/>
      <c r="B10" s="5"/>
      <c r="C10" s="25" t="s">
        <v>673</v>
      </c>
      <c r="D10" s="50">
        <v>58065.344534999997</v>
      </c>
      <c r="E10" s="50">
        <v>130000000</v>
      </c>
      <c r="F10" s="50">
        <v>1</v>
      </c>
      <c r="G10" s="1"/>
      <c r="H10" s="6"/>
      <c r="I10" s="1"/>
      <c r="J10" s="1"/>
    </row>
    <row r="11" spans="1:10" x14ac:dyDescent="0.35">
      <c r="A11" s="1"/>
      <c r="B11" s="5"/>
      <c r="C11" s="25" t="s">
        <v>674</v>
      </c>
      <c r="D11" s="50">
        <v>15853.465489</v>
      </c>
      <c r="E11" s="50">
        <v>15510971922</v>
      </c>
      <c r="F11" s="50">
        <v>28</v>
      </c>
      <c r="G11" s="1"/>
      <c r="H11" s="6"/>
      <c r="I11" s="1"/>
      <c r="J11" s="1"/>
    </row>
    <row r="12" spans="1:10" x14ac:dyDescent="0.35">
      <c r="A12" s="1"/>
      <c r="B12" s="5"/>
      <c r="C12" s="25" t="s">
        <v>675</v>
      </c>
      <c r="D12" s="50">
        <v>60000</v>
      </c>
      <c r="E12" s="50">
        <v>60000000000</v>
      </c>
      <c r="F12" s="50">
        <v>3</v>
      </c>
      <c r="G12" s="1"/>
      <c r="H12" s="6"/>
      <c r="I12" s="1"/>
      <c r="J12" s="1"/>
    </row>
    <row r="13" spans="1:10" x14ac:dyDescent="0.35">
      <c r="A13" s="1"/>
      <c r="B13" s="5"/>
      <c r="C13" s="25" t="s">
        <v>676</v>
      </c>
      <c r="D13" s="50">
        <v>152514.04734799999</v>
      </c>
      <c r="E13" s="50">
        <v>151948990000</v>
      </c>
      <c r="F13" s="50">
        <v>73</v>
      </c>
      <c r="G13" s="1"/>
      <c r="H13" s="6"/>
      <c r="I13" s="1"/>
      <c r="J13" s="1"/>
    </row>
    <row r="14" spans="1:10" x14ac:dyDescent="0.35">
      <c r="A14" s="1"/>
      <c r="B14" s="5"/>
      <c r="C14" s="25" t="s">
        <v>677</v>
      </c>
      <c r="D14" s="50">
        <v>510737.56961300003</v>
      </c>
      <c r="E14" s="50">
        <v>510737569613</v>
      </c>
      <c r="F14" s="50">
        <v>122</v>
      </c>
      <c r="G14" s="1"/>
      <c r="H14" s="6"/>
      <c r="I14" s="1"/>
      <c r="J14" s="1"/>
    </row>
    <row r="15" spans="1:10" x14ac:dyDescent="0.35">
      <c r="A15" s="1"/>
      <c r="B15" s="9"/>
      <c r="C15" s="25" t="s">
        <v>678</v>
      </c>
      <c r="D15" s="50">
        <v>4128368.7121879999</v>
      </c>
      <c r="E15" s="50">
        <v>2942343236297</v>
      </c>
      <c r="F15" s="50">
        <v>500</v>
      </c>
      <c r="G15" s="10"/>
      <c r="H15" s="11"/>
      <c r="I15" s="1"/>
      <c r="J15"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5"/>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639</v>
      </c>
      <c r="D5" s="23" t="s">
        <v>679</v>
      </c>
      <c r="E5" s="23" t="s">
        <v>680</v>
      </c>
      <c r="F5" s="23" t="s">
        <v>681</v>
      </c>
      <c r="G5" s="23" t="s">
        <v>682</v>
      </c>
      <c r="H5" s="74" t="s">
        <v>683</v>
      </c>
      <c r="I5" s="76"/>
      <c r="J5" s="23" t="s">
        <v>684</v>
      </c>
      <c r="K5" s="23" t="s">
        <v>685</v>
      </c>
      <c r="L5" s="23" t="s">
        <v>686</v>
      </c>
      <c r="M5" s="23" t="s">
        <v>687</v>
      </c>
      <c r="N5" s="23" t="s">
        <v>642</v>
      </c>
      <c r="O5" s="1"/>
      <c r="P5" s="1"/>
    </row>
    <row r="6" spans="1:16" x14ac:dyDescent="0.35">
      <c r="A6" s="1"/>
      <c r="B6" s="5"/>
      <c r="C6" s="25" t="s">
        <v>688</v>
      </c>
      <c r="D6" s="25" t="s">
        <v>259</v>
      </c>
      <c r="E6" s="25" t="s">
        <v>516</v>
      </c>
      <c r="F6" s="25" t="s">
        <v>689</v>
      </c>
      <c r="G6" s="25">
        <v>396</v>
      </c>
      <c r="H6" s="90" t="s">
        <v>690</v>
      </c>
      <c r="I6" s="76"/>
      <c r="J6" s="25">
        <v>0.85</v>
      </c>
      <c r="K6" s="25" t="s">
        <v>691</v>
      </c>
      <c r="L6" s="25" t="s">
        <v>692</v>
      </c>
      <c r="M6" s="25">
        <v>100</v>
      </c>
      <c r="N6" s="25">
        <v>21000000000</v>
      </c>
      <c r="O6" s="1"/>
      <c r="P6" s="1"/>
    </row>
    <row r="7" spans="1:16" x14ac:dyDescent="0.35">
      <c r="A7" s="1"/>
      <c r="B7" s="5"/>
      <c r="C7" s="25" t="s">
        <v>688</v>
      </c>
      <c r="D7" s="25" t="s">
        <v>259</v>
      </c>
      <c r="E7" s="25" t="s">
        <v>516</v>
      </c>
      <c r="F7" s="25" t="s">
        <v>693</v>
      </c>
      <c r="G7" s="25">
        <v>427</v>
      </c>
      <c r="H7" s="90" t="s">
        <v>690</v>
      </c>
      <c r="I7" s="76"/>
      <c r="J7" s="25">
        <v>0.9</v>
      </c>
      <c r="K7" s="25" t="s">
        <v>691</v>
      </c>
      <c r="L7" s="25" t="s">
        <v>692</v>
      </c>
      <c r="M7" s="25">
        <v>100</v>
      </c>
      <c r="N7" s="25">
        <v>4000000000</v>
      </c>
      <c r="O7" s="1"/>
      <c r="P7" s="1"/>
    </row>
    <row r="8" spans="1:16" x14ac:dyDescent="0.35">
      <c r="A8" s="1"/>
      <c r="B8" s="5"/>
      <c r="C8" s="25" t="s">
        <v>694</v>
      </c>
      <c r="D8" s="25" t="s">
        <v>259</v>
      </c>
      <c r="E8" s="25" t="s">
        <v>516</v>
      </c>
      <c r="F8" s="25" t="s">
        <v>695</v>
      </c>
      <c r="G8" s="25">
        <v>303</v>
      </c>
      <c r="H8" s="90" t="s">
        <v>696</v>
      </c>
      <c r="I8" s="76"/>
      <c r="J8" s="25">
        <v>12.8146</v>
      </c>
      <c r="K8" s="25" t="s">
        <v>691</v>
      </c>
      <c r="L8" s="25" t="s">
        <v>697</v>
      </c>
      <c r="M8" s="25">
        <v>100</v>
      </c>
      <c r="N8" s="25">
        <v>730000000</v>
      </c>
      <c r="O8" s="1"/>
      <c r="P8" s="1"/>
    </row>
    <row r="9" spans="1:16" x14ac:dyDescent="0.35">
      <c r="A9" s="1"/>
      <c r="B9" s="5"/>
      <c r="C9" s="25" t="s">
        <v>694</v>
      </c>
      <c r="D9" s="25" t="s">
        <v>259</v>
      </c>
      <c r="E9" s="25" t="s">
        <v>516</v>
      </c>
      <c r="F9" s="25" t="s">
        <v>698</v>
      </c>
      <c r="G9" s="25">
        <v>304</v>
      </c>
      <c r="H9" s="90" t="s">
        <v>696</v>
      </c>
      <c r="I9" s="76"/>
      <c r="J9" s="25">
        <v>12.8658</v>
      </c>
      <c r="K9" s="25" t="s">
        <v>691</v>
      </c>
      <c r="L9" s="25" t="s">
        <v>697</v>
      </c>
      <c r="M9" s="25">
        <v>100</v>
      </c>
      <c r="N9" s="25">
        <v>11000000000</v>
      </c>
      <c r="O9" s="1"/>
      <c r="P9" s="1"/>
    </row>
    <row r="10" spans="1:16" x14ac:dyDescent="0.35">
      <c r="A10" s="1"/>
      <c r="B10" s="5"/>
      <c r="C10" s="25" t="s">
        <v>694</v>
      </c>
      <c r="D10" s="25" t="s">
        <v>259</v>
      </c>
      <c r="E10" s="25" t="s">
        <v>516</v>
      </c>
      <c r="F10" s="25" t="s">
        <v>699</v>
      </c>
      <c r="G10" s="25">
        <v>457</v>
      </c>
      <c r="H10" s="90" t="s">
        <v>696</v>
      </c>
      <c r="I10" s="76"/>
      <c r="J10" s="25">
        <v>12.5016</v>
      </c>
      <c r="K10" s="25" t="s">
        <v>691</v>
      </c>
      <c r="L10" s="25" t="s">
        <v>700</v>
      </c>
      <c r="M10" s="25">
        <v>100</v>
      </c>
      <c r="N10" s="25">
        <v>1000000000</v>
      </c>
      <c r="O10" s="1"/>
      <c r="P10" s="1"/>
    </row>
    <row r="11" spans="1:16" x14ac:dyDescent="0.35">
      <c r="A11" s="1"/>
      <c r="B11" s="5"/>
      <c r="C11" s="25" t="s">
        <v>694</v>
      </c>
      <c r="D11" s="25" t="s">
        <v>259</v>
      </c>
      <c r="E11" s="25" t="s">
        <v>516</v>
      </c>
      <c r="F11" s="25" t="s">
        <v>701</v>
      </c>
      <c r="G11" s="25">
        <v>549</v>
      </c>
      <c r="H11" s="90" t="s">
        <v>696</v>
      </c>
      <c r="I11" s="76"/>
      <c r="J11" s="25">
        <v>12.5016</v>
      </c>
      <c r="K11" s="25" t="s">
        <v>691</v>
      </c>
      <c r="L11" s="25" t="s">
        <v>700</v>
      </c>
      <c r="M11" s="25">
        <v>100</v>
      </c>
      <c r="N11" s="25">
        <v>10975000000</v>
      </c>
      <c r="O11" s="1"/>
      <c r="P11" s="1"/>
    </row>
    <row r="12" spans="1:16" x14ac:dyDescent="0.35">
      <c r="A12" s="1"/>
      <c r="B12" s="5"/>
      <c r="C12" s="25" t="s">
        <v>694</v>
      </c>
      <c r="D12" s="25" t="s">
        <v>259</v>
      </c>
      <c r="E12" s="25" t="s">
        <v>516</v>
      </c>
      <c r="F12" s="25" t="s">
        <v>701</v>
      </c>
      <c r="G12" s="25">
        <v>549</v>
      </c>
      <c r="H12" s="90" t="s">
        <v>696</v>
      </c>
      <c r="I12" s="76"/>
      <c r="J12" s="25">
        <v>13.520099999999999</v>
      </c>
      <c r="K12" s="25" t="s">
        <v>691</v>
      </c>
      <c r="L12" s="25" t="s">
        <v>697</v>
      </c>
      <c r="M12" s="25">
        <v>100</v>
      </c>
      <c r="N12" s="25">
        <v>1000000000</v>
      </c>
      <c r="O12" s="1"/>
      <c r="P12" s="1"/>
    </row>
    <row r="13" spans="1:16" x14ac:dyDescent="0.35">
      <c r="A13" s="1"/>
      <c r="B13" s="5"/>
      <c r="C13" s="25" t="s">
        <v>694</v>
      </c>
      <c r="D13" s="25" t="s">
        <v>259</v>
      </c>
      <c r="E13" s="25" t="s">
        <v>516</v>
      </c>
      <c r="F13" s="25" t="s">
        <v>702</v>
      </c>
      <c r="G13" s="25">
        <v>731</v>
      </c>
      <c r="H13" s="90" t="s">
        <v>696</v>
      </c>
      <c r="I13" s="76"/>
      <c r="J13" s="25">
        <v>12.5016</v>
      </c>
      <c r="K13" s="25" t="s">
        <v>691</v>
      </c>
      <c r="L13" s="25" t="s">
        <v>700</v>
      </c>
      <c r="M13" s="25">
        <v>100</v>
      </c>
      <c r="N13" s="25">
        <v>44209000000</v>
      </c>
      <c r="O13" s="1"/>
      <c r="P13" s="1"/>
    </row>
    <row r="14" spans="1:16" x14ac:dyDescent="0.35">
      <c r="A14" s="1"/>
      <c r="B14" s="5"/>
      <c r="C14" s="25" t="s">
        <v>694</v>
      </c>
      <c r="D14" s="25" t="s">
        <v>259</v>
      </c>
      <c r="E14" s="25" t="s">
        <v>516</v>
      </c>
      <c r="F14" s="25" t="s">
        <v>702</v>
      </c>
      <c r="G14" s="25">
        <v>731</v>
      </c>
      <c r="H14" s="90" t="s">
        <v>696</v>
      </c>
      <c r="I14" s="76"/>
      <c r="J14" s="25">
        <v>12.5472</v>
      </c>
      <c r="K14" s="25" t="s">
        <v>691</v>
      </c>
      <c r="L14" s="25" t="s">
        <v>700</v>
      </c>
      <c r="M14" s="25">
        <v>100</v>
      </c>
      <c r="N14" s="25">
        <v>12500000000</v>
      </c>
      <c r="O14" s="1"/>
      <c r="P14" s="1"/>
    </row>
    <row r="15" spans="1:16" x14ac:dyDescent="0.35">
      <c r="A15" s="1"/>
      <c r="B15" s="5"/>
      <c r="C15" s="25" t="s">
        <v>703</v>
      </c>
      <c r="D15" s="25" t="s">
        <v>259</v>
      </c>
      <c r="E15" s="25" t="s">
        <v>516</v>
      </c>
      <c r="F15" s="25" t="s">
        <v>701</v>
      </c>
      <c r="G15" s="25">
        <v>549</v>
      </c>
      <c r="H15" s="90" t="s">
        <v>696</v>
      </c>
      <c r="I15" s="76"/>
      <c r="J15" s="25">
        <v>12.5472</v>
      </c>
      <c r="K15" s="25" t="s">
        <v>691</v>
      </c>
      <c r="L15" s="25" t="s">
        <v>700</v>
      </c>
      <c r="M15" s="25">
        <v>100</v>
      </c>
      <c r="N15" s="25">
        <v>10000000000</v>
      </c>
      <c r="O15" s="1"/>
      <c r="P15" s="1"/>
    </row>
    <row r="16" spans="1:16" x14ac:dyDescent="0.35">
      <c r="A16" s="1"/>
      <c r="B16" s="5"/>
      <c r="C16" s="25" t="s">
        <v>704</v>
      </c>
      <c r="D16" s="25" t="s">
        <v>705</v>
      </c>
      <c r="E16" s="25" t="s">
        <v>516</v>
      </c>
      <c r="F16" s="25" t="s">
        <v>706</v>
      </c>
      <c r="G16" s="25">
        <v>365</v>
      </c>
      <c r="H16" s="90" t="s">
        <v>690</v>
      </c>
      <c r="I16" s="76"/>
      <c r="J16" s="25">
        <v>0.8</v>
      </c>
      <c r="K16" s="25" t="s">
        <v>691</v>
      </c>
      <c r="L16" s="25" t="s">
        <v>692</v>
      </c>
      <c r="M16" s="25">
        <v>100</v>
      </c>
      <c r="N16" s="25">
        <v>27000000000</v>
      </c>
      <c r="O16" s="1"/>
      <c r="P16" s="1"/>
    </row>
    <row r="17" spans="1:16" x14ac:dyDescent="0.35">
      <c r="A17" s="1"/>
      <c r="B17" s="5"/>
      <c r="C17" s="25" t="s">
        <v>707</v>
      </c>
      <c r="D17" s="25" t="s">
        <v>708</v>
      </c>
      <c r="E17" s="25" t="s">
        <v>516</v>
      </c>
      <c r="F17" s="25" t="s">
        <v>706</v>
      </c>
      <c r="G17" s="25">
        <v>365</v>
      </c>
      <c r="H17" s="90" t="s">
        <v>696</v>
      </c>
      <c r="I17" s="76"/>
      <c r="J17" s="25">
        <v>12.410399999999999</v>
      </c>
      <c r="K17" s="25" t="s">
        <v>691</v>
      </c>
      <c r="L17" s="25" t="s">
        <v>700</v>
      </c>
      <c r="M17" s="25">
        <v>100</v>
      </c>
      <c r="N17" s="25">
        <v>30000000000</v>
      </c>
      <c r="O17" s="1"/>
      <c r="P17" s="1"/>
    </row>
    <row r="18" spans="1:16" x14ac:dyDescent="0.35">
      <c r="A18" s="1"/>
      <c r="B18" s="5"/>
      <c r="C18" s="25" t="s">
        <v>709</v>
      </c>
      <c r="D18" s="25" t="s">
        <v>710</v>
      </c>
      <c r="E18" s="25" t="s">
        <v>516</v>
      </c>
      <c r="F18" s="25" t="s">
        <v>711</v>
      </c>
      <c r="G18" s="25">
        <v>184</v>
      </c>
      <c r="H18" s="90" t="s">
        <v>696</v>
      </c>
      <c r="I18" s="76"/>
      <c r="J18" s="25">
        <v>11.849</v>
      </c>
      <c r="K18" s="25" t="s">
        <v>691</v>
      </c>
      <c r="L18" s="25" t="s">
        <v>697</v>
      </c>
      <c r="M18" s="25">
        <v>100</v>
      </c>
      <c r="N18" s="25">
        <v>350000000</v>
      </c>
      <c r="O18" s="1"/>
      <c r="P18" s="1"/>
    </row>
    <row r="19" spans="1:16" x14ac:dyDescent="0.35">
      <c r="A19" s="1"/>
      <c r="B19" s="5"/>
      <c r="C19" s="25" t="s">
        <v>709</v>
      </c>
      <c r="D19" s="25" t="s">
        <v>710</v>
      </c>
      <c r="E19" s="25" t="s">
        <v>516</v>
      </c>
      <c r="F19" s="25" t="s">
        <v>712</v>
      </c>
      <c r="G19" s="25">
        <v>915</v>
      </c>
      <c r="H19" s="90" t="s">
        <v>696</v>
      </c>
      <c r="I19" s="76"/>
      <c r="J19" s="25">
        <v>12.319100000000001</v>
      </c>
      <c r="K19" s="25" t="s">
        <v>691</v>
      </c>
      <c r="L19" s="25" t="s">
        <v>700</v>
      </c>
      <c r="M19" s="25">
        <v>100</v>
      </c>
      <c r="N19" s="25">
        <v>2000000000</v>
      </c>
      <c r="O19" s="1"/>
      <c r="P19" s="1"/>
    </row>
    <row r="20" spans="1:16" x14ac:dyDescent="0.35">
      <c r="A20" s="1"/>
      <c r="B20" s="5"/>
      <c r="C20" s="25" t="s">
        <v>713</v>
      </c>
      <c r="D20" s="25" t="s">
        <v>318</v>
      </c>
      <c r="E20" s="25" t="s">
        <v>516</v>
      </c>
      <c r="F20" s="25" t="s">
        <v>706</v>
      </c>
      <c r="G20" s="25">
        <v>365</v>
      </c>
      <c r="H20" s="90" t="s">
        <v>690</v>
      </c>
      <c r="I20" s="76"/>
      <c r="J20" s="25">
        <v>0.85</v>
      </c>
      <c r="K20" s="25" t="s">
        <v>691</v>
      </c>
      <c r="L20" s="25" t="s">
        <v>692</v>
      </c>
      <c r="M20" s="25">
        <v>100</v>
      </c>
      <c r="N20" s="25">
        <v>24500000000</v>
      </c>
      <c r="O20" s="1"/>
      <c r="P20" s="1"/>
    </row>
    <row r="21" spans="1:16" x14ac:dyDescent="0.35">
      <c r="A21" s="1"/>
      <c r="B21" s="5"/>
      <c r="C21" s="25" t="s">
        <v>714</v>
      </c>
      <c r="D21" s="25" t="s">
        <v>318</v>
      </c>
      <c r="E21" s="25" t="s">
        <v>516</v>
      </c>
      <c r="F21" s="25" t="s">
        <v>715</v>
      </c>
      <c r="G21" s="25">
        <v>92</v>
      </c>
      <c r="H21" s="90" t="s">
        <v>696</v>
      </c>
      <c r="I21" s="76"/>
      <c r="J21" s="25">
        <v>11.3111</v>
      </c>
      <c r="K21" s="25" t="s">
        <v>691</v>
      </c>
      <c r="L21" s="25" t="s">
        <v>697</v>
      </c>
      <c r="M21" s="25">
        <v>100</v>
      </c>
      <c r="N21" s="25">
        <v>10000000000</v>
      </c>
      <c r="O21" s="1"/>
      <c r="P21" s="1"/>
    </row>
    <row r="22" spans="1:16" x14ac:dyDescent="0.35">
      <c r="A22" s="1"/>
      <c r="B22" s="5"/>
      <c r="C22" s="25" t="s">
        <v>714</v>
      </c>
      <c r="D22" s="25" t="s">
        <v>318</v>
      </c>
      <c r="E22" s="25" t="s">
        <v>516</v>
      </c>
      <c r="F22" s="25" t="s">
        <v>706</v>
      </c>
      <c r="G22" s="25">
        <v>365</v>
      </c>
      <c r="H22" s="90" t="s">
        <v>696</v>
      </c>
      <c r="I22" s="76"/>
      <c r="J22" s="25">
        <v>12.5016</v>
      </c>
      <c r="K22" s="25" t="s">
        <v>691</v>
      </c>
      <c r="L22" s="25" t="s">
        <v>700</v>
      </c>
      <c r="M22" s="25">
        <v>100</v>
      </c>
      <c r="N22" s="25">
        <v>27000000000</v>
      </c>
      <c r="O22" s="1"/>
      <c r="P22" s="1"/>
    </row>
    <row r="23" spans="1:16" x14ac:dyDescent="0.35">
      <c r="A23" s="1"/>
      <c r="B23" s="5"/>
      <c r="C23" s="25" t="s">
        <v>716</v>
      </c>
      <c r="D23" s="25" t="s">
        <v>717</v>
      </c>
      <c r="E23" s="25" t="s">
        <v>516</v>
      </c>
      <c r="F23" s="25" t="s">
        <v>711</v>
      </c>
      <c r="G23" s="25">
        <v>184</v>
      </c>
      <c r="H23" s="90" t="s">
        <v>696</v>
      </c>
      <c r="I23" s="76"/>
      <c r="J23" s="25">
        <v>11.6601</v>
      </c>
      <c r="K23" s="25" t="s">
        <v>691</v>
      </c>
      <c r="L23" s="25" t="s">
        <v>697</v>
      </c>
      <c r="M23" s="25">
        <v>100</v>
      </c>
      <c r="N23" s="25">
        <v>2500000000</v>
      </c>
      <c r="O23" s="1"/>
      <c r="P23" s="1"/>
    </row>
    <row r="24" spans="1:16" x14ac:dyDescent="0.35">
      <c r="A24" s="1"/>
      <c r="B24" s="5"/>
      <c r="C24" s="25" t="s">
        <v>716</v>
      </c>
      <c r="D24" s="25" t="s">
        <v>717</v>
      </c>
      <c r="E24" s="25" t="s">
        <v>516</v>
      </c>
      <c r="F24" s="25" t="s">
        <v>706</v>
      </c>
      <c r="G24" s="25">
        <v>365</v>
      </c>
      <c r="H24" s="90" t="s">
        <v>696</v>
      </c>
      <c r="I24" s="76"/>
      <c r="J24" s="25">
        <v>12.9</v>
      </c>
      <c r="K24" s="25" t="s">
        <v>691</v>
      </c>
      <c r="L24" s="25" t="s">
        <v>697</v>
      </c>
      <c r="M24" s="25">
        <v>100</v>
      </c>
      <c r="N24" s="25">
        <v>3005000000</v>
      </c>
      <c r="O24" s="1"/>
      <c r="P24" s="1"/>
    </row>
    <row r="25" spans="1:16" x14ac:dyDescent="0.35">
      <c r="A25" s="1"/>
      <c r="B25" s="5"/>
      <c r="C25" s="25" t="s">
        <v>718</v>
      </c>
      <c r="D25" s="25" t="s">
        <v>600</v>
      </c>
      <c r="E25" s="25" t="s">
        <v>516</v>
      </c>
      <c r="F25" s="25" t="s">
        <v>719</v>
      </c>
      <c r="G25" s="25">
        <v>1096</v>
      </c>
      <c r="H25" s="90" t="s">
        <v>696</v>
      </c>
      <c r="I25" s="76"/>
      <c r="J25" s="25">
        <v>12.319100000000001</v>
      </c>
      <c r="K25" s="25" t="s">
        <v>691</v>
      </c>
      <c r="L25" s="25" t="s">
        <v>700</v>
      </c>
      <c r="M25" s="25">
        <v>100</v>
      </c>
      <c r="N25" s="25">
        <v>32600000000</v>
      </c>
      <c r="O25" s="1"/>
      <c r="P25" s="1"/>
    </row>
    <row r="26" spans="1:16" x14ac:dyDescent="0.35">
      <c r="A26" s="1"/>
      <c r="B26" s="5"/>
      <c r="C26" s="25" t="s">
        <v>720</v>
      </c>
      <c r="D26" s="25" t="s">
        <v>721</v>
      </c>
      <c r="E26" s="25" t="s">
        <v>516</v>
      </c>
      <c r="F26" s="25" t="s">
        <v>706</v>
      </c>
      <c r="G26" s="25">
        <v>365</v>
      </c>
      <c r="H26" s="90" t="s">
        <v>690</v>
      </c>
      <c r="I26" s="76"/>
      <c r="J26" s="25">
        <v>0.85</v>
      </c>
      <c r="K26" s="25" t="s">
        <v>691</v>
      </c>
      <c r="L26" s="25" t="s">
        <v>692</v>
      </c>
      <c r="M26" s="25">
        <v>100</v>
      </c>
      <c r="N26" s="25">
        <v>50000000000</v>
      </c>
      <c r="O26" s="1"/>
      <c r="P26" s="1"/>
    </row>
    <row r="27" spans="1:16" x14ac:dyDescent="0.35">
      <c r="A27" s="1"/>
      <c r="B27" s="5"/>
      <c r="C27" s="25" t="s">
        <v>722</v>
      </c>
      <c r="D27" s="25" t="s">
        <v>723</v>
      </c>
      <c r="E27" s="25" t="s">
        <v>516</v>
      </c>
      <c r="F27" s="25" t="s">
        <v>702</v>
      </c>
      <c r="G27" s="25">
        <v>731</v>
      </c>
      <c r="H27" s="90" t="s">
        <v>724</v>
      </c>
      <c r="I27" s="76"/>
      <c r="J27" s="25">
        <v>6.3</v>
      </c>
      <c r="K27" s="25" t="s">
        <v>691</v>
      </c>
      <c r="L27" s="25" t="s">
        <v>700</v>
      </c>
      <c r="M27" s="25">
        <v>100</v>
      </c>
      <c r="N27" s="25">
        <v>2000000000</v>
      </c>
      <c r="O27" s="1"/>
      <c r="P27" s="1"/>
    </row>
    <row r="28" spans="1:16" x14ac:dyDescent="0.35">
      <c r="A28" s="1"/>
      <c r="B28" s="5"/>
      <c r="C28" s="25" t="s">
        <v>725</v>
      </c>
      <c r="D28" s="25" t="s">
        <v>723</v>
      </c>
      <c r="E28" s="25" t="s">
        <v>516</v>
      </c>
      <c r="F28" s="25" t="s">
        <v>702</v>
      </c>
      <c r="G28" s="25">
        <v>731</v>
      </c>
      <c r="H28" s="90" t="s">
        <v>696</v>
      </c>
      <c r="I28" s="76"/>
      <c r="J28" s="25">
        <v>12.55</v>
      </c>
      <c r="K28" s="25" t="s">
        <v>691</v>
      </c>
      <c r="L28" s="25" t="s">
        <v>700</v>
      </c>
      <c r="M28" s="25">
        <v>100</v>
      </c>
      <c r="N28" s="25">
        <v>4000000000</v>
      </c>
      <c r="O28" s="1"/>
      <c r="P28" s="1"/>
    </row>
    <row r="29" spans="1:16" x14ac:dyDescent="0.35">
      <c r="A29" s="1"/>
      <c r="B29" s="5"/>
      <c r="C29" s="25" t="s">
        <v>726</v>
      </c>
      <c r="D29" s="25" t="s">
        <v>727</v>
      </c>
      <c r="E29" s="25" t="s">
        <v>516</v>
      </c>
      <c r="F29" s="25" t="s">
        <v>701</v>
      </c>
      <c r="G29" s="25">
        <v>549</v>
      </c>
      <c r="H29" s="90" t="s">
        <v>696</v>
      </c>
      <c r="I29" s="76"/>
      <c r="J29" s="25">
        <v>12.5016</v>
      </c>
      <c r="K29" s="25" t="s">
        <v>691</v>
      </c>
      <c r="L29" s="25" t="s">
        <v>700</v>
      </c>
      <c r="M29" s="25">
        <v>100</v>
      </c>
      <c r="N29" s="25">
        <v>2000000000</v>
      </c>
      <c r="O29" s="1"/>
      <c r="P29" s="1"/>
    </row>
    <row r="30" spans="1:16" x14ac:dyDescent="0.35">
      <c r="A30" s="1"/>
      <c r="B30" s="5"/>
      <c r="C30" s="25" t="s">
        <v>728</v>
      </c>
      <c r="D30" s="25" t="s">
        <v>729</v>
      </c>
      <c r="E30" s="25" t="s">
        <v>516</v>
      </c>
      <c r="F30" s="25" t="s">
        <v>711</v>
      </c>
      <c r="G30" s="25">
        <v>184</v>
      </c>
      <c r="H30" s="90" t="s">
        <v>696</v>
      </c>
      <c r="I30" s="76"/>
      <c r="J30" s="25">
        <v>12.132</v>
      </c>
      <c r="K30" s="25" t="s">
        <v>691</v>
      </c>
      <c r="L30" s="25" t="s">
        <v>697</v>
      </c>
      <c r="M30" s="25">
        <v>100</v>
      </c>
      <c r="N30" s="25">
        <v>697700000</v>
      </c>
      <c r="O30" s="1"/>
      <c r="P30" s="1"/>
    </row>
    <row r="31" spans="1:16" x14ac:dyDescent="0.35">
      <c r="A31" s="1"/>
      <c r="B31" s="5"/>
      <c r="C31" s="25" t="s">
        <v>730</v>
      </c>
      <c r="D31" s="25" t="s">
        <v>327</v>
      </c>
      <c r="E31" s="25" t="s">
        <v>516</v>
      </c>
      <c r="F31" s="25" t="s">
        <v>706</v>
      </c>
      <c r="G31" s="25">
        <v>365</v>
      </c>
      <c r="H31" s="90" t="s">
        <v>724</v>
      </c>
      <c r="I31" s="76"/>
      <c r="J31" s="25">
        <v>6</v>
      </c>
      <c r="K31" s="25" t="s">
        <v>691</v>
      </c>
      <c r="L31" s="25" t="s">
        <v>700</v>
      </c>
      <c r="M31" s="25">
        <v>100</v>
      </c>
      <c r="N31" s="25">
        <v>10000000000</v>
      </c>
      <c r="O31" s="1"/>
      <c r="P31" s="1"/>
    </row>
    <row r="32" spans="1:16" x14ac:dyDescent="0.35">
      <c r="A32" s="1"/>
      <c r="B32" s="5"/>
      <c r="C32" s="25" t="s">
        <v>730</v>
      </c>
      <c r="D32" s="25" t="s">
        <v>327</v>
      </c>
      <c r="E32" s="25" t="s">
        <v>516</v>
      </c>
      <c r="F32" s="25" t="s">
        <v>701</v>
      </c>
      <c r="G32" s="25">
        <v>549</v>
      </c>
      <c r="H32" s="90" t="s">
        <v>724</v>
      </c>
      <c r="I32" s="76"/>
      <c r="J32" s="25">
        <v>6.25</v>
      </c>
      <c r="K32" s="25" t="s">
        <v>691</v>
      </c>
      <c r="L32" s="25" t="s">
        <v>700</v>
      </c>
      <c r="M32" s="25">
        <v>100</v>
      </c>
      <c r="N32" s="25">
        <v>5500000000</v>
      </c>
      <c r="O32" s="1"/>
      <c r="P32" s="1"/>
    </row>
    <row r="33" spans="1:16" x14ac:dyDescent="0.35">
      <c r="A33" s="1"/>
      <c r="B33" s="5"/>
      <c r="C33" s="25" t="s">
        <v>731</v>
      </c>
      <c r="D33" s="25" t="s">
        <v>327</v>
      </c>
      <c r="E33" s="25" t="s">
        <v>516</v>
      </c>
      <c r="F33" s="25" t="s">
        <v>715</v>
      </c>
      <c r="G33" s="25">
        <v>92</v>
      </c>
      <c r="H33" s="90" t="s">
        <v>696</v>
      </c>
      <c r="I33" s="76"/>
      <c r="J33" s="25">
        <v>9.5058000000000007</v>
      </c>
      <c r="K33" s="25" t="s">
        <v>691</v>
      </c>
      <c r="L33" s="25" t="s">
        <v>697</v>
      </c>
      <c r="M33" s="25">
        <v>100</v>
      </c>
      <c r="N33" s="25">
        <v>210000000</v>
      </c>
      <c r="O33" s="1"/>
      <c r="P33" s="1"/>
    </row>
    <row r="34" spans="1:16" x14ac:dyDescent="0.35">
      <c r="A34" s="1"/>
      <c r="B34" s="5"/>
      <c r="C34" s="25" t="s">
        <v>731</v>
      </c>
      <c r="D34" s="25" t="s">
        <v>327</v>
      </c>
      <c r="E34" s="25" t="s">
        <v>516</v>
      </c>
      <c r="F34" s="25" t="s">
        <v>711</v>
      </c>
      <c r="G34" s="25">
        <v>184</v>
      </c>
      <c r="H34" s="90" t="s">
        <v>696</v>
      </c>
      <c r="I34" s="76"/>
      <c r="J34" s="25">
        <v>11.187099999999999</v>
      </c>
      <c r="K34" s="25" t="s">
        <v>691</v>
      </c>
      <c r="L34" s="25" t="s">
        <v>697</v>
      </c>
      <c r="M34" s="25">
        <v>100</v>
      </c>
      <c r="N34" s="25">
        <v>517260000</v>
      </c>
      <c r="O34" s="1"/>
      <c r="P34" s="1"/>
    </row>
    <row r="35" spans="1:16" x14ac:dyDescent="0.35">
      <c r="A35" s="1"/>
      <c r="B35" s="5"/>
      <c r="C35" s="25" t="s">
        <v>731</v>
      </c>
      <c r="D35" s="25" t="s">
        <v>327</v>
      </c>
      <c r="E35" s="25" t="s">
        <v>516</v>
      </c>
      <c r="F35" s="25" t="s">
        <v>732</v>
      </c>
      <c r="G35" s="25">
        <v>215</v>
      </c>
      <c r="H35" s="90" t="s">
        <v>696</v>
      </c>
      <c r="I35" s="76"/>
      <c r="J35" s="25">
        <v>11.9542</v>
      </c>
      <c r="K35" s="25" t="s">
        <v>691</v>
      </c>
      <c r="L35" s="25" t="s">
        <v>697</v>
      </c>
      <c r="M35" s="25">
        <v>100</v>
      </c>
      <c r="N35" s="25">
        <v>250000000</v>
      </c>
      <c r="O35" s="1"/>
      <c r="P35" s="1"/>
    </row>
    <row r="36" spans="1:16" x14ac:dyDescent="0.35">
      <c r="A36" s="1"/>
      <c r="B36" s="5"/>
      <c r="C36" s="25" t="s">
        <v>731</v>
      </c>
      <c r="D36" s="25" t="s">
        <v>327</v>
      </c>
      <c r="E36" s="25" t="s">
        <v>516</v>
      </c>
      <c r="F36" s="25" t="s">
        <v>706</v>
      </c>
      <c r="G36" s="25">
        <v>365</v>
      </c>
      <c r="H36" s="90" t="s">
        <v>696</v>
      </c>
      <c r="I36" s="76"/>
      <c r="J36" s="25">
        <v>11.770200000000001</v>
      </c>
      <c r="K36" s="25" t="s">
        <v>691</v>
      </c>
      <c r="L36" s="25" t="s">
        <v>700</v>
      </c>
      <c r="M36" s="25">
        <v>100</v>
      </c>
      <c r="N36" s="25">
        <v>78000000</v>
      </c>
      <c r="O36" s="1"/>
      <c r="P36" s="1"/>
    </row>
    <row r="37" spans="1:16" x14ac:dyDescent="0.35">
      <c r="A37" s="1"/>
      <c r="B37" s="5"/>
      <c r="C37" s="25" t="s">
        <v>731</v>
      </c>
      <c r="D37" s="25" t="s">
        <v>327</v>
      </c>
      <c r="E37" s="25" t="s">
        <v>516</v>
      </c>
      <c r="F37" s="25" t="s">
        <v>706</v>
      </c>
      <c r="G37" s="25">
        <v>365</v>
      </c>
      <c r="H37" s="90" t="s">
        <v>696</v>
      </c>
      <c r="I37" s="76"/>
      <c r="J37" s="25">
        <v>11.9534</v>
      </c>
      <c r="K37" s="25" t="s">
        <v>691</v>
      </c>
      <c r="L37" s="25" t="s">
        <v>700</v>
      </c>
      <c r="M37" s="25">
        <v>100</v>
      </c>
      <c r="N37" s="25">
        <v>250000000</v>
      </c>
      <c r="O37" s="1"/>
      <c r="P37" s="1"/>
    </row>
    <row r="38" spans="1:16" x14ac:dyDescent="0.35">
      <c r="A38" s="1"/>
      <c r="B38" s="5"/>
      <c r="C38" s="25" t="s">
        <v>731</v>
      </c>
      <c r="D38" s="25" t="s">
        <v>327</v>
      </c>
      <c r="E38" s="25" t="s">
        <v>516</v>
      </c>
      <c r="F38" s="25" t="s">
        <v>706</v>
      </c>
      <c r="G38" s="25">
        <v>365</v>
      </c>
      <c r="H38" s="90" t="s">
        <v>696</v>
      </c>
      <c r="I38" s="76"/>
      <c r="J38" s="25">
        <v>12.2</v>
      </c>
      <c r="K38" s="25" t="s">
        <v>691</v>
      </c>
      <c r="L38" s="25" t="s">
        <v>697</v>
      </c>
      <c r="M38" s="25">
        <v>100</v>
      </c>
      <c r="N38" s="25">
        <v>50000000</v>
      </c>
      <c r="O38" s="1"/>
      <c r="P38" s="1"/>
    </row>
    <row r="39" spans="1:16" x14ac:dyDescent="0.35">
      <c r="A39" s="1"/>
      <c r="B39" s="5"/>
      <c r="C39" s="25" t="s">
        <v>731</v>
      </c>
      <c r="D39" s="25" t="s">
        <v>327</v>
      </c>
      <c r="E39" s="25" t="s">
        <v>516</v>
      </c>
      <c r="F39" s="25" t="s">
        <v>706</v>
      </c>
      <c r="G39" s="25">
        <v>365</v>
      </c>
      <c r="H39" s="90" t="s">
        <v>696</v>
      </c>
      <c r="I39" s="76"/>
      <c r="J39" s="25">
        <v>12.5</v>
      </c>
      <c r="K39" s="25" t="s">
        <v>691</v>
      </c>
      <c r="L39" s="25" t="s">
        <v>697</v>
      </c>
      <c r="M39" s="25">
        <v>100</v>
      </c>
      <c r="N39" s="25">
        <v>125046400</v>
      </c>
      <c r="O39" s="1"/>
      <c r="P39" s="1"/>
    </row>
    <row r="40" spans="1:16" x14ac:dyDescent="0.35">
      <c r="A40" s="1"/>
      <c r="B40" s="5"/>
      <c r="C40" s="25" t="s">
        <v>731</v>
      </c>
      <c r="D40" s="25" t="s">
        <v>327</v>
      </c>
      <c r="E40" s="25" t="s">
        <v>516</v>
      </c>
      <c r="F40" s="25" t="s">
        <v>706</v>
      </c>
      <c r="G40" s="25">
        <v>365</v>
      </c>
      <c r="H40" s="90" t="s">
        <v>696</v>
      </c>
      <c r="I40" s="76"/>
      <c r="J40" s="25">
        <v>12.75</v>
      </c>
      <c r="K40" s="25" t="s">
        <v>691</v>
      </c>
      <c r="L40" s="25" t="s">
        <v>697</v>
      </c>
      <c r="M40" s="25">
        <v>100</v>
      </c>
      <c r="N40" s="25">
        <v>500000000</v>
      </c>
      <c r="O40" s="1"/>
      <c r="P40" s="1"/>
    </row>
    <row r="41" spans="1:16" x14ac:dyDescent="0.35">
      <c r="A41" s="1"/>
      <c r="B41" s="5"/>
      <c r="C41" s="25" t="s">
        <v>731</v>
      </c>
      <c r="D41" s="25" t="s">
        <v>327</v>
      </c>
      <c r="E41" s="25" t="s">
        <v>516</v>
      </c>
      <c r="F41" s="25" t="s">
        <v>701</v>
      </c>
      <c r="G41" s="25">
        <v>549</v>
      </c>
      <c r="H41" s="90" t="s">
        <v>696</v>
      </c>
      <c r="I41" s="76"/>
      <c r="J41" s="25">
        <v>12.1364</v>
      </c>
      <c r="K41" s="25" t="s">
        <v>691</v>
      </c>
      <c r="L41" s="25" t="s">
        <v>700</v>
      </c>
      <c r="M41" s="25">
        <v>100</v>
      </c>
      <c r="N41" s="25">
        <v>250000000</v>
      </c>
      <c r="O41" s="1"/>
      <c r="P41" s="1"/>
    </row>
    <row r="42" spans="1:16" x14ac:dyDescent="0.35">
      <c r="A42" s="1"/>
      <c r="B42" s="5"/>
      <c r="C42" s="25" t="s">
        <v>731</v>
      </c>
      <c r="D42" s="25" t="s">
        <v>327</v>
      </c>
      <c r="E42" s="25" t="s">
        <v>516</v>
      </c>
      <c r="F42" s="25" t="s">
        <v>702</v>
      </c>
      <c r="G42" s="25">
        <v>731</v>
      </c>
      <c r="H42" s="90" t="s">
        <v>696</v>
      </c>
      <c r="I42" s="76"/>
      <c r="J42" s="25">
        <v>12.410399999999999</v>
      </c>
      <c r="K42" s="25" t="s">
        <v>691</v>
      </c>
      <c r="L42" s="25" t="s">
        <v>700</v>
      </c>
      <c r="M42" s="25">
        <v>100</v>
      </c>
      <c r="N42" s="25">
        <v>1140000000</v>
      </c>
      <c r="O42" s="1"/>
      <c r="P42" s="1"/>
    </row>
    <row r="43" spans="1:16" x14ac:dyDescent="0.35">
      <c r="A43" s="1"/>
      <c r="B43" s="5"/>
      <c r="C43" s="25" t="s">
        <v>733</v>
      </c>
      <c r="D43" s="25" t="s">
        <v>734</v>
      </c>
      <c r="E43" s="25" t="s">
        <v>516</v>
      </c>
      <c r="F43" s="25" t="s">
        <v>702</v>
      </c>
      <c r="G43" s="25">
        <v>731</v>
      </c>
      <c r="H43" s="90" t="s">
        <v>724</v>
      </c>
      <c r="I43" s="76"/>
      <c r="J43" s="25">
        <v>6.3</v>
      </c>
      <c r="K43" s="25" t="s">
        <v>691</v>
      </c>
      <c r="L43" s="25" t="s">
        <v>700</v>
      </c>
      <c r="M43" s="25">
        <v>100</v>
      </c>
      <c r="N43" s="25">
        <v>1000000000</v>
      </c>
      <c r="O43" s="1"/>
      <c r="P43" s="1"/>
    </row>
    <row r="44" spans="1:16" x14ac:dyDescent="0.35">
      <c r="A44" s="1"/>
      <c r="B44" s="5"/>
      <c r="C44" s="25" t="s">
        <v>735</v>
      </c>
      <c r="D44" s="25" t="s">
        <v>736</v>
      </c>
      <c r="E44" s="25" t="s">
        <v>516</v>
      </c>
      <c r="F44" s="25" t="s">
        <v>706</v>
      </c>
      <c r="G44" s="25">
        <v>365</v>
      </c>
      <c r="H44" s="90" t="s">
        <v>696</v>
      </c>
      <c r="I44" s="76"/>
      <c r="J44" s="25">
        <v>12.412000000000001</v>
      </c>
      <c r="K44" s="25" t="s">
        <v>691</v>
      </c>
      <c r="L44" s="25" t="s">
        <v>700</v>
      </c>
      <c r="M44" s="25">
        <v>100</v>
      </c>
      <c r="N44" s="25">
        <v>1000000000</v>
      </c>
      <c r="O44" s="1"/>
      <c r="P44" s="1"/>
    </row>
    <row r="45" spans="1:16" x14ac:dyDescent="0.35">
      <c r="A45" s="1"/>
      <c r="B45" s="5"/>
      <c r="C45" s="25" t="s">
        <v>735</v>
      </c>
      <c r="D45" s="25" t="s">
        <v>736</v>
      </c>
      <c r="E45" s="25" t="s">
        <v>516</v>
      </c>
      <c r="F45" s="25" t="s">
        <v>701</v>
      </c>
      <c r="G45" s="25">
        <v>549</v>
      </c>
      <c r="H45" s="90" t="s">
        <v>696</v>
      </c>
      <c r="I45" s="76"/>
      <c r="J45" s="25">
        <v>12.821999999999999</v>
      </c>
      <c r="K45" s="25" t="s">
        <v>691</v>
      </c>
      <c r="L45" s="25" t="s">
        <v>700</v>
      </c>
      <c r="M45" s="25">
        <v>100</v>
      </c>
      <c r="N45" s="25">
        <v>500000000</v>
      </c>
      <c r="O45" s="1"/>
      <c r="P45" s="1"/>
    </row>
    <row r="46" spans="1:16" x14ac:dyDescent="0.35">
      <c r="A46" s="1"/>
      <c r="B46" s="5"/>
      <c r="C46" s="25" t="s">
        <v>737</v>
      </c>
      <c r="D46" s="25" t="s">
        <v>738</v>
      </c>
      <c r="E46" s="25" t="s">
        <v>516</v>
      </c>
      <c r="F46" s="25" t="s">
        <v>706</v>
      </c>
      <c r="G46" s="25">
        <v>365</v>
      </c>
      <c r="H46" s="90" t="s">
        <v>696</v>
      </c>
      <c r="I46" s="76"/>
      <c r="J46" s="25">
        <v>12.956799999999999</v>
      </c>
      <c r="K46" s="25" t="s">
        <v>691</v>
      </c>
      <c r="L46" s="25" t="s">
        <v>700</v>
      </c>
      <c r="M46" s="25">
        <v>100</v>
      </c>
      <c r="N46" s="25">
        <v>3000000000</v>
      </c>
      <c r="O46" s="1"/>
      <c r="P46" s="1"/>
    </row>
    <row r="47" spans="1:16" x14ac:dyDescent="0.35">
      <c r="A47" s="1"/>
      <c r="B47" s="5"/>
      <c r="C47" s="25" t="s">
        <v>739</v>
      </c>
      <c r="D47" s="25" t="s">
        <v>740</v>
      </c>
      <c r="E47" s="25" t="s">
        <v>516</v>
      </c>
      <c r="F47" s="25" t="s">
        <v>741</v>
      </c>
      <c r="G47" s="25">
        <v>123</v>
      </c>
      <c r="H47" s="90" t="s">
        <v>696</v>
      </c>
      <c r="I47" s="76"/>
      <c r="J47" s="25">
        <v>11.5496</v>
      </c>
      <c r="K47" s="25" t="s">
        <v>691</v>
      </c>
      <c r="L47" s="25" t="s">
        <v>697</v>
      </c>
      <c r="M47" s="25">
        <v>100</v>
      </c>
      <c r="N47" s="25">
        <v>14000000000</v>
      </c>
      <c r="O47" s="1"/>
      <c r="P47" s="1"/>
    </row>
    <row r="48" spans="1:16" x14ac:dyDescent="0.35">
      <c r="A48" s="1"/>
      <c r="B48" s="5"/>
      <c r="C48" s="25" t="s">
        <v>739</v>
      </c>
      <c r="D48" s="25" t="s">
        <v>740</v>
      </c>
      <c r="E48" s="25" t="s">
        <v>516</v>
      </c>
      <c r="F48" s="25" t="s">
        <v>706</v>
      </c>
      <c r="G48" s="25">
        <v>365</v>
      </c>
      <c r="H48" s="90" t="s">
        <v>696</v>
      </c>
      <c r="I48" s="76"/>
      <c r="J48" s="25">
        <v>12.2278</v>
      </c>
      <c r="K48" s="25" t="s">
        <v>691</v>
      </c>
      <c r="L48" s="25" t="s">
        <v>700</v>
      </c>
      <c r="M48" s="25">
        <v>100</v>
      </c>
      <c r="N48" s="25">
        <v>3248000000</v>
      </c>
      <c r="O48" s="1"/>
      <c r="P48" s="1"/>
    </row>
    <row r="49" spans="1:16" x14ac:dyDescent="0.35">
      <c r="A49" s="1"/>
      <c r="B49" s="5"/>
      <c r="C49" s="25" t="s">
        <v>739</v>
      </c>
      <c r="D49" s="25" t="s">
        <v>740</v>
      </c>
      <c r="E49" s="25" t="s">
        <v>516</v>
      </c>
      <c r="F49" s="25" t="s">
        <v>706</v>
      </c>
      <c r="G49" s="25">
        <v>365</v>
      </c>
      <c r="H49" s="90" t="s">
        <v>696</v>
      </c>
      <c r="I49" s="76"/>
      <c r="J49" s="25">
        <v>12.8</v>
      </c>
      <c r="K49" s="25" t="s">
        <v>691</v>
      </c>
      <c r="L49" s="25" t="s">
        <v>697</v>
      </c>
      <c r="M49" s="25">
        <v>100</v>
      </c>
      <c r="N49" s="25">
        <v>3400000000</v>
      </c>
      <c r="O49" s="1"/>
      <c r="P49" s="1"/>
    </row>
    <row r="50" spans="1:16" x14ac:dyDescent="0.35">
      <c r="A50" s="1"/>
      <c r="B50" s="5"/>
      <c r="C50" s="25" t="s">
        <v>742</v>
      </c>
      <c r="D50" s="25" t="s">
        <v>743</v>
      </c>
      <c r="E50" s="25" t="s">
        <v>516</v>
      </c>
      <c r="F50" s="25" t="s">
        <v>706</v>
      </c>
      <c r="G50" s="25">
        <v>365</v>
      </c>
      <c r="H50" s="90" t="s">
        <v>696</v>
      </c>
      <c r="I50" s="76"/>
      <c r="J50" s="25">
        <v>13.35</v>
      </c>
      <c r="K50" s="25" t="s">
        <v>691</v>
      </c>
      <c r="L50" s="25" t="s">
        <v>697</v>
      </c>
      <c r="M50" s="25">
        <v>100</v>
      </c>
      <c r="N50" s="25">
        <v>1042845440</v>
      </c>
      <c r="O50" s="1"/>
      <c r="P50" s="1"/>
    </row>
    <row r="51" spans="1:16" x14ac:dyDescent="0.35">
      <c r="A51" s="1"/>
      <c r="B51" s="5"/>
      <c r="C51" s="25" t="s">
        <v>744</v>
      </c>
      <c r="D51" s="25" t="s">
        <v>745</v>
      </c>
      <c r="E51" s="25" t="s">
        <v>516</v>
      </c>
      <c r="F51" s="25" t="s">
        <v>701</v>
      </c>
      <c r="G51" s="25">
        <v>549</v>
      </c>
      <c r="H51" s="90" t="s">
        <v>696</v>
      </c>
      <c r="I51" s="76"/>
      <c r="J51" s="25">
        <v>12.957000000000001</v>
      </c>
      <c r="K51" s="25" t="s">
        <v>691</v>
      </c>
      <c r="L51" s="25" t="s">
        <v>700</v>
      </c>
      <c r="M51" s="25">
        <v>100</v>
      </c>
      <c r="N51" s="25">
        <v>1510000000</v>
      </c>
      <c r="O51" s="1"/>
      <c r="P51" s="1"/>
    </row>
    <row r="52" spans="1:16" x14ac:dyDescent="0.35">
      <c r="A52" s="1"/>
      <c r="B52" s="5"/>
      <c r="C52" s="25" t="s">
        <v>744</v>
      </c>
      <c r="D52" s="25" t="s">
        <v>745</v>
      </c>
      <c r="E52" s="25" t="s">
        <v>516</v>
      </c>
      <c r="F52" s="25" t="s">
        <v>702</v>
      </c>
      <c r="G52" s="25">
        <v>731</v>
      </c>
      <c r="H52" s="90" t="s">
        <v>696</v>
      </c>
      <c r="I52" s="76"/>
      <c r="J52" s="25">
        <v>13.048</v>
      </c>
      <c r="K52" s="25" t="s">
        <v>691</v>
      </c>
      <c r="L52" s="25" t="s">
        <v>700</v>
      </c>
      <c r="M52" s="25">
        <v>100</v>
      </c>
      <c r="N52" s="25">
        <v>1700000000</v>
      </c>
      <c r="O52" s="1"/>
      <c r="P52" s="1"/>
    </row>
    <row r="53" spans="1:16" x14ac:dyDescent="0.35">
      <c r="A53" s="1"/>
      <c r="B53" s="5"/>
      <c r="C53" s="25" t="s">
        <v>746</v>
      </c>
      <c r="D53" s="25" t="s">
        <v>747</v>
      </c>
      <c r="E53" s="25" t="s">
        <v>516</v>
      </c>
      <c r="F53" s="25" t="s">
        <v>715</v>
      </c>
      <c r="G53" s="25">
        <v>92</v>
      </c>
      <c r="H53" s="90" t="s">
        <v>696</v>
      </c>
      <c r="I53" s="76"/>
      <c r="J53" s="25">
        <v>10.0174</v>
      </c>
      <c r="K53" s="25" t="s">
        <v>691</v>
      </c>
      <c r="L53" s="25" t="s">
        <v>697</v>
      </c>
      <c r="M53" s="25">
        <v>100</v>
      </c>
      <c r="N53" s="25">
        <v>184340462</v>
      </c>
      <c r="O53" s="1"/>
      <c r="P53" s="1"/>
    </row>
    <row r="54" spans="1:16" x14ac:dyDescent="0.35">
      <c r="A54" s="1"/>
      <c r="B54" s="5"/>
      <c r="C54" s="25" t="s">
        <v>746</v>
      </c>
      <c r="D54" s="25" t="s">
        <v>747</v>
      </c>
      <c r="E54" s="25" t="s">
        <v>516</v>
      </c>
      <c r="F54" s="25" t="s">
        <v>715</v>
      </c>
      <c r="G54" s="25">
        <v>92</v>
      </c>
      <c r="H54" s="90" t="s">
        <v>696</v>
      </c>
      <c r="I54" s="76"/>
      <c r="J54" s="25">
        <v>10.063800000000001</v>
      </c>
      <c r="K54" s="25" t="s">
        <v>691</v>
      </c>
      <c r="L54" s="25" t="s">
        <v>697</v>
      </c>
      <c r="M54" s="25">
        <v>100</v>
      </c>
      <c r="N54" s="25">
        <v>1924659089</v>
      </c>
      <c r="O54" s="1"/>
      <c r="P54" s="1"/>
    </row>
    <row r="55" spans="1:16" x14ac:dyDescent="0.35">
      <c r="A55" s="1"/>
      <c r="B55" s="5"/>
      <c r="C55" s="25" t="s">
        <v>746</v>
      </c>
      <c r="D55" s="25" t="s">
        <v>747</v>
      </c>
      <c r="E55" s="25" t="s">
        <v>516</v>
      </c>
      <c r="F55" s="25" t="s">
        <v>711</v>
      </c>
      <c r="G55" s="25">
        <v>184</v>
      </c>
      <c r="H55" s="90" t="s">
        <v>696</v>
      </c>
      <c r="I55" s="76"/>
      <c r="J55" s="25">
        <v>10.950200000000001</v>
      </c>
      <c r="K55" s="25" t="s">
        <v>691</v>
      </c>
      <c r="L55" s="25" t="s">
        <v>697</v>
      </c>
      <c r="M55" s="25">
        <v>100</v>
      </c>
      <c r="N55" s="25">
        <v>16999693</v>
      </c>
      <c r="O55" s="1"/>
      <c r="P55" s="1"/>
    </row>
    <row r="56" spans="1:16" x14ac:dyDescent="0.35">
      <c r="A56" s="1"/>
      <c r="B56" s="5"/>
      <c r="C56" s="25" t="s">
        <v>746</v>
      </c>
      <c r="D56" s="25" t="s">
        <v>747</v>
      </c>
      <c r="E56" s="25" t="s">
        <v>516</v>
      </c>
      <c r="F56" s="25" t="s">
        <v>711</v>
      </c>
      <c r="G56" s="25">
        <v>184</v>
      </c>
      <c r="H56" s="90" t="s">
        <v>696</v>
      </c>
      <c r="I56" s="76"/>
      <c r="J56" s="25">
        <v>11.139799999999999</v>
      </c>
      <c r="K56" s="25" t="s">
        <v>691</v>
      </c>
      <c r="L56" s="25" t="s">
        <v>697</v>
      </c>
      <c r="M56" s="25">
        <v>100</v>
      </c>
      <c r="N56" s="25">
        <v>4669683363</v>
      </c>
      <c r="O56" s="1"/>
      <c r="P56" s="1"/>
    </row>
    <row r="57" spans="1:16" x14ac:dyDescent="0.35">
      <c r="A57" s="1"/>
      <c r="B57" s="5"/>
      <c r="C57" s="25" t="s">
        <v>746</v>
      </c>
      <c r="D57" s="25" t="s">
        <v>747</v>
      </c>
      <c r="E57" s="25" t="s">
        <v>516</v>
      </c>
      <c r="F57" s="25" t="s">
        <v>748</v>
      </c>
      <c r="G57" s="25">
        <v>274</v>
      </c>
      <c r="H57" s="90" t="s">
        <v>696</v>
      </c>
      <c r="I57" s="76"/>
      <c r="J57" s="25">
        <v>11.5854</v>
      </c>
      <c r="K57" s="25" t="s">
        <v>691</v>
      </c>
      <c r="L57" s="25" t="s">
        <v>697</v>
      </c>
      <c r="M57" s="25">
        <v>100</v>
      </c>
      <c r="N57" s="25">
        <v>22000000</v>
      </c>
      <c r="O57" s="1"/>
      <c r="P57" s="1"/>
    </row>
    <row r="58" spans="1:16" x14ac:dyDescent="0.35">
      <c r="A58" s="1"/>
      <c r="B58" s="5"/>
      <c r="C58" s="25" t="s">
        <v>746</v>
      </c>
      <c r="D58" s="25" t="s">
        <v>747</v>
      </c>
      <c r="E58" s="25" t="s">
        <v>516</v>
      </c>
      <c r="F58" s="25" t="s">
        <v>748</v>
      </c>
      <c r="G58" s="25">
        <v>274</v>
      </c>
      <c r="H58" s="90" t="s">
        <v>696</v>
      </c>
      <c r="I58" s="76"/>
      <c r="J58" s="25">
        <v>11.7798</v>
      </c>
      <c r="K58" s="25" t="s">
        <v>691</v>
      </c>
      <c r="L58" s="25" t="s">
        <v>697</v>
      </c>
      <c r="M58" s="25">
        <v>100</v>
      </c>
      <c r="N58" s="25">
        <v>831373134</v>
      </c>
      <c r="O58" s="1"/>
      <c r="P58" s="1"/>
    </row>
    <row r="59" spans="1:16" x14ac:dyDescent="0.35">
      <c r="A59" s="1"/>
      <c r="B59" s="5"/>
      <c r="C59" s="25" t="s">
        <v>746</v>
      </c>
      <c r="D59" s="25" t="s">
        <v>747</v>
      </c>
      <c r="E59" s="25" t="s">
        <v>516</v>
      </c>
      <c r="F59" s="25" t="s">
        <v>706</v>
      </c>
      <c r="G59" s="25">
        <v>365</v>
      </c>
      <c r="H59" s="90" t="s">
        <v>696</v>
      </c>
      <c r="I59" s="76"/>
      <c r="J59" s="25">
        <v>11.770200000000001</v>
      </c>
      <c r="K59" s="25" t="s">
        <v>691</v>
      </c>
      <c r="L59" s="25" t="s">
        <v>700</v>
      </c>
      <c r="M59" s="25">
        <v>100</v>
      </c>
      <c r="N59" s="25">
        <v>420583288</v>
      </c>
      <c r="O59" s="1"/>
      <c r="P59" s="1"/>
    </row>
    <row r="60" spans="1:16" x14ac:dyDescent="0.35">
      <c r="A60" s="1"/>
      <c r="B60" s="5"/>
      <c r="C60" s="25" t="s">
        <v>746</v>
      </c>
      <c r="D60" s="25" t="s">
        <v>747</v>
      </c>
      <c r="E60" s="25" t="s">
        <v>516</v>
      </c>
      <c r="F60" s="25" t="s">
        <v>706</v>
      </c>
      <c r="G60" s="25">
        <v>365</v>
      </c>
      <c r="H60" s="90" t="s">
        <v>696</v>
      </c>
      <c r="I60" s="76"/>
      <c r="J60" s="25">
        <v>12</v>
      </c>
      <c r="K60" s="25" t="s">
        <v>691</v>
      </c>
      <c r="L60" s="25" t="s">
        <v>697</v>
      </c>
      <c r="M60" s="25">
        <v>100</v>
      </c>
      <c r="N60" s="25">
        <v>56160000</v>
      </c>
      <c r="O60" s="1"/>
      <c r="P60" s="1"/>
    </row>
    <row r="61" spans="1:16" x14ac:dyDescent="0.35">
      <c r="A61" s="1"/>
      <c r="B61" s="5"/>
      <c r="C61" s="25" t="s">
        <v>746</v>
      </c>
      <c r="D61" s="25" t="s">
        <v>747</v>
      </c>
      <c r="E61" s="25" t="s">
        <v>516</v>
      </c>
      <c r="F61" s="25" t="s">
        <v>706</v>
      </c>
      <c r="G61" s="25">
        <v>365</v>
      </c>
      <c r="H61" s="90" t="s">
        <v>696</v>
      </c>
      <c r="I61" s="76"/>
      <c r="J61" s="25">
        <v>12.3</v>
      </c>
      <c r="K61" s="25" t="s">
        <v>691</v>
      </c>
      <c r="L61" s="25" t="s">
        <v>697</v>
      </c>
      <c r="M61" s="25">
        <v>100</v>
      </c>
      <c r="N61" s="25">
        <v>2054203744</v>
      </c>
      <c r="O61" s="1"/>
      <c r="P61" s="1"/>
    </row>
    <row r="62" spans="1:16" x14ac:dyDescent="0.35">
      <c r="A62" s="1"/>
      <c r="B62" s="5"/>
      <c r="C62" s="25" t="s">
        <v>746</v>
      </c>
      <c r="D62" s="25" t="s">
        <v>747</v>
      </c>
      <c r="E62" s="25" t="s">
        <v>516</v>
      </c>
      <c r="F62" s="25" t="s">
        <v>701</v>
      </c>
      <c r="G62" s="25">
        <v>549</v>
      </c>
      <c r="H62" s="90" t="s">
        <v>696</v>
      </c>
      <c r="I62" s="76"/>
      <c r="J62" s="25">
        <v>12.6708</v>
      </c>
      <c r="K62" s="25" t="s">
        <v>691</v>
      </c>
      <c r="L62" s="25" t="s">
        <v>697</v>
      </c>
      <c r="M62" s="25">
        <v>100</v>
      </c>
      <c r="N62" s="25">
        <v>11815000</v>
      </c>
      <c r="O62" s="1"/>
      <c r="P62" s="1"/>
    </row>
    <row r="63" spans="1:16" x14ac:dyDescent="0.35">
      <c r="A63" s="1"/>
      <c r="B63" s="5"/>
      <c r="C63" s="25" t="s">
        <v>749</v>
      </c>
      <c r="D63" s="25" t="s">
        <v>750</v>
      </c>
      <c r="E63" s="25" t="s">
        <v>751</v>
      </c>
      <c r="F63" s="25" t="s">
        <v>752</v>
      </c>
      <c r="G63" s="25">
        <v>365</v>
      </c>
      <c r="H63" s="90" t="s">
        <v>696</v>
      </c>
      <c r="I63" s="76"/>
      <c r="J63" s="25">
        <v>12.988</v>
      </c>
      <c r="K63" s="25" t="s">
        <v>753</v>
      </c>
      <c r="L63" s="25" t="s">
        <v>697</v>
      </c>
      <c r="M63" s="25">
        <v>100</v>
      </c>
      <c r="N63" s="25">
        <v>1500700000</v>
      </c>
      <c r="O63" s="1"/>
      <c r="P63" s="1"/>
    </row>
    <row r="64" spans="1:16" x14ac:dyDescent="0.35">
      <c r="A64" s="1"/>
      <c r="B64" s="9"/>
      <c r="C64" s="25" t="s">
        <v>749</v>
      </c>
      <c r="D64" s="25" t="s">
        <v>750</v>
      </c>
      <c r="E64" s="25" t="s">
        <v>516</v>
      </c>
      <c r="F64" s="25" t="s">
        <v>706</v>
      </c>
      <c r="G64" s="25">
        <v>365</v>
      </c>
      <c r="H64" s="90" t="s">
        <v>696</v>
      </c>
      <c r="I64" s="76"/>
      <c r="J64" s="25">
        <v>0</v>
      </c>
      <c r="K64" s="25" t="s">
        <v>753</v>
      </c>
      <c r="L64" s="25" t="s">
        <v>697</v>
      </c>
      <c r="M64" s="25">
        <v>100</v>
      </c>
      <c r="N64" s="25">
        <v>175707200000</v>
      </c>
      <c r="O64" s="1"/>
      <c r="P64" s="1"/>
    </row>
    <row r="65" ht="0" hidden="1" customHeight="1" x14ac:dyDescent="0.35"/>
  </sheetData>
  <mergeCells count="61">
    <mergeCell ref="H64:I64"/>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53"/>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8.1796875" customWidth="1"/>
    <col min="28" max="28" width="5.453125" customWidth="1"/>
    <col min="29" max="37" width="13.7265625" customWidth="1"/>
    <col min="38" max="38" width="0" hidden="1" customWidth="1"/>
  </cols>
  <sheetData>
    <row r="1" spans="1:37"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15" customHeight="1" x14ac:dyDescent="0.35">
      <c r="A5" s="1"/>
      <c r="B5" s="5"/>
      <c r="C5" s="91" t="s">
        <v>754</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9" customHeight="1" x14ac:dyDescent="0.3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x14ac:dyDescent="0.35">
      <c r="A9" s="1"/>
      <c r="B9" s="5"/>
      <c r="C9" s="23" t="s">
        <v>328</v>
      </c>
      <c r="D9" s="23" t="s">
        <v>755</v>
      </c>
      <c r="E9" s="23" t="s">
        <v>756</v>
      </c>
      <c r="F9" s="23" t="s">
        <v>681</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x14ac:dyDescent="0.3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15" customHeight="1" x14ac:dyDescent="0.35">
      <c r="A12" s="1"/>
      <c r="B12" s="5"/>
      <c r="C12" s="91" t="s">
        <v>757</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x14ac:dyDescent="0.35">
      <c r="A14" s="1"/>
      <c r="B14" s="5"/>
      <c r="C14" s="14" t="s">
        <v>5</v>
      </c>
      <c r="D14" s="14" t="s">
        <v>5</v>
      </c>
      <c r="E14" s="14" t="s">
        <v>5</v>
      </c>
      <c r="F14" s="61" t="s">
        <v>5</v>
      </c>
      <c r="G14" s="74" t="s">
        <v>758</v>
      </c>
      <c r="H14" s="75"/>
      <c r="I14" s="75"/>
      <c r="J14" s="75"/>
      <c r="K14" s="75"/>
      <c r="L14" s="75"/>
      <c r="M14" s="75"/>
      <c r="N14" s="75"/>
      <c r="O14" s="75"/>
      <c r="P14" s="76"/>
      <c r="Q14" s="74" t="s">
        <v>759</v>
      </c>
      <c r="R14" s="75"/>
      <c r="S14" s="75"/>
      <c r="T14" s="75"/>
      <c r="U14" s="75"/>
      <c r="V14" s="75"/>
      <c r="W14" s="75"/>
      <c r="X14" s="75"/>
      <c r="Y14" s="75"/>
      <c r="Z14" s="76"/>
      <c r="AA14" s="74" t="s">
        <v>233</v>
      </c>
      <c r="AB14" s="75"/>
      <c r="AC14" s="75"/>
      <c r="AD14" s="75"/>
      <c r="AE14" s="75"/>
      <c r="AF14" s="75"/>
      <c r="AG14" s="75"/>
      <c r="AH14" s="75"/>
      <c r="AI14" s="75"/>
      <c r="AJ14" s="75"/>
      <c r="AK14" s="76"/>
    </row>
    <row r="15" spans="1:37" x14ac:dyDescent="0.35">
      <c r="A15" s="1"/>
      <c r="B15" s="5"/>
      <c r="C15" s="59" t="s">
        <v>5</v>
      </c>
      <c r="D15" s="59" t="s">
        <v>5</v>
      </c>
      <c r="E15" s="59" t="s">
        <v>5</v>
      </c>
      <c r="F15" s="60" t="s">
        <v>5</v>
      </c>
      <c r="G15" s="62" t="s">
        <v>5</v>
      </c>
      <c r="H15" s="62" t="s">
        <v>5</v>
      </c>
      <c r="I15" s="92" t="s">
        <v>760</v>
      </c>
      <c r="J15" s="75"/>
      <c r="K15" s="75"/>
      <c r="L15" s="76"/>
      <c r="M15" s="92" t="s">
        <v>761</v>
      </c>
      <c r="N15" s="75"/>
      <c r="O15" s="75"/>
      <c r="P15" s="76"/>
      <c r="Q15" s="62" t="s">
        <v>5</v>
      </c>
      <c r="R15" s="62" t="s">
        <v>5</v>
      </c>
      <c r="S15" s="92" t="s">
        <v>760</v>
      </c>
      <c r="T15" s="75"/>
      <c r="U15" s="75"/>
      <c r="V15" s="76"/>
      <c r="W15" s="92" t="s">
        <v>761</v>
      </c>
      <c r="X15" s="75"/>
      <c r="Y15" s="75"/>
      <c r="Z15" s="76"/>
      <c r="AA15" s="93" t="s">
        <v>5</v>
      </c>
      <c r="AB15" s="76"/>
      <c r="AC15" s="62" t="s">
        <v>5</v>
      </c>
      <c r="AD15" s="92" t="s">
        <v>760</v>
      </c>
      <c r="AE15" s="75"/>
      <c r="AF15" s="75"/>
      <c r="AG15" s="76"/>
      <c r="AH15" s="92" t="s">
        <v>761</v>
      </c>
      <c r="AI15" s="75"/>
      <c r="AJ15" s="75"/>
      <c r="AK15" s="76"/>
    </row>
    <row r="16" spans="1:37" x14ac:dyDescent="0.35">
      <c r="A16" s="1"/>
      <c r="B16" s="5"/>
      <c r="C16" s="23" t="s">
        <v>328</v>
      </c>
      <c r="D16" s="23" t="s">
        <v>755</v>
      </c>
      <c r="E16" s="23" t="s">
        <v>756</v>
      </c>
      <c r="F16" s="23" t="s">
        <v>681</v>
      </c>
      <c r="G16" s="23" t="s">
        <v>643</v>
      </c>
      <c r="H16" s="23" t="s">
        <v>641</v>
      </c>
      <c r="I16" s="23" t="s">
        <v>762</v>
      </c>
      <c r="J16" s="23" t="s">
        <v>763</v>
      </c>
      <c r="K16" s="23" t="s">
        <v>764</v>
      </c>
      <c r="L16" s="23" t="s">
        <v>765</v>
      </c>
      <c r="M16" s="23" t="s">
        <v>762</v>
      </c>
      <c r="N16" s="23" t="s">
        <v>763</v>
      </c>
      <c r="O16" s="23" t="s">
        <v>764</v>
      </c>
      <c r="P16" s="23" t="s">
        <v>765</v>
      </c>
      <c r="Q16" s="23" t="s">
        <v>643</v>
      </c>
      <c r="R16" s="23" t="s">
        <v>641</v>
      </c>
      <c r="S16" s="23" t="s">
        <v>762</v>
      </c>
      <c r="T16" s="23" t="s">
        <v>763</v>
      </c>
      <c r="U16" s="23" t="s">
        <v>764</v>
      </c>
      <c r="V16" s="23" t="s">
        <v>765</v>
      </c>
      <c r="W16" s="23" t="s">
        <v>762</v>
      </c>
      <c r="X16" s="23" t="s">
        <v>763</v>
      </c>
      <c r="Y16" s="23" t="s">
        <v>764</v>
      </c>
      <c r="Z16" s="23" t="s">
        <v>765</v>
      </c>
      <c r="AA16" s="74" t="s">
        <v>643</v>
      </c>
      <c r="AB16" s="76"/>
      <c r="AC16" s="23" t="s">
        <v>641</v>
      </c>
      <c r="AD16" s="23" t="s">
        <v>762</v>
      </c>
      <c r="AE16" s="23" t="s">
        <v>763</v>
      </c>
      <c r="AF16" s="23" t="s">
        <v>764</v>
      </c>
      <c r="AG16" s="23" t="s">
        <v>765</v>
      </c>
      <c r="AH16" s="23" t="s">
        <v>762</v>
      </c>
      <c r="AI16" s="23" t="s">
        <v>763</v>
      </c>
      <c r="AJ16" s="23" t="s">
        <v>764</v>
      </c>
      <c r="AK16" s="23" t="s">
        <v>765</v>
      </c>
    </row>
    <row r="17" spans="1:37" x14ac:dyDescent="0.35">
      <c r="A17" s="1"/>
      <c r="B17" s="5"/>
      <c r="C17" s="25" t="s">
        <v>766</v>
      </c>
      <c r="D17" s="25" t="s">
        <v>767</v>
      </c>
      <c r="E17" s="25" t="s">
        <v>504</v>
      </c>
      <c r="F17" s="25" t="s">
        <v>768</v>
      </c>
      <c r="G17" s="50">
        <v>0</v>
      </c>
      <c r="H17" s="25"/>
      <c r="I17" s="25"/>
      <c r="J17" s="25"/>
      <c r="K17" s="25"/>
      <c r="L17" s="25"/>
      <c r="M17" s="25"/>
      <c r="N17" s="25"/>
      <c r="O17" s="25"/>
      <c r="P17" s="25"/>
      <c r="Q17" s="50">
        <v>8940.3646320000007</v>
      </c>
      <c r="R17" s="50">
        <v>2</v>
      </c>
      <c r="S17" s="37">
        <v>12.1000003814697</v>
      </c>
      <c r="T17" s="37">
        <v>12.199999809265099</v>
      </c>
      <c r="U17" s="37">
        <v>12.151182982138399</v>
      </c>
      <c r="V17" s="37">
        <v>12.199999809265099</v>
      </c>
      <c r="W17" s="37">
        <v>101.626998901367</v>
      </c>
      <c r="X17" s="37">
        <v>101.745002746582</v>
      </c>
      <c r="Y17" s="37">
        <v>101.687396683836</v>
      </c>
      <c r="Z17" s="37">
        <v>101.657997131348</v>
      </c>
      <c r="AA17" s="94">
        <v>0</v>
      </c>
      <c r="AB17" s="76"/>
      <c r="AC17" s="25"/>
      <c r="AD17" s="25"/>
      <c r="AE17" s="25"/>
      <c r="AF17" s="25"/>
      <c r="AG17" s="25"/>
      <c r="AH17" s="25"/>
      <c r="AI17" s="25"/>
      <c r="AJ17" s="25"/>
      <c r="AK17" s="25"/>
    </row>
    <row r="18" spans="1:37" x14ac:dyDescent="0.35">
      <c r="A18" s="1"/>
      <c r="B18" s="5"/>
      <c r="C18" s="25" t="s">
        <v>769</v>
      </c>
      <c r="D18" s="25" t="s">
        <v>767</v>
      </c>
      <c r="E18" s="25" t="s">
        <v>770</v>
      </c>
      <c r="F18" s="25" t="s">
        <v>771</v>
      </c>
      <c r="G18" s="50">
        <v>0</v>
      </c>
      <c r="H18" s="25"/>
      <c r="I18" s="25"/>
      <c r="J18" s="25"/>
      <c r="K18" s="25"/>
      <c r="L18" s="25"/>
      <c r="M18" s="25"/>
      <c r="N18" s="25"/>
      <c r="O18" s="25"/>
      <c r="P18" s="25"/>
      <c r="Q18" s="50">
        <v>1018.08</v>
      </c>
      <c r="R18" s="50">
        <v>1</v>
      </c>
      <c r="S18" s="37">
        <v>12.001000404357899</v>
      </c>
      <c r="T18" s="37">
        <v>12.001000404357899</v>
      </c>
      <c r="U18" s="37">
        <v>12.001000404357899</v>
      </c>
      <c r="V18" s="37">
        <v>12.001000404357899</v>
      </c>
      <c r="W18" s="37">
        <v>101.807998657227</v>
      </c>
      <c r="X18" s="37">
        <v>101.807998657227</v>
      </c>
      <c r="Y18" s="37">
        <v>101.807998657227</v>
      </c>
      <c r="Z18" s="37">
        <v>101.838996887207</v>
      </c>
      <c r="AA18" s="94">
        <v>0</v>
      </c>
      <c r="AB18" s="76"/>
      <c r="AC18" s="25"/>
      <c r="AD18" s="25"/>
      <c r="AE18" s="25"/>
      <c r="AF18" s="25"/>
      <c r="AG18" s="25"/>
      <c r="AH18" s="25"/>
      <c r="AI18" s="25"/>
      <c r="AJ18" s="25"/>
      <c r="AK18" s="25"/>
    </row>
    <row r="19" spans="1:37" x14ac:dyDescent="0.35">
      <c r="A19" s="1"/>
      <c r="B19" s="5"/>
      <c r="C19" s="25" t="s">
        <v>772</v>
      </c>
      <c r="D19" s="25" t="s">
        <v>773</v>
      </c>
      <c r="E19" s="25" t="s">
        <v>774</v>
      </c>
      <c r="F19" s="25" t="s">
        <v>775</v>
      </c>
      <c r="G19" s="50">
        <v>0</v>
      </c>
      <c r="H19" s="25"/>
      <c r="I19" s="25"/>
      <c r="J19" s="25"/>
      <c r="K19" s="25"/>
      <c r="L19" s="25"/>
      <c r="M19" s="25"/>
      <c r="N19" s="25"/>
      <c r="O19" s="25"/>
      <c r="P19" s="25"/>
      <c r="Q19" s="50">
        <v>1502.6310000000001</v>
      </c>
      <c r="R19" s="50">
        <v>1</v>
      </c>
      <c r="S19" s="37">
        <v>12.25</v>
      </c>
      <c r="T19" s="37">
        <v>12.25</v>
      </c>
      <c r="U19" s="37">
        <v>12.25</v>
      </c>
      <c r="V19" s="37">
        <v>12.25</v>
      </c>
      <c r="W19" s="37">
        <v>100.175003051758</v>
      </c>
      <c r="X19" s="37">
        <v>100.175003051758</v>
      </c>
      <c r="Y19" s="37">
        <v>100.175003051758</v>
      </c>
      <c r="Z19" s="37">
        <v>100.65200042724599</v>
      </c>
      <c r="AA19" s="94">
        <v>0</v>
      </c>
      <c r="AB19" s="76"/>
      <c r="AC19" s="25"/>
      <c r="AD19" s="25"/>
      <c r="AE19" s="25"/>
      <c r="AF19" s="25"/>
      <c r="AG19" s="25"/>
      <c r="AH19" s="25"/>
      <c r="AI19" s="25"/>
      <c r="AJ19" s="25"/>
      <c r="AK19" s="25"/>
    </row>
    <row r="20" spans="1:37" x14ac:dyDescent="0.35">
      <c r="A20" s="1"/>
      <c r="B20" s="5"/>
      <c r="C20" s="25" t="s">
        <v>776</v>
      </c>
      <c r="D20" s="25" t="s">
        <v>767</v>
      </c>
      <c r="E20" s="25" t="s">
        <v>777</v>
      </c>
      <c r="F20" s="25" t="s">
        <v>778</v>
      </c>
      <c r="G20" s="50">
        <v>0</v>
      </c>
      <c r="H20" s="25"/>
      <c r="I20" s="25"/>
      <c r="J20" s="25"/>
      <c r="K20" s="25"/>
      <c r="L20" s="25"/>
      <c r="M20" s="25"/>
      <c r="N20" s="25"/>
      <c r="O20" s="25"/>
      <c r="P20" s="25"/>
      <c r="Q20" s="50">
        <v>950.15099999999995</v>
      </c>
      <c r="R20" s="50">
        <v>1</v>
      </c>
      <c r="S20" s="37">
        <v>12.3999996185303</v>
      </c>
      <c r="T20" s="37">
        <v>12.3999996185303</v>
      </c>
      <c r="U20" s="37">
        <v>12.3999996185303</v>
      </c>
      <c r="V20" s="37">
        <v>12.3999996185303</v>
      </c>
      <c r="W20" s="37">
        <v>95.014999389648395</v>
      </c>
      <c r="X20" s="37">
        <v>95.014999389648395</v>
      </c>
      <c r="Y20" s="37">
        <v>95.014999389648395</v>
      </c>
      <c r="Z20" s="37">
        <v>95.044998168945298</v>
      </c>
      <c r="AA20" s="94">
        <v>0</v>
      </c>
      <c r="AB20" s="76"/>
      <c r="AC20" s="25"/>
      <c r="AD20" s="25"/>
      <c r="AE20" s="25"/>
      <c r="AF20" s="25"/>
      <c r="AG20" s="25"/>
      <c r="AH20" s="25"/>
      <c r="AI20" s="25"/>
      <c r="AJ20" s="25"/>
      <c r="AK20" s="25"/>
    </row>
    <row r="21" spans="1:37" x14ac:dyDescent="0.35">
      <c r="A21" s="1"/>
      <c r="B21" s="5"/>
      <c r="C21" s="25" t="s">
        <v>779</v>
      </c>
      <c r="D21" s="25" t="s">
        <v>767</v>
      </c>
      <c r="E21" s="25" t="s">
        <v>780</v>
      </c>
      <c r="F21" s="25" t="s">
        <v>781</v>
      </c>
      <c r="G21" s="50">
        <v>0</v>
      </c>
      <c r="H21" s="25"/>
      <c r="I21" s="25"/>
      <c r="J21" s="25"/>
      <c r="K21" s="25"/>
      <c r="L21" s="25"/>
      <c r="M21" s="25"/>
      <c r="N21" s="25"/>
      <c r="O21" s="25"/>
      <c r="P21" s="25"/>
      <c r="Q21" s="50">
        <v>5635.5666600000004</v>
      </c>
      <c r="R21" s="50">
        <v>2</v>
      </c>
      <c r="S21" s="37">
        <v>12.001000404357899</v>
      </c>
      <c r="T21" s="37">
        <v>12.199999809265099</v>
      </c>
      <c r="U21" s="37">
        <v>12.125551846336901</v>
      </c>
      <c r="V21" s="37">
        <v>12.199999809265099</v>
      </c>
      <c r="W21" s="37">
        <v>105.40899658203099</v>
      </c>
      <c r="X21" s="37">
        <v>105.42099761962901</v>
      </c>
      <c r="Y21" s="37">
        <v>105.416507893629</v>
      </c>
      <c r="Z21" s="37">
        <v>105.44100189209</v>
      </c>
      <c r="AA21" s="94">
        <v>0</v>
      </c>
      <c r="AB21" s="76"/>
      <c r="AC21" s="25"/>
      <c r="AD21" s="25"/>
      <c r="AE21" s="25"/>
      <c r="AF21" s="25"/>
      <c r="AG21" s="25"/>
      <c r="AH21" s="25"/>
      <c r="AI21" s="25"/>
      <c r="AJ21" s="25"/>
      <c r="AK21" s="25"/>
    </row>
    <row r="22" spans="1:37" x14ac:dyDescent="0.35">
      <c r="A22" s="1"/>
      <c r="B22" s="5"/>
      <c r="C22" s="25" t="s">
        <v>782</v>
      </c>
      <c r="D22" s="25" t="s">
        <v>773</v>
      </c>
      <c r="E22" s="25" t="s">
        <v>783</v>
      </c>
      <c r="F22" s="25" t="s">
        <v>784</v>
      </c>
      <c r="G22" s="50">
        <v>0</v>
      </c>
      <c r="H22" s="25"/>
      <c r="I22" s="25"/>
      <c r="J22" s="25"/>
      <c r="K22" s="25"/>
      <c r="L22" s="25"/>
      <c r="M22" s="25"/>
      <c r="N22" s="25"/>
      <c r="O22" s="25"/>
      <c r="P22" s="25"/>
      <c r="Q22" s="50">
        <v>499.61900000000003</v>
      </c>
      <c r="R22" s="50">
        <v>1</v>
      </c>
      <c r="S22" s="37">
        <v>12.001000404357899</v>
      </c>
      <c r="T22" s="37">
        <v>12.001000404357899</v>
      </c>
      <c r="U22" s="37">
        <v>12.001000404357899</v>
      </c>
      <c r="V22" s="37">
        <v>12.001000404357899</v>
      </c>
      <c r="W22" s="37">
        <v>99.922996520996094</v>
      </c>
      <c r="X22" s="37">
        <v>99.922996520996094</v>
      </c>
      <c r="Y22" s="37">
        <v>99.922996520996094</v>
      </c>
      <c r="Z22" s="37">
        <v>99.954002380371094</v>
      </c>
      <c r="AA22" s="94">
        <v>0</v>
      </c>
      <c r="AB22" s="76"/>
      <c r="AC22" s="25"/>
      <c r="AD22" s="25"/>
      <c r="AE22" s="25"/>
      <c r="AF22" s="25"/>
      <c r="AG22" s="25"/>
      <c r="AH22" s="25"/>
      <c r="AI22" s="25"/>
      <c r="AJ22" s="25"/>
      <c r="AK22" s="25"/>
    </row>
    <row r="23" spans="1:37" x14ac:dyDescent="0.35">
      <c r="A23" s="1"/>
      <c r="B23" s="5"/>
      <c r="C23" s="25" t="s">
        <v>785</v>
      </c>
      <c r="D23" s="25" t="s">
        <v>786</v>
      </c>
      <c r="E23" s="25" t="s">
        <v>787</v>
      </c>
      <c r="F23" s="25" t="s">
        <v>788</v>
      </c>
      <c r="G23" s="50">
        <v>2010.47</v>
      </c>
      <c r="H23" s="50">
        <v>2</v>
      </c>
      <c r="I23" s="37">
        <v>13.3999996185303</v>
      </c>
      <c r="J23" s="37">
        <v>13.5</v>
      </c>
      <c r="K23" s="37">
        <v>13.449999809265099</v>
      </c>
      <c r="L23" s="37">
        <v>13.5</v>
      </c>
      <c r="M23" s="37">
        <v>100.44100189209</v>
      </c>
      <c r="N23" s="37">
        <v>100.606002807617</v>
      </c>
      <c r="O23" s="37">
        <v>100.523502349854</v>
      </c>
      <c r="P23" s="37">
        <v>100.44100189209</v>
      </c>
      <c r="Q23" s="50">
        <v>1006.0650000000001</v>
      </c>
      <c r="R23" s="50">
        <v>1</v>
      </c>
      <c r="S23" s="37">
        <v>12.300000190734901</v>
      </c>
      <c r="T23" s="37">
        <v>12.300000190734901</v>
      </c>
      <c r="U23" s="37">
        <v>12.300000190734901</v>
      </c>
      <c r="V23" s="37">
        <v>12.300000190734901</v>
      </c>
      <c r="W23" s="37">
        <v>100.606002807617</v>
      </c>
      <c r="X23" s="37">
        <v>100.606002807617</v>
      </c>
      <c r="Y23" s="37">
        <v>100.606002807617</v>
      </c>
      <c r="Z23" s="37">
        <v>100.70200347900401</v>
      </c>
      <c r="AA23" s="94">
        <v>0</v>
      </c>
      <c r="AB23" s="76"/>
      <c r="AC23" s="25"/>
      <c r="AD23" s="25"/>
      <c r="AE23" s="25"/>
      <c r="AF23" s="25"/>
      <c r="AG23" s="25"/>
      <c r="AH23" s="25"/>
      <c r="AI23" s="25"/>
      <c r="AJ23" s="25"/>
      <c r="AK23" s="25"/>
    </row>
    <row r="24" spans="1:37" x14ac:dyDescent="0.35">
      <c r="A24" s="1"/>
      <c r="B24" s="5"/>
      <c r="C24" s="25" t="s">
        <v>789</v>
      </c>
      <c r="D24" s="25" t="s">
        <v>790</v>
      </c>
      <c r="E24" s="25" t="s">
        <v>791</v>
      </c>
      <c r="F24" s="25" t="s">
        <v>792</v>
      </c>
      <c r="G24" s="50">
        <v>0</v>
      </c>
      <c r="H24" s="25"/>
      <c r="I24" s="25"/>
      <c r="J24" s="25"/>
      <c r="K24" s="25"/>
      <c r="L24" s="25"/>
      <c r="M24" s="25"/>
      <c r="N24" s="25"/>
      <c r="O24" s="25"/>
      <c r="P24" s="25"/>
      <c r="Q24" s="50">
        <v>37.178856000000003</v>
      </c>
      <c r="R24" s="50">
        <v>1</v>
      </c>
      <c r="S24" s="37">
        <v>13.5</v>
      </c>
      <c r="T24" s="37">
        <v>13.5</v>
      </c>
      <c r="U24" s="37">
        <v>13.5</v>
      </c>
      <c r="V24" s="37">
        <v>13.5</v>
      </c>
      <c r="W24" s="37">
        <v>97.968002319335895</v>
      </c>
      <c r="X24" s="37">
        <v>97.968002319335895</v>
      </c>
      <c r="Y24" s="37">
        <v>97.968002319335895</v>
      </c>
      <c r="Z24" s="37">
        <v>97.968002319335895</v>
      </c>
      <c r="AA24" s="94">
        <v>0</v>
      </c>
      <c r="AB24" s="76"/>
      <c r="AC24" s="25"/>
      <c r="AD24" s="25"/>
      <c r="AE24" s="25"/>
      <c r="AF24" s="25"/>
      <c r="AG24" s="25"/>
      <c r="AH24" s="25"/>
      <c r="AI24" s="25"/>
      <c r="AJ24" s="25"/>
      <c r="AK24" s="25"/>
    </row>
    <row r="25" spans="1:37" x14ac:dyDescent="0.35">
      <c r="A25" s="1"/>
      <c r="B25" s="5"/>
      <c r="C25" s="25" t="s">
        <v>793</v>
      </c>
      <c r="D25" s="25" t="s">
        <v>790</v>
      </c>
      <c r="E25" s="25" t="s">
        <v>794</v>
      </c>
      <c r="F25" s="25" t="s">
        <v>795</v>
      </c>
      <c r="G25" s="50">
        <v>73.726946999999996</v>
      </c>
      <c r="H25" s="50">
        <v>1</v>
      </c>
      <c r="I25" s="37">
        <v>13</v>
      </c>
      <c r="J25" s="37">
        <v>13</v>
      </c>
      <c r="K25" s="37">
        <v>13</v>
      </c>
      <c r="L25" s="37">
        <v>13</v>
      </c>
      <c r="M25" s="37">
        <v>510.92800903320301</v>
      </c>
      <c r="N25" s="37">
        <v>510.92800903320301</v>
      </c>
      <c r="O25" s="37">
        <v>510.92800903320301</v>
      </c>
      <c r="P25" s="37">
        <v>510.92800903320301</v>
      </c>
      <c r="Q25" s="50">
        <v>0</v>
      </c>
      <c r="R25" s="25"/>
      <c r="S25" s="25"/>
      <c r="T25" s="25"/>
      <c r="U25" s="25"/>
      <c r="V25" s="25"/>
      <c r="W25" s="25"/>
      <c r="X25" s="25"/>
      <c r="Y25" s="25"/>
      <c r="Z25" s="25"/>
      <c r="AA25" s="94">
        <v>0</v>
      </c>
      <c r="AB25" s="76"/>
      <c r="AC25" s="25"/>
      <c r="AD25" s="25"/>
      <c r="AE25" s="25"/>
      <c r="AF25" s="25"/>
      <c r="AG25" s="25"/>
      <c r="AH25" s="25"/>
      <c r="AI25" s="25"/>
      <c r="AJ25" s="25"/>
      <c r="AK25" s="25"/>
    </row>
    <row r="26" spans="1:37" x14ac:dyDescent="0.35">
      <c r="A26" s="1"/>
      <c r="B26" s="5"/>
      <c r="C26" s="25" t="s">
        <v>793</v>
      </c>
      <c r="D26" s="25" t="s">
        <v>790</v>
      </c>
      <c r="E26" s="25" t="s">
        <v>796</v>
      </c>
      <c r="F26" s="25" t="s">
        <v>797</v>
      </c>
      <c r="G26" s="50">
        <v>290.936711</v>
      </c>
      <c r="H26" s="50">
        <v>1</v>
      </c>
      <c r="I26" s="37">
        <v>13.1000003814697</v>
      </c>
      <c r="J26" s="37">
        <v>13.1000003814697</v>
      </c>
      <c r="K26" s="37">
        <v>13.1000003814697</v>
      </c>
      <c r="L26" s="37">
        <v>13.1000003814697</v>
      </c>
      <c r="M26" s="37">
        <v>213.07899475097699</v>
      </c>
      <c r="N26" s="37">
        <v>213.07899475097699</v>
      </c>
      <c r="O26" s="37">
        <v>213.07899475097699</v>
      </c>
      <c r="P26" s="37">
        <v>213.07899475097699</v>
      </c>
      <c r="Q26" s="50">
        <v>0</v>
      </c>
      <c r="R26" s="25"/>
      <c r="S26" s="25"/>
      <c r="T26" s="25"/>
      <c r="U26" s="25"/>
      <c r="V26" s="25"/>
      <c r="W26" s="25"/>
      <c r="X26" s="25"/>
      <c r="Y26" s="25"/>
      <c r="Z26" s="25"/>
      <c r="AA26" s="94">
        <v>0</v>
      </c>
      <c r="AB26" s="76"/>
      <c r="AC26" s="25"/>
      <c r="AD26" s="25"/>
      <c r="AE26" s="25"/>
      <c r="AF26" s="25"/>
      <c r="AG26" s="25"/>
      <c r="AH26" s="25"/>
      <c r="AI26" s="25"/>
      <c r="AJ26" s="25"/>
      <c r="AK26" s="25"/>
    </row>
    <row r="27" spans="1:37" x14ac:dyDescent="0.35">
      <c r="A27" s="1"/>
      <c r="B27" s="5"/>
      <c r="C27" s="25" t="s">
        <v>798</v>
      </c>
      <c r="D27" s="25" t="s">
        <v>799</v>
      </c>
      <c r="E27" s="25" t="s">
        <v>800</v>
      </c>
      <c r="F27" s="25" t="s">
        <v>801</v>
      </c>
      <c r="G27" s="50">
        <v>0</v>
      </c>
      <c r="H27" s="25"/>
      <c r="I27" s="25"/>
      <c r="J27" s="25"/>
      <c r="K27" s="25"/>
      <c r="L27" s="25"/>
      <c r="M27" s="25"/>
      <c r="N27" s="25"/>
      <c r="O27" s="25"/>
      <c r="P27" s="25"/>
      <c r="Q27" s="50">
        <v>513.57600000000002</v>
      </c>
      <c r="R27" s="50">
        <v>1</v>
      </c>
      <c r="S27" s="37">
        <v>12.3999996185303</v>
      </c>
      <c r="T27" s="37">
        <v>12.3999996185303</v>
      </c>
      <c r="U27" s="37">
        <v>12.3999996185303</v>
      </c>
      <c r="V27" s="37">
        <v>12.3999996185303</v>
      </c>
      <c r="W27" s="37">
        <v>102.71499633789099</v>
      </c>
      <c r="X27" s="37">
        <v>102.71499633789099</v>
      </c>
      <c r="Y27" s="37">
        <v>102.71499633789099</v>
      </c>
      <c r="Z27" s="37">
        <v>102.71499633789099</v>
      </c>
      <c r="AA27" s="94">
        <v>0</v>
      </c>
      <c r="AB27" s="76"/>
      <c r="AC27" s="25"/>
      <c r="AD27" s="25"/>
      <c r="AE27" s="25"/>
      <c r="AF27" s="25"/>
      <c r="AG27" s="25"/>
      <c r="AH27" s="25"/>
      <c r="AI27" s="25"/>
      <c r="AJ27" s="25"/>
      <c r="AK27" s="25"/>
    </row>
    <row r="28" spans="1:37" x14ac:dyDescent="0.35">
      <c r="A28" s="1"/>
      <c r="B28" s="5"/>
      <c r="C28" s="25" t="s">
        <v>798</v>
      </c>
      <c r="D28" s="25" t="s">
        <v>799</v>
      </c>
      <c r="E28" s="25" t="s">
        <v>802</v>
      </c>
      <c r="F28" s="25" t="s">
        <v>803</v>
      </c>
      <c r="G28" s="50">
        <v>0</v>
      </c>
      <c r="H28" s="25"/>
      <c r="I28" s="25"/>
      <c r="J28" s="25"/>
      <c r="K28" s="25"/>
      <c r="L28" s="25"/>
      <c r="M28" s="25"/>
      <c r="N28" s="25"/>
      <c r="O28" s="25"/>
      <c r="P28" s="25"/>
      <c r="Q28" s="50">
        <v>1033.2639999999999</v>
      </c>
      <c r="R28" s="50">
        <v>1</v>
      </c>
      <c r="S28" s="37">
        <v>12.3999996185303</v>
      </c>
      <c r="T28" s="37">
        <v>12.3999996185303</v>
      </c>
      <c r="U28" s="37">
        <v>12.3999996185303</v>
      </c>
      <c r="V28" s="37">
        <v>12.3999996185303</v>
      </c>
      <c r="W28" s="37">
        <v>103.32599639892599</v>
      </c>
      <c r="X28" s="37">
        <v>103.32599639892599</v>
      </c>
      <c r="Y28" s="37">
        <v>103.32599639892599</v>
      </c>
      <c r="Z28" s="37">
        <v>103.32599639892599</v>
      </c>
      <c r="AA28" s="94">
        <v>0</v>
      </c>
      <c r="AB28" s="76"/>
      <c r="AC28" s="25"/>
      <c r="AD28" s="25"/>
      <c r="AE28" s="25"/>
      <c r="AF28" s="25"/>
      <c r="AG28" s="25"/>
      <c r="AH28" s="25"/>
      <c r="AI28" s="25"/>
      <c r="AJ28" s="25"/>
      <c r="AK28" s="25"/>
    </row>
    <row r="29" spans="1:37" x14ac:dyDescent="0.35">
      <c r="A29" s="1"/>
      <c r="B29" s="5"/>
      <c r="C29" s="25" t="s">
        <v>694</v>
      </c>
      <c r="D29" s="25" t="s">
        <v>799</v>
      </c>
      <c r="E29" s="25" t="s">
        <v>804</v>
      </c>
      <c r="F29" s="25" t="s">
        <v>805</v>
      </c>
      <c r="G29" s="50">
        <v>4018</v>
      </c>
      <c r="H29" s="50">
        <v>5</v>
      </c>
      <c r="I29" s="37">
        <v>12.9099998474121</v>
      </c>
      <c r="J29" s="37">
        <v>12.9099998474121</v>
      </c>
      <c r="K29" s="37">
        <v>12.9099998474121</v>
      </c>
      <c r="L29" s="37">
        <v>12.9099998474121</v>
      </c>
      <c r="M29" s="37">
        <v>100.449996948242</v>
      </c>
      <c r="N29" s="37">
        <v>100.449996948242</v>
      </c>
      <c r="O29" s="37">
        <v>100.449996948242</v>
      </c>
      <c r="P29" s="37">
        <v>100.449996948242</v>
      </c>
      <c r="Q29" s="50">
        <v>0</v>
      </c>
      <c r="R29" s="25"/>
      <c r="S29" s="25"/>
      <c r="T29" s="25"/>
      <c r="U29" s="25"/>
      <c r="V29" s="25"/>
      <c r="W29" s="25"/>
      <c r="X29" s="25"/>
      <c r="Y29" s="25"/>
      <c r="Z29" s="25"/>
      <c r="AA29" s="94">
        <v>0</v>
      </c>
      <c r="AB29" s="76"/>
      <c r="AC29" s="25"/>
      <c r="AD29" s="25"/>
      <c r="AE29" s="25"/>
      <c r="AF29" s="25"/>
      <c r="AG29" s="25"/>
      <c r="AH29" s="25"/>
      <c r="AI29" s="25"/>
      <c r="AJ29" s="25"/>
      <c r="AK29" s="25"/>
    </row>
    <row r="30" spans="1:37" x14ac:dyDescent="0.35">
      <c r="A30" s="1"/>
      <c r="B30" s="5"/>
      <c r="C30" s="25" t="s">
        <v>694</v>
      </c>
      <c r="D30" s="25" t="s">
        <v>799</v>
      </c>
      <c r="E30" s="25" t="s">
        <v>806</v>
      </c>
      <c r="F30" s="25" t="s">
        <v>807</v>
      </c>
      <c r="G30" s="50">
        <v>0</v>
      </c>
      <c r="H30" s="25"/>
      <c r="I30" s="25"/>
      <c r="J30" s="25"/>
      <c r="K30" s="25"/>
      <c r="L30" s="25"/>
      <c r="M30" s="25"/>
      <c r="N30" s="25"/>
      <c r="O30" s="25"/>
      <c r="P30" s="25"/>
      <c r="Q30" s="50">
        <v>505.887</v>
      </c>
      <c r="R30" s="50">
        <v>1</v>
      </c>
      <c r="S30" s="37">
        <v>12.3999996185303</v>
      </c>
      <c r="T30" s="37">
        <v>12.3999996185303</v>
      </c>
      <c r="U30" s="37">
        <v>12.3999996185303</v>
      </c>
      <c r="V30" s="37">
        <v>12.3999996185303</v>
      </c>
      <c r="W30" s="37">
        <v>101.177001953125</v>
      </c>
      <c r="X30" s="37">
        <v>101.177001953125</v>
      </c>
      <c r="Y30" s="37">
        <v>101.177001953125</v>
      </c>
      <c r="Z30" s="37">
        <v>101.177001953125</v>
      </c>
      <c r="AA30" s="94">
        <v>0</v>
      </c>
      <c r="AB30" s="76"/>
      <c r="AC30" s="25"/>
      <c r="AD30" s="25"/>
      <c r="AE30" s="25"/>
      <c r="AF30" s="25"/>
      <c r="AG30" s="25"/>
      <c r="AH30" s="25"/>
      <c r="AI30" s="25"/>
      <c r="AJ30" s="25"/>
      <c r="AK30" s="25"/>
    </row>
    <row r="31" spans="1:37" x14ac:dyDescent="0.35">
      <c r="A31" s="1"/>
      <c r="B31" s="5"/>
      <c r="C31" s="25" t="s">
        <v>694</v>
      </c>
      <c r="D31" s="25" t="s">
        <v>799</v>
      </c>
      <c r="E31" s="25" t="s">
        <v>808</v>
      </c>
      <c r="F31" s="25" t="s">
        <v>809</v>
      </c>
      <c r="G31" s="50">
        <v>0</v>
      </c>
      <c r="H31" s="25"/>
      <c r="I31" s="25"/>
      <c r="J31" s="25"/>
      <c r="K31" s="25"/>
      <c r="L31" s="25"/>
      <c r="M31" s="25"/>
      <c r="N31" s="25"/>
      <c r="O31" s="25"/>
      <c r="P31" s="25"/>
      <c r="Q31" s="50">
        <v>6859.4610000000002</v>
      </c>
      <c r="R31" s="50">
        <v>1</v>
      </c>
      <c r="S31" s="37">
        <v>11.8999996185303</v>
      </c>
      <c r="T31" s="37">
        <v>11.8999996185303</v>
      </c>
      <c r="U31" s="37">
        <v>11.8999996185303</v>
      </c>
      <c r="V31" s="37">
        <v>11.8999996185303</v>
      </c>
      <c r="W31" s="37">
        <v>97.991996765136705</v>
      </c>
      <c r="X31" s="37">
        <v>97.991996765136705</v>
      </c>
      <c r="Y31" s="37">
        <v>97.991996765136705</v>
      </c>
      <c r="Z31" s="37">
        <v>97.991996765136705</v>
      </c>
      <c r="AA31" s="94">
        <v>0</v>
      </c>
      <c r="AB31" s="76"/>
      <c r="AC31" s="25"/>
      <c r="AD31" s="25"/>
      <c r="AE31" s="25"/>
      <c r="AF31" s="25"/>
      <c r="AG31" s="25"/>
      <c r="AH31" s="25"/>
      <c r="AI31" s="25"/>
      <c r="AJ31" s="25"/>
      <c r="AK31" s="25"/>
    </row>
    <row r="32" spans="1:37" x14ac:dyDescent="0.35">
      <c r="A32" s="1"/>
      <c r="B32" s="5"/>
      <c r="C32" s="25" t="s">
        <v>694</v>
      </c>
      <c r="D32" s="25" t="s">
        <v>799</v>
      </c>
      <c r="E32" s="25" t="s">
        <v>810</v>
      </c>
      <c r="F32" s="25" t="s">
        <v>811</v>
      </c>
      <c r="G32" s="50">
        <v>2045.3</v>
      </c>
      <c r="H32" s="50">
        <v>1</v>
      </c>
      <c r="I32" s="37">
        <v>11</v>
      </c>
      <c r="J32" s="37">
        <v>11</v>
      </c>
      <c r="K32" s="37">
        <v>11</v>
      </c>
      <c r="L32" s="37">
        <v>11</v>
      </c>
      <c r="M32" s="37">
        <v>102.264999389648</v>
      </c>
      <c r="N32" s="37">
        <v>102.264999389648</v>
      </c>
      <c r="O32" s="37">
        <v>102.264999389648</v>
      </c>
      <c r="P32" s="37">
        <v>102.264999389648</v>
      </c>
      <c r="Q32" s="50">
        <v>0</v>
      </c>
      <c r="R32" s="25"/>
      <c r="S32" s="25"/>
      <c r="T32" s="25"/>
      <c r="U32" s="25"/>
      <c r="V32" s="25"/>
      <c r="W32" s="25"/>
      <c r="X32" s="25"/>
      <c r="Y32" s="25"/>
      <c r="Z32" s="25"/>
      <c r="AA32" s="94">
        <v>0</v>
      </c>
      <c r="AB32" s="76"/>
      <c r="AC32" s="25"/>
      <c r="AD32" s="25"/>
      <c r="AE32" s="25"/>
      <c r="AF32" s="25"/>
      <c r="AG32" s="25"/>
      <c r="AH32" s="25"/>
      <c r="AI32" s="25"/>
      <c r="AJ32" s="25"/>
      <c r="AK32" s="25"/>
    </row>
    <row r="33" spans="1:37" x14ac:dyDescent="0.35">
      <c r="A33" s="1"/>
      <c r="B33" s="5"/>
      <c r="C33" s="25" t="s">
        <v>694</v>
      </c>
      <c r="D33" s="25" t="s">
        <v>799</v>
      </c>
      <c r="E33" s="25" t="s">
        <v>812</v>
      </c>
      <c r="F33" s="25" t="s">
        <v>813</v>
      </c>
      <c r="G33" s="50">
        <v>0</v>
      </c>
      <c r="H33" s="25"/>
      <c r="I33" s="25"/>
      <c r="J33" s="25"/>
      <c r="K33" s="25"/>
      <c r="L33" s="25"/>
      <c r="M33" s="25"/>
      <c r="N33" s="25"/>
      <c r="O33" s="25"/>
      <c r="P33" s="25"/>
      <c r="Q33" s="50">
        <v>4948.8149999999996</v>
      </c>
      <c r="R33" s="50">
        <v>1</v>
      </c>
      <c r="S33" s="37">
        <v>11.8999996185303</v>
      </c>
      <c r="T33" s="37">
        <v>11.8999996185303</v>
      </c>
      <c r="U33" s="37">
        <v>11.8999996185303</v>
      </c>
      <c r="V33" s="37">
        <v>11.8999996185303</v>
      </c>
      <c r="W33" s="37">
        <v>98.975997924804702</v>
      </c>
      <c r="X33" s="37">
        <v>98.975997924804702</v>
      </c>
      <c r="Y33" s="37">
        <v>98.975997924804702</v>
      </c>
      <c r="Z33" s="37">
        <v>98.975997924804702</v>
      </c>
      <c r="AA33" s="94">
        <v>0</v>
      </c>
      <c r="AB33" s="76"/>
      <c r="AC33" s="25"/>
      <c r="AD33" s="25"/>
      <c r="AE33" s="25"/>
      <c r="AF33" s="25"/>
      <c r="AG33" s="25"/>
      <c r="AH33" s="25"/>
      <c r="AI33" s="25"/>
      <c r="AJ33" s="25"/>
      <c r="AK33" s="25"/>
    </row>
    <row r="34" spans="1:37" x14ac:dyDescent="0.35">
      <c r="A34" s="1"/>
      <c r="B34" s="5"/>
      <c r="C34" s="25" t="s">
        <v>694</v>
      </c>
      <c r="D34" s="25" t="s">
        <v>799</v>
      </c>
      <c r="E34" s="25" t="s">
        <v>812</v>
      </c>
      <c r="F34" s="25" t="s">
        <v>814</v>
      </c>
      <c r="G34" s="50">
        <v>0</v>
      </c>
      <c r="H34" s="25"/>
      <c r="I34" s="25"/>
      <c r="J34" s="25"/>
      <c r="K34" s="25"/>
      <c r="L34" s="25"/>
      <c r="M34" s="25"/>
      <c r="N34" s="25"/>
      <c r="O34" s="25"/>
      <c r="P34" s="25"/>
      <c r="Q34" s="50">
        <v>492.33150000000001</v>
      </c>
      <c r="R34" s="50">
        <v>1</v>
      </c>
      <c r="S34" s="37">
        <v>12.3999996185303</v>
      </c>
      <c r="T34" s="37">
        <v>12.3999996185303</v>
      </c>
      <c r="U34" s="37">
        <v>12.3999996185303</v>
      </c>
      <c r="V34" s="37">
        <v>12.3999996185303</v>
      </c>
      <c r="W34" s="37">
        <v>98.466003417968807</v>
      </c>
      <c r="X34" s="37">
        <v>98.466003417968807</v>
      </c>
      <c r="Y34" s="37">
        <v>98.466003417968807</v>
      </c>
      <c r="Z34" s="37">
        <v>98.466003417968807</v>
      </c>
      <c r="AA34" s="94">
        <v>0</v>
      </c>
      <c r="AB34" s="76"/>
      <c r="AC34" s="25"/>
      <c r="AD34" s="25"/>
      <c r="AE34" s="25"/>
      <c r="AF34" s="25"/>
      <c r="AG34" s="25"/>
      <c r="AH34" s="25"/>
      <c r="AI34" s="25"/>
      <c r="AJ34" s="25"/>
      <c r="AK34" s="25"/>
    </row>
    <row r="35" spans="1:37" x14ac:dyDescent="0.35">
      <c r="A35" s="1"/>
      <c r="B35" s="5"/>
      <c r="C35" s="25" t="s">
        <v>694</v>
      </c>
      <c r="D35" s="25" t="s">
        <v>799</v>
      </c>
      <c r="E35" s="25" t="s">
        <v>815</v>
      </c>
      <c r="F35" s="25" t="s">
        <v>816</v>
      </c>
      <c r="G35" s="50">
        <v>0</v>
      </c>
      <c r="H35" s="25"/>
      <c r="I35" s="25"/>
      <c r="J35" s="25"/>
      <c r="K35" s="25"/>
      <c r="L35" s="25"/>
      <c r="M35" s="25"/>
      <c r="N35" s="25"/>
      <c r="O35" s="25"/>
      <c r="P35" s="25"/>
      <c r="Q35" s="50">
        <v>997.125</v>
      </c>
      <c r="R35" s="50">
        <v>1</v>
      </c>
      <c r="S35" s="37">
        <v>12.25</v>
      </c>
      <c r="T35" s="37">
        <v>12.25</v>
      </c>
      <c r="U35" s="37">
        <v>12.25</v>
      </c>
      <c r="V35" s="37">
        <v>12.25</v>
      </c>
      <c r="W35" s="37">
        <v>99.711997985839801</v>
      </c>
      <c r="X35" s="37">
        <v>99.711997985839801</v>
      </c>
      <c r="Y35" s="37">
        <v>99.711997985839801</v>
      </c>
      <c r="Z35" s="37">
        <v>99.711997985839801</v>
      </c>
      <c r="AA35" s="94">
        <v>0</v>
      </c>
      <c r="AB35" s="76"/>
      <c r="AC35" s="25"/>
      <c r="AD35" s="25"/>
      <c r="AE35" s="25"/>
      <c r="AF35" s="25"/>
      <c r="AG35" s="25"/>
      <c r="AH35" s="25"/>
      <c r="AI35" s="25"/>
      <c r="AJ35" s="25"/>
      <c r="AK35" s="25"/>
    </row>
    <row r="36" spans="1:37" x14ac:dyDescent="0.35">
      <c r="A36" s="1"/>
      <c r="B36" s="5"/>
      <c r="C36" s="25" t="s">
        <v>694</v>
      </c>
      <c r="D36" s="25" t="s">
        <v>799</v>
      </c>
      <c r="E36" s="25" t="s">
        <v>817</v>
      </c>
      <c r="F36" s="25" t="s">
        <v>818</v>
      </c>
      <c r="G36" s="50">
        <v>0</v>
      </c>
      <c r="H36" s="25"/>
      <c r="I36" s="25"/>
      <c r="J36" s="25"/>
      <c r="K36" s="25"/>
      <c r="L36" s="25"/>
      <c r="M36" s="25"/>
      <c r="N36" s="25"/>
      <c r="O36" s="25"/>
      <c r="P36" s="25"/>
      <c r="Q36" s="50">
        <v>509.17750000000001</v>
      </c>
      <c r="R36" s="50">
        <v>1</v>
      </c>
      <c r="S36" s="37">
        <v>12.3999996185303</v>
      </c>
      <c r="T36" s="37">
        <v>12.3999996185303</v>
      </c>
      <c r="U36" s="37">
        <v>12.3999996185303</v>
      </c>
      <c r="V36" s="37">
        <v>12.3999996185303</v>
      </c>
      <c r="W36" s="37">
        <v>101.834999084473</v>
      </c>
      <c r="X36" s="37">
        <v>101.834999084473</v>
      </c>
      <c r="Y36" s="37">
        <v>101.834999084473</v>
      </c>
      <c r="Z36" s="37">
        <v>101.834999084473</v>
      </c>
      <c r="AA36" s="94">
        <v>0</v>
      </c>
      <c r="AB36" s="76"/>
      <c r="AC36" s="25"/>
      <c r="AD36" s="25"/>
      <c r="AE36" s="25"/>
      <c r="AF36" s="25"/>
      <c r="AG36" s="25"/>
      <c r="AH36" s="25"/>
      <c r="AI36" s="25"/>
      <c r="AJ36" s="25"/>
      <c r="AK36" s="25"/>
    </row>
    <row r="37" spans="1:37" x14ac:dyDescent="0.35">
      <c r="A37" s="1"/>
      <c r="B37" s="5"/>
      <c r="C37" s="25" t="s">
        <v>694</v>
      </c>
      <c r="D37" s="25" t="s">
        <v>799</v>
      </c>
      <c r="E37" s="25" t="s">
        <v>506</v>
      </c>
      <c r="F37" s="25" t="s">
        <v>819</v>
      </c>
      <c r="G37" s="50">
        <v>910.59699999999998</v>
      </c>
      <c r="H37" s="50">
        <v>2</v>
      </c>
      <c r="I37" s="37">
        <v>12.8999996185303</v>
      </c>
      <c r="J37" s="37">
        <v>13.1499996185303</v>
      </c>
      <c r="K37" s="37">
        <v>13.0388885074192</v>
      </c>
      <c r="L37" s="37">
        <v>13.1499996185303</v>
      </c>
      <c r="M37" s="37">
        <v>101.009002685547</v>
      </c>
      <c r="N37" s="37">
        <v>101.38800048828099</v>
      </c>
      <c r="O37" s="37">
        <v>101.177446153429</v>
      </c>
      <c r="P37" s="37">
        <v>101.009002685547</v>
      </c>
      <c r="Q37" s="50">
        <v>0</v>
      </c>
      <c r="R37" s="25"/>
      <c r="S37" s="25"/>
      <c r="T37" s="25"/>
      <c r="U37" s="25"/>
      <c r="V37" s="25"/>
      <c r="W37" s="25"/>
      <c r="X37" s="25"/>
      <c r="Y37" s="25"/>
      <c r="Z37" s="25"/>
      <c r="AA37" s="94">
        <v>0</v>
      </c>
      <c r="AB37" s="76"/>
      <c r="AC37" s="25"/>
      <c r="AD37" s="25"/>
      <c r="AE37" s="25"/>
      <c r="AF37" s="25"/>
      <c r="AG37" s="25"/>
      <c r="AH37" s="25"/>
      <c r="AI37" s="25"/>
      <c r="AJ37" s="25"/>
      <c r="AK37" s="25"/>
    </row>
    <row r="38" spans="1:37" x14ac:dyDescent="0.35">
      <c r="A38" s="1"/>
      <c r="B38" s="5"/>
      <c r="C38" s="25" t="s">
        <v>694</v>
      </c>
      <c r="D38" s="25" t="s">
        <v>799</v>
      </c>
      <c r="E38" s="25" t="s">
        <v>509</v>
      </c>
      <c r="F38" s="25" t="s">
        <v>820</v>
      </c>
      <c r="G38" s="50">
        <v>0</v>
      </c>
      <c r="H38" s="25"/>
      <c r="I38" s="25"/>
      <c r="J38" s="25"/>
      <c r="K38" s="25"/>
      <c r="L38" s="25"/>
      <c r="M38" s="25"/>
      <c r="N38" s="25"/>
      <c r="O38" s="25"/>
      <c r="P38" s="25"/>
      <c r="Q38" s="50">
        <v>3519.2255</v>
      </c>
      <c r="R38" s="50">
        <v>1</v>
      </c>
      <c r="S38" s="37">
        <v>12.25</v>
      </c>
      <c r="T38" s="37">
        <v>12.25</v>
      </c>
      <c r="U38" s="37">
        <v>12.25</v>
      </c>
      <c r="V38" s="37">
        <v>12.25</v>
      </c>
      <c r="W38" s="37">
        <v>100.54900360107401</v>
      </c>
      <c r="X38" s="37">
        <v>100.54900360107401</v>
      </c>
      <c r="Y38" s="37">
        <v>100.54900360107401</v>
      </c>
      <c r="Z38" s="37">
        <v>100.54900360107401</v>
      </c>
      <c r="AA38" s="94">
        <v>0</v>
      </c>
      <c r="AB38" s="76"/>
      <c r="AC38" s="25"/>
      <c r="AD38" s="25"/>
      <c r="AE38" s="25"/>
      <c r="AF38" s="25"/>
      <c r="AG38" s="25"/>
      <c r="AH38" s="25"/>
      <c r="AI38" s="25"/>
      <c r="AJ38" s="25"/>
      <c r="AK38" s="25"/>
    </row>
    <row r="39" spans="1:37" x14ac:dyDescent="0.35">
      <c r="A39" s="1"/>
      <c r="B39" s="5"/>
      <c r="C39" s="25" t="s">
        <v>821</v>
      </c>
      <c r="D39" s="25" t="s">
        <v>799</v>
      </c>
      <c r="E39" s="25" t="s">
        <v>822</v>
      </c>
      <c r="F39" s="25" t="s">
        <v>823</v>
      </c>
      <c r="G39" s="50">
        <v>0</v>
      </c>
      <c r="H39" s="25"/>
      <c r="I39" s="25"/>
      <c r="J39" s="25"/>
      <c r="K39" s="25"/>
      <c r="L39" s="25"/>
      <c r="M39" s="25"/>
      <c r="N39" s="25"/>
      <c r="O39" s="25"/>
      <c r="P39" s="25"/>
      <c r="Q39" s="50">
        <v>515.21950000000004</v>
      </c>
      <c r="R39" s="50">
        <v>1</v>
      </c>
      <c r="S39" s="37">
        <v>12.3999996185303</v>
      </c>
      <c r="T39" s="37">
        <v>12.3999996185303</v>
      </c>
      <c r="U39" s="37">
        <v>12.3999996185303</v>
      </c>
      <c r="V39" s="37">
        <v>12.3999996185303</v>
      </c>
      <c r="W39" s="37">
        <v>103.042999267578</v>
      </c>
      <c r="X39" s="37">
        <v>103.042999267578</v>
      </c>
      <c r="Y39" s="37">
        <v>103.042999267578</v>
      </c>
      <c r="Z39" s="37">
        <v>103.042999267578</v>
      </c>
      <c r="AA39" s="94">
        <v>0</v>
      </c>
      <c r="AB39" s="76"/>
      <c r="AC39" s="25"/>
      <c r="AD39" s="25"/>
      <c r="AE39" s="25"/>
      <c r="AF39" s="25"/>
      <c r="AG39" s="25"/>
      <c r="AH39" s="25"/>
      <c r="AI39" s="25"/>
      <c r="AJ39" s="25"/>
      <c r="AK39" s="25"/>
    </row>
    <row r="40" spans="1:37" x14ac:dyDescent="0.35">
      <c r="A40" s="1"/>
      <c r="B40" s="5"/>
      <c r="C40" s="25" t="s">
        <v>821</v>
      </c>
      <c r="D40" s="25" t="s">
        <v>799</v>
      </c>
      <c r="E40" s="25" t="s">
        <v>824</v>
      </c>
      <c r="F40" s="25" t="s">
        <v>825</v>
      </c>
      <c r="G40" s="50">
        <v>0</v>
      </c>
      <c r="H40" s="25"/>
      <c r="I40" s="25"/>
      <c r="J40" s="25"/>
      <c r="K40" s="25"/>
      <c r="L40" s="25"/>
      <c r="M40" s="25"/>
      <c r="N40" s="25"/>
      <c r="O40" s="25"/>
      <c r="P40" s="25"/>
      <c r="Q40" s="50">
        <v>555.18399999999997</v>
      </c>
      <c r="R40" s="50">
        <v>1</v>
      </c>
      <c r="S40" s="37">
        <v>12.3999996185303</v>
      </c>
      <c r="T40" s="37">
        <v>12.3999996185303</v>
      </c>
      <c r="U40" s="37">
        <v>12.3999996185303</v>
      </c>
      <c r="V40" s="37">
        <v>12.3999996185303</v>
      </c>
      <c r="W40" s="37">
        <v>111.036003112793</v>
      </c>
      <c r="X40" s="37">
        <v>111.036003112793</v>
      </c>
      <c r="Y40" s="37">
        <v>111.036003112793</v>
      </c>
      <c r="Z40" s="37">
        <v>111.036003112793</v>
      </c>
      <c r="AA40" s="94">
        <v>0</v>
      </c>
      <c r="AB40" s="76"/>
      <c r="AC40" s="25"/>
      <c r="AD40" s="25"/>
      <c r="AE40" s="25"/>
      <c r="AF40" s="25"/>
      <c r="AG40" s="25"/>
      <c r="AH40" s="25"/>
      <c r="AI40" s="25"/>
      <c r="AJ40" s="25"/>
      <c r="AK40" s="25"/>
    </row>
    <row r="41" spans="1:37" x14ac:dyDescent="0.35">
      <c r="A41" s="1"/>
      <c r="B41" s="5"/>
      <c r="C41" s="25" t="s">
        <v>826</v>
      </c>
      <c r="D41" s="25" t="s">
        <v>799</v>
      </c>
      <c r="E41" s="25" t="s">
        <v>827</v>
      </c>
      <c r="F41" s="25" t="s">
        <v>820</v>
      </c>
      <c r="G41" s="50">
        <v>1088.846</v>
      </c>
      <c r="H41" s="50">
        <v>1</v>
      </c>
      <c r="I41" s="37">
        <v>13.3999996185303</v>
      </c>
      <c r="J41" s="37">
        <v>13.3999996185303</v>
      </c>
      <c r="K41" s="37">
        <v>13.3999996185303</v>
      </c>
      <c r="L41" s="37">
        <v>13.3999996185303</v>
      </c>
      <c r="M41" s="37">
        <v>98.986000061035199</v>
      </c>
      <c r="N41" s="37">
        <v>98.986000061035199</v>
      </c>
      <c r="O41" s="37">
        <v>98.986000061035199</v>
      </c>
      <c r="P41" s="37">
        <v>98.986000061035199</v>
      </c>
      <c r="Q41" s="50">
        <v>0</v>
      </c>
      <c r="R41" s="25"/>
      <c r="S41" s="25"/>
      <c r="T41" s="25"/>
      <c r="U41" s="25"/>
      <c r="V41" s="25"/>
      <c r="W41" s="25"/>
      <c r="X41" s="25"/>
      <c r="Y41" s="25"/>
      <c r="Z41" s="25"/>
      <c r="AA41" s="94">
        <v>0</v>
      </c>
      <c r="AB41" s="76"/>
      <c r="AC41" s="25"/>
      <c r="AD41" s="25"/>
      <c r="AE41" s="25"/>
      <c r="AF41" s="25"/>
      <c r="AG41" s="25"/>
      <c r="AH41" s="25"/>
      <c r="AI41" s="25"/>
      <c r="AJ41" s="25"/>
      <c r="AK41" s="25"/>
    </row>
    <row r="42" spans="1:37" x14ac:dyDescent="0.35">
      <c r="A42" s="1"/>
      <c r="B42" s="5"/>
      <c r="C42" s="25" t="s">
        <v>826</v>
      </c>
      <c r="D42" s="25" t="s">
        <v>799</v>
      </c>
      <c r="E42" s="25" t="s">
        <v>828</v>
      </c>
      <c r="F42" s="25" t="s">
        <v>829</v>
      </c>
      <c r="G42" s="50">
        <v>512.38</v>
      </c>
      <c r="H42" s="50">
        <v>1</v>
      </c>
      <c r="I42" s="37">
        <v>12.949999809265099</v>
      </c>
      <c r="J42" s="37">
        <v>12.949999809265099</v>
      </c>
      <c r="K42" s="37">
        <v>12.949999809265099</v>
      </c>
      <c r="L42" s="37">
        <v>12.949999809265099</v>
      </c>
      <c r="M42" s="37">
        <v>102.475997924805</v>
      </c>
      <c r="N42" s="37">
        <v>102.475997924805</v>
      </c>
      <c r="O42" s="37">
        <v>102.475997924805</v>
      </c>
      <c r="P42" s="37">
        <v>102.475997924805</v>
      </c>
      <c r="Q42" s="50">
        <v>0</v>
      </c>
      <c r="R42" s="25"/>
      <c r="S42" s="25"/>
      <c r="T42" s="25"/>
      <c r="U42" s="25"/>
      <c r="V42" s="25"/>
      <c r="W42" s="25"/>
      <c r="X42" s="25"/>
      <c r="Y42" s="25"/>
      <c r="Z42" s="25"/>
      <c r="AA42" s="94">
        <v>0</v>
      </c>
      <c r="AB42" s="76"/>
      <c r="AC42" s="25"/>
      <c r="AD42" s="25"/>
      <c r="AE42" s="25"/>
      <c r="AF42" s="25"/>
      <c r="AG42" s="25"/>
      <c r="AH42" s="25"/>
      <c r="AI42" s="25"/>
      <c r="AJ42" s="25"/>
      <c r="AK42" s="25"/>
    </row>
    <row r="43" spans="1:37" x14ac:dyDescent="0.35">
      <c r="A43" s="1"/>
      <c r="B43" s="5"/>
      <c r="C43" s="25" t="s">
        <v>826</v>
      </c>
      <c r="D43" s="25" t="s">
        <v>799</v>
      </c>
      <c r="E43" s="25" t="s">
        <v>830</v>
      </c>
      <c r="F43" s="25" t="s">
        <v>831</v>
      </c>
      <c r="G43" s="50">
        <v>0</v>
      </c>
      <c r="H43" s="25"/>
      <c r="I43" s="25"/>
      <c r="J43" s="25"/>
      <c r="K43" s="25"/>
      <c r="L43" s="25"/>
      <c r="M43" s="25"/>
      <c r="N43" s="25"/>
      <c r="O43" s="25"/>
      <c r="P43" s="25"/>
      <c r="Q43" s="50">
        <v>1487.5155</v>
      </c>
      <c r="R43" s="50">
        <v>1</v>
      </c>
      <c r="S43" s="37">
        <v>12.3999996185303</v>
      </c>
      <c r="T43" s="37">
        <v>12.3999996185303</v>
      </c>
      <c r="U43" s="37">
        <v>12.3999996185303</v>
      </c>
      <c r="V43" s="37">
        <v>12.3999996185303</v>
      </c>
      <c r="W43" s="37">
        <v>99.166999816894503</v>
      </c>
      <c r="X43" s="37">
        <v>99.166999816894503</v>
      </c>
      <c r="Y43" s="37">
        <v>99.166999816894503</v>
      </c>
      <c r="Z43" s="37">
        <v>99.166999816894503</v>
      </c>
      <c r="AA43" s="94">
        <v>0</v>
      </c>
      <c r="AB43" s="76"/>
      <c r="AC43" s="25"/>
      <c r="AD43" s="25"/>
      <c r="AE43" s="25"/>
      <c r="AF43" s="25"/>
      <c r="AG43" s="25"/>
      <c r="AH43" s="25"/>
      <c r="AI43" s="25"/>
      <c r="AJ43" s="25"/>
      <c r="AK43" s="25"/>
    </row>
    <row r="44" spans="1:37" x14ac:dyDescent="0.35">
      <c r="A44" s="1"/>
      <c r="B44" s="5"/>
      <c r="C44" s="25" t="s">
        <v>826</v>
      </c>
      <c r="D44" s="25" t="s">
        <v>799</v>
      </c>
      <c r="E44" s="25" t="s">
        <v>832</v>
      </c>
      <c r="F44" s="25" t="s">
        <v>833</v>
      </c>
      <c r="G44" s="50">
        <v>0</v>
      </c>
      <c r="H44" s="25"/>
      <c r="I44" s="25"/>
      <c r="J44" s="25"/>
      <c r="K44" s="25"/>
      <c r="L44" s="25"/>
      <c r="M44" s="25"/>
      <c r="N44" s="25"/>
      <c r="O44" s="25"/>
      <c r="P44" s="25"/>
      <c r="Q44" s="50">
        <v>3070.194</v>
      </c>
      <c r="R44" s="50">
        <v>1</v>
      </c>
      <c r="S44" s="37">
        <v>12.001000404357899</v>
      </c>
      <c r="T44" s="37">
        <v>12.001000404357899</v>
      </c>
      <c r="U44" s="37">
        <v>12.001000404357899</v>
      </c>
      <c r="V44" s="37">
        <v>12.001000404357899</v>
      </c>
      <c r="W44" s="37">
        <v>102.338996887207</v>
      </c>
      <c r="X44" s="37">
        <v>102.338996887207</v>
      </c>
      <c r="Y44" s="37">
        <v>102.338996887207</v>
      </c>
      <c r="Z44" s="37">
        <v>102.338996887207</v>
      </c>
      <c r="AA44" s="94">
        <v>0</v>
      </c>
      <c r="AB44" s="76"/>
      <c r="AC44" s="25"/>
      <c r="AD44" s="25"/>
      <c r="AE44" s="25"/>
      <c r="AF44" s="25"/>
      <c r="AG44" s="25"/>
      <c r="AH44" s="25"/>
      <c r="AI44" s="25"/>
      <c r="AJ44" s="25"/>
      <c r="AK44" s="25"/>
    </row>
    <row r="45" spans="1:37" x14ac:dyDescent="0.35">
      <c r="A45" s="1"/>
      <c r="B45" s="5"/>
      <c r="C45" s="25" t="s">
        <v>826</v>
      </c>
      <c r="D45" s="25" t="s">
        <v>799</v>
      </c>
      <c r="E45" s="25" t="s">
        <v>834</v>
      </c>
      <c r="F45" s="25" t="s">
        <v>835</v>
      </c>
      <c r="G45" s="50">
        <v>0</v>
      </c>
      <c r="H45" s="25"/>
      <c r="I45" s="25"/>
      <c r="J45" s="25"/>
      <c r="K45" s="25"/>
      <c r="L45" s="25"/>
      <c r="M45" s="25"/>
      <c r="N45" s="25"/>
      <c r="O45" s="25"/>
      <c r="P45" s="25"/>
      <c r="Q45" s="50">
        <v>508.3075</v>
      </c>
      <c r="R45" s="50">
        <v>1</v>
      </c>
      <c r="S45" s="37">
        <v>12.3999996185303</v>
      </c>
      <c r="T45" s="37">
        <v>12.3999996185303</v>
      </c>
      <c r="U45" s="37">
        <v>12.3999996185303</v>
      </c>
      <c r="V45" s="37">
        <v>12.3999996185303</v>
      </c>
      <c r="W45" s="37">
        <v>101.661003112793</v>
      </c>
      <c r="X45" s="37">
        <v>101.661003112793</v>
      </c>
      <c r="Y45" s="37">
        <v>101.661003112793</v>
      </c>
      <c r="Z45" s="37">
        <v>101.661003112793</v>
      </c>
      <c r="AA45" s="94">
        <v>0</v>
      </c>
      <c r="AB45" s="76"/>
      <c r="AC45" s="25"/>
      <c r="AD45" s="25"/>
      <c r="AE45" s="25"/>
      <c r="AF45" s="25"/>
      <c r="AG45" s="25"/>
      <c r="AH45" s="25"/>
      <c r="AI45" s="25"/>
      <c r="AJ45" s="25"/>
      <c r="AK45" s="25"/>
    </row>
    <row r="46" spans="1:37" x14ac:dyDescent="0.35">
      <c r="A46" s="1"/>
      <c r="B46" s="5"/>
      <c r="C46" s="25" t="s">
        <v>826</v>
      </c>
      <c r="D46" s="25" t="s">
        <v>799</v>
      </c>
      <c r="E46" s="25" t="s">
        <v>836</v>
      </c>
      <c r="F46" s="25" t="s">
        <v>837</v>
      </c>
      <c r="G46" s="50">
        <v>71.682100000000005</v>
      </c>
      <c r="H46" s="50">
        <v>1</v>
      </c>
      <c r="I46" s="37">
        <v>13.3500003814697</v>
      </c>
      <c r="J46" s="37">
        <v>13.3500003814697</v>
      </c>
      <c r="K46" s="37">
        <v>13.3500003814697</v>
      </c>
      <c r="L46" s="37">
        <v>13.3500003814697</v>
      </c>
      <c r="M46" s="37">
        <v>102.40299987793</v>
      </c>
      <c r="N46" s="37">
        <v>102.40299987793</v>
      </c>
      <c r="O46" s="37">
        <v>102.40299987793</v>
      </c>
      <c r="P46" s="37">
        <v>102.40299987793</v>
      </c>
      <c r="Q46" s="50">
        <v>0</v>
      </c>
      <c r="R46" s="25"/>
      <c r="S46" s="25"/>
      <c r="T46" s="25"/>
      <c r="U46" s="25"/>
      <c r="V46" s="25"/>
      <c r="W46" s="25"/>
      <c r="X46" s="25"/>
      <c r="Y46" s="25"/>
      <c r="Z46" s="25"/>
      <c r="AA46" s="94">
        <v>0</v>
      </c>
      <c r="AB46" s="76"/>
      <c r="AC46" s="25"/>
      <c r="AD46" s="25"/>
      <c r="AE46" s="25"/>
      <c r="AF46" s="25"/>
      <c r="AG46" s="25"/>
      <c r="AH46" s="25"/>
      <c r="AI46" s="25"/>
      <c r="AJ46" s="25"/>
      <c r="AK46" s="25"/>
    </row>
    <row r="47" spans="1:37" x14ac:dyDescent="0.35">
      <c r="A47" s="1"/>
      <c r="B47" s="5"/>
      <c r="C47" s="25" t="s">
        <v>826</v>
      </c>
      <c r="D47" s="25" t="s">
        <v>799</v>
      </c>
      <c r="E47" s="25" t="s">
        <v>487</v>
      </c>
      <c r="F47" s="25" t="s">
        <v>838</v>
      </c>
      <c r="G47" s="50">
        <v>50.238</v>
      </c>
      <c r="H47" s="50">
        <v>1</v>
      </c>
      <c r="I47" s="37">
        <v>13</v>
      </c>
      <c r="J47" s="37">
        <v>13</v>
      </c>
      <c r="K47" s="37">
        <v>13</v>
      </c>
      <c r="L47" s="37">
        <v>13</v>
      </c>
      <c r="M47" s="37">
        <v>100.475997924805</v>
      </c>
      <c r="N47" s="37">
        <v>100.475997924805</v>
      </c>
      <c r="O47" s="37">
        <v>100.475997924805</v>
      </c>
      <c r="P47" s="37">
        <v>100.475997924805</v>
      </c>
      <c r="Q47" s="50">
        <v>0</v>
      </c>
      <c r="R47" s="25"/>
      <c r="S47" s="25"/>
      <c r="T47" s="25"/>
      <c r="U47" s="25"/>
      <c r="V47" s="25"/>
      <c r="W47" s="25"/>
      <c r="X47" s="25"/>
      <c r="Y47" s="25"/>
      <c r="Z47" s="25"/>
      <c r="AA47" s="94">
        <v>0</v>
      </c>
      <c r="AB47" s="76"/>
      <c r="AC47" s="25"/>
      <c r="AD47" s="25"/>
      <c r="AE47" s="25"/>
      <c r="AF47" s="25"/>
      <c r="AG47" s="25"/>
      <c r="AH47" s="25"/>
      <c r="AI47" s="25"/>
      <c r="AJ47" s="25"/>
      <c r="AK47" s="25"/>
    </row>
    <row r="48" spans="1:37" x14ac:dyDescent="0.35">
      <c r="A48" s="1"/>
      <c r="B48" s="5"/>
      <c r="C48" s="25" t="s">
        <v>707</v>
      </c>
      <c r="D48" s="25" t="s">
        <v>799</v>
      </c>
      <c r="E48" s="25" t="s">
        <v>839</v>
      </c>
      <c r="F48" s="25" t="s">
        <v>840</v>
      </c>
      <c r="G48" s="50">
        <v>0</v>
      </c>
      <c r="H48" s="25"/>
      <c r="I48" s="25"/>
      <c r="J48" s="25"/>
      <c r="K48" s="25"/>
      <c r="L48" s="25"/>
      <c r="M48" s="25"/>
      <c r="N48" s="25"/>
      <c r="O48" s="25"/>
      <c r="P48" s="25"/>
      <c r="Q48" s="50">
        <v>474.66849999999999</v>
      </c>
      <c r="R48" s="50">
        <v>1</v>
      </c>
      <c r="S48" s="37">
        <v>12.3999996185303</v>
      </c>
      <c r="T48" s="37">
        <v>12.3999996185303</v>
      </c>
      <c r="U48" s="37">
        <v>12.3999996185303</v>
      </c>
      <c r="V48" s="37">
        <v>12.3999996185303</v>
      </c>
      <c r="W48" s="37">
        <v>94.932998657226605</v>
      </c>
      <c r="X48" s="37">
        <v>94.932998657226605</v>
      </c>
      <c r="Y48" s="37">
        <v>94.932998657226605</v>
      </c>
      <c r="Z48" s="37">
        <v>94.932998657226605</v>
      </c>
      <c r="AA48" s="94">
        <v>0</v>
      </c>
      <c r="AB48" s="76"/>
      <c r="AC48" s="25"/>
      <c r="AD48" s="25"/>
      <c r="AE48" s="25"/>
      <c r="AF48" s="25"/>
      <c r="AG48" s="25"/>
      <c r="AH48" s="25"/>
      <c r="AI48" s="25"/>
      <c r="AJ48" s="25"/>
      <c r="AK48" s="25"/>
    </row>
    <row r="49" spans="1:37" x14ac:dyDescent="0.35">
      <c r="A49" s="1"/>
      <c r="B49" s="5"/>
      <c r="C49" s="25" t="s">
        <v>707</v>
      </c>
      <c r="D49" s="25" t="s">
        <v>799</v>
      </c>
      <c r="E49" s="25" t="s">
        <v>841</v>
      </c>
      <c r="F49" s="25" t="s">
        <v>842</v>
      </c>
      <c r="G49" s="50">
        <v>508.66500000000002</v>
      </c>
      <c r="H49" s="50">
        <v>1</v>
      </c>
      <c r="I49" s="37">
        <v>12.949999809265099</v>
      </c>
      <c r="J49" s="37">
        <v>12.949999809265099</v>
      </c>
      <c r="K49" s="37">
        <v>12.949999809265099</v>
      </c>
      <c r="L49" s="37">
        <v>12.949999809265099</v>
      </c>
      <c r="M49" s="37">
        <v>101.73300170898401</v>
      </c>
      <c r="N49" s="37">
        <v>101.73300170898401</v>
      </c>
      <c r="O49" s="37">
        <v>101.73300170898401</v>
      </c>
      <c r="P49" s="37">
        <v>101.73300170898401</v>
      </c>
      <c r="Q49" s="50">
        <v>0</v>
      </c>
      <c r="R49" s="25"/>
      <c r="S49" s="25"/>
      <c r="T49" s="25"/>
      <c r="U49" s="25"/>
      <c r="V49" s="25"/>
      <c r="W49" s="25"/>
      <c r="X49" s="25"/>
      <c r="Y49" s="25"/>
      <c r="Z49" s="25"/>
      <c r="AA49" s="94">
        <v>0</v>
      </c>
      <c r="AB49" s="76"/>
      <c r="AC49" s="25"/>
      <c r="AD49" s="25"/>
      <c r="AE49" s="25"/>
      <c r="AF49" s="25"/>
      <c r="AG49" s="25"/>
      <c r="AH49" s="25"/>
      <c r="AI49" s="25"/>
      <c r="AJ49" s="25"/>
      <c r="AK49" s="25"/>
    </row>
    <row r="50" spans="1:37" x14ac:dyDescent="0.35">
      <c r="A50" s="1"/>
      <c r="B50" s="5"/>
      <c r="C50" s="25" t="s">
        <v>707</v>
      </c>
      <c r="D50" s="25" t="s">
        <v>799</v>
      </c>
      <c r="E50" s="25" t="s">
        <v>843</v>
      </c>
      <c r="F50" s="25" t="s">
        <v>831</v>
      </c>
      <c r="G50" s="50">
        <v>0</v>
      </c>
      <c r="H50" s="25"/>
      <c r="I50" s="25"/>
      <c r="J50" s="25"/>
      <c r="K50" s="25"/>
      <c r="L50" s="25"/>
      <c r="M50" s="25"/>
      <c r="N50" s="25"/>
      <c r="O50" s="25"/>
      <c r="P50" s="25"/>
      <c r="Q50" s="50">
        <v>1015.645</v>
      </c>
      <c r="R50" s="50">
        <v>1</v>
      </c>
      <c r="S50" s="37">
        <v>12.3999996185303</v>
      </c>
      <c r="T50" s="37">
        <v>12.3999996185303</v>
      </c>
      <c r="U50" s="37">
        <v>12.3999996185303</v>
      </c>
      <c r="V50" s="37">
        <v>12.3999996185303</v>
      </c>
      <c r="W50" s="37">
        <v>101.564002990723</v>
      </c>
      <c r="X50" s="37">
        <v>101.564002990723</v>
      </c>
      <c r="Y50" s="37">
        <v>101.564002990723</v>
      </c>
      <c r="Z50" s="37">
        <v>101.564002990723</v>
      </c>
      <c r="AA50" s="94">
        <v>0</v>
      </c>
      <c r="AB50" s="76"/>
      <c r="AC50" s="25"/>
      <c r="AD50" s="25"/>
      <c r="AE50" s="25"/>
      <c r="AF50" s="25"/>
      <c r="AG50" s="25"/>
      <c r="AH50" s="25"/>
      <c r="AI50" s="25"/>
      <c r="AJ50" s="25"/>
      <c r="AK50" s="25"/>
    </row>
    <row r="51" spans="1:37" x14ac:dyDescent="0.35">
      <c r="A51" s="1"/>
      <c r="B51" s="5"/>
      <c r="C51" s="25" t="s">
        <v>707</v>
      </c>
      <c r="D51" s="25" t="s">
        <v>799</v>
      </c>
      <c r="E51" s="25" t="s">
        <v>844</v>
      </c>
      <c r="F51" s="25" t="s">
        <v>845</v>
      </c>
      <c r="G51" s="50">
        <v>0</v>
      </c>
      <c r="H51" s="25"/>
      <c r="I51" s="25"/>
      <c r="J51" s="25"/>
      <c r="K51" s="25"/>
      <c r="L51" s="25"/>
      <c r="M51" s="25"/>
      <c r="N51" s="25"/>
      <c r="O51" s="25"/>
      <c r="P51" s="25"/>
      <c r="Q51" s="50">
        <v>508.1225</v>
      </c>
      <c r="R51" s="50">
        <v>1</v>
      </c>
      <c r="S51" s="37">
        <v>12.3999996185303</v>
      </c>
      <c r="T51" s="37">
        <v>12.3999996185303</v>
      </c>
      <c r="U51" s="37">
        <v>12.3999996185303</v>
      </c>
      <c r="V51" s="37">
        <v>12.3999996185303</v>
      </c>
      <c r="W51" s="37">
        <v>101.62400054931599</v>
      </c>
      <c r="X51" s="37">
        <v>101.62400054931599</v>
      </c>
      <c r="Y51" s="37">
        <v>101.62400054931599</v>
      </c>
      <c r="Z51" s="37">
        <v>101.62400054931599</v>
      </c>
      <c r="AA51" s="94">
        <v>0</v>
      </c>
      <c r="AB51" s="76"/>
      <c r="AC51" s="25"/>
      <c r="AD51" s="25"/>
      <c r="AE51" s="25"/>
      <c r="AF51" s="25"/>
      <c r="AG51" s="25"/>
      <c r="AH51" s="25"/>
      <c r="AI51" s="25"/>
      <c r="AJ51" s="25"/>
      <c r="AK51" s="25"/>
    </row>
    <row r="52" spans="1:37" x14ac:dyDescent="0.35">
      <c r="A52" s="1"/>
      <c r="B52" s="5"/>
      <c r="C52" s="25" t="s">
        <v>707</v>
      </c>
      <c r="D52" s="25" t="s">
        <v>799</v>
      </c>
      <c r="E52" s="25" t="s">
        <v>846</v>
      </c>
      <c r="F52" s="25" t="s">
        <v>847</v>
      </c>
      <c r="G52" s="50">
        <v>0</v>
      </c>
      <c r="H52" s="25"/>
      <c r="I52" s="25"/>
      <c r="J52" s="25"/>
      <c r="K52" s="25"/>
      <c r="L52" s="25"/>
      <c r="M52" s="25"/>
      <c r="N52" s="25"/>
      <c r="O52" s="25"/>
      <c r="P52" s="25"/>
      <c r="Q52" s="50">
        <v>513.58199999999999</v>
      </c>
      <c r="R52" s="50">
        <v>1</v>
      </c>
      <c r="S52" s="37">
        <v>12.3999996185303</v>
      </c>
      <c r="T52" s="37">
        <v>12.3999996185303</v>
      </c>
      <c r="U52" s="37">
        <v>12.3999996185303</v>
      </c>
      <c r="V52" s="37">
        <v>12.3999996185303</v>
      </c>
      <c r="W52" s="37">
        <v>102.71600341796901</v>
      </c>
      <c r="X52" s="37">
        <v>102.71600341796901</v>
      </c>
      <c r="Y52" s="37">
        <v>102.71600341796901</v>
      </c>
      <c r="Z52" s="37">
        <v>102.71600341796901</v>
      </c>
      <c r="AA52" s="94">
        <v>0</v>
      </c>
      <c r="AB52" s="76"/>
      <c r="AC52" s="25"/>
      <c r="AD52" s="25"/>
      <c r="AE52" s="25"/>
      <c r="AF52" s="25"/>
      <c r="AG52" s="25"/>
      <c r="AH52" s="25"/>
      <c r="AI52" s="25"/>
      <c r="AJ52" s="25"/>
      <c r="AK52" s="25"/>
    </row>
    <row r="53" spans="1:37" x14ac:dyDescent="0.35">
      <c r="A53" s="1"/>
      <c r="B53" s="5"/>
      <c r="C53" s="25" t="s">
        <v>707</v>
      </c>
      <c r="D53" s="25" t="s">
        <v>799</v>
      </c>
      <c r="E53" s="25" t="s">
        <v>848</v>
      </c>
      <c r="F53" s="25" t="s">
        <v>849</v>
      </c>
      <c r="G53" s="50">
        <v>1003.83</v>
      </c>
      <c r="H53" s="50">
        <v>1</v>
      </c>
      <c r="I53" s="37">
        <v>11.8500003814697</v>
      </c>
      <c r="J53" s="37">
        <v>11.8500003814697</v>
      </c>
      <c r="K53" s="37">
        <v>11.8500003814697</v>
      </c>
      <c r="L53" s="37">
        <v>11.8500003814697</v>
      </c>
      <c r="M53" s="37">
        <v>100.383003234863</v>
      </c>
      <c r="N53" s="37">
        <v>100.383003234863</v>
      </c>
      <c r="O53" s="37">
        <v>100.383003234863</v>
      </c>
      <c r="P53" s="37">
        <v>100.383003234863</v>
      </c>
      <c r="Q53" s="50">
        <v>0</v>
      </c>
      <c r="R53" s="25"/>
      <c r="S53" s="25"/>
      <c r="T53" s="25"/>
      <c r="U53" s="25"/>
      <c r="V53" s="25"/>
      <c r="W53" s="25"/>
      <c r="X53" s="25"/>
      <c r="Y53" s="25"/>
      <c r="Z53" s="25"/>
      <c r="AA53" s="94">
        <v>0</v>
      </c>
      <c r="AB53" s="76"/>
      <c r="AC53" s="25"/>
      <c r="AD53" s="25"/>
      <c r="AE53" s="25"/>
      <c r="AF53" s="25"/>
      <c r="AG53" s="25"/>
      <c r="AH53" s="25"/>
      <c r="AI53" s="25"/>
      <c r="AJ53" s="25"/>
      <c r="AK53" s="25"/>
    </row>
    <row r="54" spans="1:37" x14ac:dyDescent="0.35">
      <c r="A54" s="1"/>
      <c r="B54" s="5"/>
      <c r="C54" s="25" t="s">
        <v>707</v>
      </c>
      <c r="D54" s="25" t="s">
        <v>799</v>
      </c>
      <c r="E54" s="25" t="s">
        <v>850</v>
      </c>
      <c r="F54" s="25" t="s">
        <v>851</v>
      </c>
      <c r="G54" s="50">
        <v>0</v>
      </c>
      <c r="H54" s="25"/>
      <c r="I54" s="25"/>
      <c r="J54" s="25"/>
      <c r="K54" s="25"/>
      <c r="L54" s="25"/>
      <c r="M54" s="25"/>
      <c r="N54" s="25"/>
      <c r="O54" s="25"/>
      <c r="P54" s="25"/>
      <c r="Q54" s="50">
        <v>720.79821400000003</v>
      </c>
      <c r="R54" s="50">
        <v>3</v>
      </c>
      <c r="S54" s="37">
        <v>11.8999996185303</v>
      </c>
      <c r="T54" s="37">
        <v>11.8999996185303</v>
      </c>
      <c r="U54" s="37">
        <v>11.8999996185303</v>
      </c>
      <c r="V54" s="37">
        <v>11.8999996185303</v>
      </c>
      <c r="W54" s="37">
        <v>96.177001953125</v>
      </c>
      <c r="X54" s="37">
        <v>96.177001953125</v>
      </c>
      <c r="Y54" s="37">
        <v>96.177001953125</v>
      </c>
      <c r="Z54" s="37">
        <v>96.177001953125</v>
      </c>
      <c r="AA54" s="94">
        <v>0</v>
      </c>
      <c r="AB54" s="76"/>
      <c r="AC54" s="25"/>
      <c r="AD54" s="25"/>
      <c r="AE54" s="25"/>
      <c r="AF54" s="25"/>
      <c r="AG54" s="25"/>
      <c r="AH54" s="25"/>
      <c r="AI54" s="25"/>
      <c r="AJ54" s="25"/>
      <c r="AK54" s="25"/>
    </row>
    <row r="55" spans="1:37" x14ac:dyDescent="0.35">
      <c r="A55" s="1"/>
      <c r="B55" s="5"/>
      <c r="C55" s="25" t="s">
        <v>707</v>
      </c>
      <c r="D55" s="25" t="s">
        <v>799</v>
      </c>
      <c r="E55" s="25" t="s">
        <v>852</v>
      </c>
      <c r="F55" s="25" t="s">
        <v>853</v>
      </c>
      <c r="G55" s="50">
        <v>0</v>
      </c>
      <c r="H55" s="25"/>
      <c r="I55" s="25"/>
      <c r="J55" s="25"/>
      <c r="K55" s="25"/>
      <c r="L55" s="25"/>
      <c r="M55" s="25"/>
      <c r="N55" s="25"/>
      <c r="O55" s="25"/>
      <c r="P55" s="25"/>
      <c r="Q55" s="50">
        <v>503.28550000000001</v>
      </c>
      <c r="R55" s="50">
        <v>1</v>
      </c>
      <c r="S55" s="37">
        <v>12.3999996185303</v>
      </c>
      <c r="T55" s="37">
        <v>12.3999996185303</v>
      </c>
      <c r="U55" s="37">
        <v>12.3999996185303</v>
      </c>
      <c r="V55" s="37">
        <v>12.3999996185303</v>
      </c>
      <c r="W55" s="37">
        <v>100.65699768066401</v>
      </c>
      <c r="X55" s="37">
        <v>100.65699768066401</v>
      </c>
      <c r="Y55" s="37">
        <v>100.65699768066401</v>
      </c>
      <c r="Z55" s="37">
        <v>100.65699768066401</v>
      </c>
      <c r="AA55" s="94">
        <v>0</v>
      </c>
      <c r="AB55" s="76"/>
      <c r="AC55" s="25"/>
      <c r="AD55" s="25"/>
      <c r="AE55" s="25"/>
      <c r="AF55" s="25"/>
      <c r="AG55" s="25"/>
      <c r="AH55" s="25"/>
      <c r="AI55" s="25"/>
      <c r="AJ55" s="25"/>
      <c r="AK55" s="25"/>
    </row>
    <row r="56" spans="1:37" x14ac:dyDescent="0.35">
      <c r="A56" s="1"/>
      <c r="B56" s="5"/>
      <c r="C56" s="25" t="s">
        <v>707</v>
      </c>
      <c r="D56" s="25" t="s">
        <v>799</v>
      </c>
      <c r="E56" s="25" t="s">
        <v>852</v>
      </c>
      <c r="F56" s="25" t="s">
        <v>854</v>
      </c>
      <c r="G56" s="50">
        <v>0</v>
      </c>
      <c r="H56" s="25"/>
      <c r="I56" s="25"/>
      <c r="J56" s="25"/>
      <c r="K56" s="25"/>
      <c r="L56" s="25"/>
      <c r="M56" s="25"/>
      <c r="N56" s="25"/>
      <c r="O56" s="25"/>
      <c r="P56" s="25"/>
      <c r="Q56" s="50">
        <v>1925.7239999999999</v>
      </c>
      <c r="R56" s="50">
        <v>1</v>
      </c>
      <c r="S56" s="37">
        <v>12.1000003814697</v>
      </c>
      <c r="T56" s="37">
        <v>12.1000003814697</v>
      </c>
      <c r="U56" s="37">
        <v>12.1000003814697</v>
      </c>
      <c r="V56" s="37">
        <v>12.1000003814697</v>
      </c>
      <c r="W56" s="37">
        <v>96.286003112792997</v>
      </c>
      <c r="X56" s="37">
        <v>96.286003112792997</v>
      </c>
      <c r="Y56" s="37">
        <v>96.286003112792997</v>
      </c>
      <c r="Z56" s="37">
        <v>96.286003112792997</v>
      </c>
      <c r="AA56" s="94">
        <v>0</v>
      </c>
      <c r="AB56" s="76"/>
      <c r="AC56" s="25"/>
      <c r="AD56" s="25"/>
      <c r="AE56" s="25"/>
      <c r="AF56" s="25"/>
      <c r="AG56" s="25"/>
      <c r="AH56" s="25"/>
      <c r="AI56" s="25"/>
      <c r="AJ56" s="25"/>
      <c r="AK56" s="25"/>
    </row>
    <row r="57" spans="1:37" x14ac:dyDescent="0.35">
      <c r="A57" s="1"/>
      <c r="B57" s="5"/>
      <c r="C57" s="25" t="s">
        <v>707</v>
      </c>
      <c r="D57" s="25" t="s">
        <v>799</v>
      </c>
      <c r="E57" s="25" t="s">
        <v>855</v>
      </c>
      <c r="F57" s="25" t="s">
        <v>856</v>
      </c>
      <c r="G57" s="50">
        <v>0</v>
      </c>
      <c r="H57" s="25"/>
      <c r="I57" s="25"/>
      <c r="J57" s="25"/>
      <c r="K57" s="25"/>
      <c r="L57" s="25"/>
      <c r="M57" s="25"/>
      <c r="N57" s="25"/>
      <c r="O57" s="25"/>
      <c r="P57" s="25"/>
      <c r="Q57" s="50">
        <v>1924.662</v>
      </c>
      <c r="R57" s="50">
        <v>1</v>
      </c>
      <c r="S57" s="37">
        <v>12.3999996185303</v>
      </c>
      <c r="T57" s="37">
        <v>12.3999996185303</v>
      </c>
      <c r="U57" s="37">
        <v>12.3999996185303</v>
      </c>
      <c r="V57" s="37">
        <v>12.3999996185303</v>
      </c>
      <c r="W57" s="37">
        <v>96.233001708984403</v>
      </c>
      <c r="X57" s="37">
        <v>96.233001708984403</v>
      </c>
      <c r="Y57" s="37">
        <v>96.233001708984403</v>
      </c>
      <c r="Z57" s="37">
        <v>96.233001708984403</v>
      </c>
      <c r="AA57" s="94">
        <v>0</v>
      </c>
      <c r="AB57" s="76"/>
      <c r="AC57" s="25"/>
      <c r="AD57" s="25"/>
      <c r="AE57" s="25"/>
      <c r="AF57" s="25"/>
      <c r="AG57" s="25"/>
      <c r="AH57" s="25"/>
      <c r="AI57" s="25"/>
      <c r="AJ57" s="25"/>
      <c r="AK57" s="25"/>
    </row>
    <row r="58" spans="1:37" x14ac:dyDescent="0.35">
      <c r="A58" s="1"/>
      <c r="B58" s="5"/>
      <c r="C58" s="25" t="s">
        <v>707</v>
      </c>
      <c r="D58" s="25" t="s">
        <v>799</v>
      </c>
      <c r="E58" s="25" t="s">
        <v>857</v>
      </c>
      <c r="F58" s="25" t="s">
        <v>858</v>
      </c>
      <c r="G58" s="50">
        <v>0</v>
      </c>
      <c r="H58" s="25"/>
      <c r="I58" s="25"/>
      <c r="J58" s="25"/>
      <c r="K58" s="25"/>
      <c r="L58" s="25"/>
      <c r="M58" s="25"/>
      <c r="N58" s="25"/>
      <c r="O58" s="25"/>
      <c r="P58" s="25"/>
      <c r="Q58" s="50">
        <v>477.23950000000002</v>
      </c>
      <c r="R58" s="50">
        <v>1</v>
      </c>
      <c r="S58" s="37">
        <v>12.3999996185303</v>
      </c>
      <c r="T58" s="37">
        <v>12.3999996185303</v>
      </c>
      <c r="U58" s="37">
        <v>12.3999996185303</v>
      </c>
      <c r="V58" s="37">
        <v>12.3999996185303</v>
      </c>
      <c r="W58" s="37">
        <v>95.446998596191406</v>
      </c>
      <c r="X58" s="37">
        <v>95.446998596191406</v>
      </c>
      <c r="Y58" s="37">
        <v>95.446998596191406</v>
      </c>
      <c r="Z58" s="37">
        <v>95.446998596191406</v>
      </c>
      <c r="AA58" s="94">
        <v>0</v>
      </c>
      <c r="AB58" s="76"/>
      <c r="AC58" s="25"/>
      <c r="AD58" s="25"/>
      <c r="AE58" s="25"/>
      <c r="AF58" s="25"/>
      <c r="AG58" s="25"/>
      <c r="AH58" s="25"/>
      <c r="AI58" s="25"/>
      <c r="AJ58" s="25"/>
      <c r="AK58" s="25"/>
    </row>
    <row r="59" spans="1:37" x14ac:dyDescent="0.35">
      <c r="A59" s="1"/>
      <c r="B59" s="5"/>
      <c r="C59" s="25" t="s">
        <v>707</v>
      </c>
      <c r="D59" s="25" t="s">
        <v>799</v>
      </c>
      <c r="E59" s="25" t="s">
        <v>804</v>
      </c>
      <c r="F59" s="25" t="s">
        <v>805</v>
      </c>
      <c r="G59" s="50">
        <v>0</v>
      </c>
      <c r="H59" s="25"/>
      <c r="I59" s="25"/>
      <c r="J59" s="25"/>
      <c r="K59" s="25"/>
      <c r="L59" s="25"/>
      <c r="M59" s="25"/>
      <c r="N59" s="25"/>
      <c r="O59" s="25"/>
      <c r="P59" s="25"/>
      <c r="Q59" s="50">
        <v>6134.1059999999998</v>
      </c>
      <c r="R59" s="50">
        <v>2</v>
      </c>
      <c r="S59" s="37">
        <v>12.001000404357899</v>
      </c>
      <c r="T59" s="37">
        <v>12.300000190734901</v>
      </c>
      <c r="U59" s="37">
        <v>12.2501668930054</v>
      </c>
      <c r="V59" s="37">
        <v>12.300000190734901</v>
      </c>
      <c r="W59" s="37">
        <v>100.419998168945</v>
      </c>
      <c r="X59" s="37">
        <v>102.59799957275401</v>
      </c>
      <c r="Y59" s="37">
        <v>102.234999338786</v>
      </c>
      <c r="Z59" s="37">
        <v>100.419998168945</v>
      </c>
      <c r="AA59" s="94">
        <v>0</v>
      </c>
      <c r="AB59" s="76"/>
      <c r="AC59" s="25"/>
      <c r="AD59" s="25"/>
      <c r="AE59" s="25"/>
      <c r="AF59" s="25"/>
      <c r="AG59" s="25"/>
      <c r="AH59" s="25"/>
      <c r="AI59" s="25"/>
      <c r="AJ59" s="25"/>
      <c r="AK59" s="25"/>
    </row>
    <row r="60" spans="1:37" x14ac:dyDescent="0.35">
      <c r="A60" s="1"/>
      <c r="B60" s="5"/>
      <c r="C60" s="25" t="s">
        <v>707</v>
      </c>
      <c r="D60" s="25" t="s">
        <v>799</v>
      </c>
      <c r="E60" s="25" t="s">
        <v>859</v>
      </c>
      <c r="F60" s="25" t="s">
        <v>860</v>
      </c>
      <c r="G60" s="50">
        <v>0</v>
      </c>
      <c r="H60" s="25"/>
      <c r="I60" s="25"/>
      <c r="J60" s="25"/>
      <c r="K60" s="25"/>
      <c r="L60" s="25"/>
      <c r="M60" s="25"/>
      <c r="N60" s="25"/>
      <c r="O60" s="25"/>
      <c r="P60" s="25"/>
      <c r="Q60" s="50">
        <v>1997.828</v>
      </c>
      <c r="R60" s="50">
        <v>1</v>
      </c>
      <c r="S60" s="37">
        <v>12.3999996185303</v>
      </c>
      <c r="T60" s="37">
        <v>12.3999996185303</v>
      </c>
      <c r="U60" s="37">
        <v>12.3999996185303</v>
      </c>
      <c r="V60" s="37">
        <v>12.3999996185303</v>
      </c>
      <c r="W60" s="37">
        <v>99.890998840332003</v>
      </c>
      <c r="X60" s="37">
        <v>99.890998840332003</v>
      </c>
      <c r="Y60" s="37">
        <v>99.890998840332003</v>
      </c>
      <c r="Z60" s="37">
        <v>99.890998840332003</v>
      </c>
      <c r="AA60" s="94">
        <v>0</v>
      </c>
      <c r="AB60" s="76"/>
      <c r="AC60" s="25"/>
      <c r="AD60" s="25"/>
      <c r="AE60" s="25"/>
      <c r="AF60" s="25"/>
      <c r="AG60" s="25"/>
      <c r="AH60" s="25"/>
      <c r="AI60" s="25"/>
      <c r="AJ60" s="25"/>
      <c r="AK60" s="25"/>
    </row>
    <row r="61" spans="1:37" x14ac:dyDescent="0.35">
      <c r="A61" s="1"/>
      <c r="B61" s="5"/>
      <c r="C61" s="25" t="s">
        <v>707</v>
      </c>
      <c r="D61" s="25" t="s">
        <v>799</v>
      </c>
      <c r="E61" s="25" t="s">
        <v>861</v>
      </c>
      <c r="F61" s="25" t="s">
        <v>862</v>
      </c>
      <c r="G61" s="50">
        <v>429.72820000000002</v>
      </c>
      <c r="H61" s="50">
        <v>2</v>
      </c>
      <c r="I61" s="37">
        <v>12.800000190734901</v>
      </c>
      <c r="J61" s="37">
        <v>13.5</v>
      </c>
      <c r="K61" s="37">
        <v>13.1500000953674</v>
      </c>
      <c r="L61" s="37">
        <v>13.5</v>
      </c>
      <c r="M61" s="37">
        <v>97.315002441406307</v>
      </c>
      <c r="N61" s="37">
        <v>98.015998840332003</v>
      </c>
      <c r="O61" s="37">
        <v>97.665500640869098</v>
      </c>
      <c r="P61" s="37">
        <v>97.315002441406307</v>
      </c>
      <c r="Q61" s="50">
        <v>4903.09</v>
      </c>
      <c r="R61" s="50">
        <v>1</v>
      </c>
      <c r="S61" s="37">
        <v>12.300000190734901</v>
      </c>
      <c r="T61" s="37">
        <v>12.300000190734901</v>
      </c>
      <c r="U61" s="37">
        <v>12.300000190734901</v>
      </c>
      <c r="V61" s="37">
        <v>12.300000190734901</v>
      </c>
      <c r="W61" s="37">
        <v>98.060997009277301</v>
      </c>
      <c r="X61" s="37">
        <v>98.060997009277301</v>
      </c>
      <c r="Y61" s="37">
        <v>98.060997009277301</v>
      </c>
      <c r="Z61" s="37">
        <v>98.060997009277301</v>
      </c>
      <c r="AA61" s="94">
        <v>0</v>
      </c>
      <c r="AB61" s="76"/>
      <c r="AC61" s="25"/>
      <c r="AD61" s="25"/>
      <c r="AE61" s="25"/>
      <c r="AF61" s="25"/>
      <c r="AG61" s="25"/>
      <c r="AH61" s="25"/>
      <c r="AI61" s="25"/>
      <c r="AJ61" s="25"/>
      <c r="AK61" s="25"/>
    </row>
    <row r="62" spans="1:37" x14ac:dyDescent="0.35">
      <c r="A62" s="1"/>
      <c r="B62" s="5"/>
      <c r="C62" s="25" t="s">
        <v>707</v>
      </c>
      <c r="D62" s="25" t="s">
        <v>799</v>
      </c>
      <c r="E62" s="25" t="s">
        <v>863</v>
      </c>
      <c r="F62" s="25" t="s">
        <v>864</v>
      </c>
      <c r="G62" s="50">
        <v>0</v>
      </c>
      <c r="H62" s="25"/>
      <c r="I62" s="25"/>
      <c r="J62" s="25"/>
      <c r="K62" s="25"/>
      <c r="L62" s="25"/>
      <c r="M62" s="25"/>
      <c r="N62" s="25"/>
      <c r="O62" s="25"/>
      <c r="P62" s="25"/>
      <c r="Q62" s="50">
        <v>2450.2649999999999</v>
      </c>
      <c r="R62" s="50">
        <v>1</v>
      </c>
      <c r="S62" s="37">
        <v>12.001000404357899</v>
      </c>
      <c r="T62" s="37">
        <v>12.001000404357899</v>
      </c>
      <c r="U62" s="37">
        <v>12.001000404357899</v>
      </c>
      <c r="V62" s="37">
        <v>12.001000404357899</v>
      </c>
      <c r="W62" s="37">
        <v>98.010002136230497</v>
      </c>
      <c r="X62" s="37">
        <v>98.010002136230497</v>
      </c>
      <c r="Y62" s="37">
        <v>98.010002136230497</v>
      </c>
      <c r="Z62" s="37">
        <v>98.010002136230497</v>
      </c>
      <c r="AA62" s="94">
        <v>0</v>
      </c>
      <c r="AB62" s="76"/>
      <c r="AC62" s="25"/>
      <c r="AD62" s="25"/>
      <c r="AE62" s="25"/>
      <c r="AF62" s="25"/>
      <c r="AG62" s="25"/>
      <c r="AH62" s="25"/>
      <c r="AI62" s="25"/>
      <c r="AJ62" s="25"/>
      <c r="AK62" s="25"/>
    </row>
    <row r="63" spans="1:37" x14ac:dyDescent="0.35">
      <c r="A63" s="1"/>
      <c r="B63" s="5"/>
      <c r="C63" s="25" t="s">
        <v>707</v>
      </c>
      <c r="D63" s="25" t="s">
        <v>799</v>
      </c>
      <c r="E63" s="25" t="s">
        <v>865</v>
      </c>
      <c r="F63" s="25" t="s">
        <v>866</v>
      </c>
      <c r="G63" s="50">
        <v>0</v>
      </c>
      <c r="H63" s="25"/>
      <c r="I63" s="25"/>
      <c r="J63" s="25"/>
      <c r="K63" s="25"/>
      <c r="L63" s="25"/>
      <c r="M63" s="25"/>
      <c r="N63" s="25"/>
      <c r="O63" s="25"/>
      <c r="P63" s="25"/>
      <c r="Q63" s="50">
        <v>4906.0349999999999</v>
      </c>
      <c r="R63" s="50">
        <v>1</v>
      </c>
      <c r="S63" s="37">
        <v>11.8999996185303</v>
      </c>
      <c r="T63" s="37">
        <v>11.8999996185303</v>
      </c>
      <c r="U63" s="37">
        <v>11.8999996185303</v>
      </c>
      <c r="V63" s="37">
        <v>11.8999996185303</v>
      </c>
      <c r="W63" s="37">
        <v>98.120002746582003</v>
      </c>
      <c r="X63" s="37">
        <v>98.120002746582003</v>
      </c>
      <c r="Y63" s="37">
        <v>98.120002746582003</v>
      </c>
      <c r="Z63" s="37">
        <v>98.120002746582003</v>
      </c>
      <c r="AA63" s="94">
        <v>0</v>
      </c>
      <c r="AB63" s="76"/>
      <c r="AC63" s="25"/>
      <c r="AD63" s="25"/>
      <c r="AE63" s="25"/>
      <c r="AF63" s="25"/>
      <c r="AG63" s="25"/>
      <c r="AH63" s="25"/>
      <c r="AI63" s="25"/>
      <c r="AJ63" s="25"/>
      <c r="AK63" s="25"/>
    </row>
    <row r="64" spans="1:37" x14ac:dyDescent="0.35">
      <c r="A64" s="1"/>
      <c r="B64" s="5"/>
      <c r="C64" s="25" t="s">
        <v>707</v>
      </c>
      <c r="D64" s="25" t="s">
        <v>799</v>
      </c>
      <c r="E64" s="25" t="s">
        <v>867</v>
      </c>
      <c r="F64" s="25" t="s">
        <v>868</v>
      </c>
      <c r="G64" s="50">
        <v>0</v>
      </c>
      <c r="H64" s="25"/>
      <c r="I64" s="25"/>
      <c r="J64" s="25"/>
      <c r="K64" s="25"/>
      <c r="L64" s="25"/>
      <c r="M64" s="25"/>
      <c r="N64" s="25"/>
      <c r="O64" s="25"/>
      <c r="P64" s="25"/>
      <c r="Q64" s="50">
        <v>2399.9954619999999</v>
      </c>
      <c r="R64" s="50">
        <v>1</v>
      </c>
      <c r="S64" s="37">
        <v>11.8999996185303</v>
      </c>
      <c r="T64" s="37">
        <v>11.8999996185303</v>
      </c>
      <c r="U64" s="37">
        <v>11.8999996185303</v>
      </c>
      <c r="V64" s="37">
        <v>11.8999996185303</v>
      </c>
      <c r="W64" s="37">
        <v>97.955001831054702</v>
      </c>
      <c r="X64" s="37">
        <v>97.955001831054702</v>
      </c>
      <c r="Y64" s="37">
        <v>97.955001831054702</v>
      </c>
      <c r="Z64" s="37">
        <v>97.955001831054702</v>
      </c>
      <c r="AA64" s="94">
        <v>0</v>
      </c>
      <c r="AB64" s="76"/>
      <c r="AC64" s="25"/>
      <c r="AD64" s="25"/>
      <c r="AE64" s="25"/>
      <c r="AF64" s="25"/>
      <c r="AG64" s="25"/>
      <c r="AH64" s="25"/>
      <c r="AI64" s="25"/>
      <c r="AJ64" s="25"/>
      <c r="AK64" s="25"/>
    </row>
    <row r="65" spans="1:37" x14ac:dyDescent="0.35">
      <c r="A65" s="1"/>
      <c r="B65" s="5"/>
      <c r="C65" s="25" t="s">
        <v>707</v>
      </c>
      <c r="D65" s="25" t="s">
        <v>799</v>
      </c>
      <c r="E65" s="25" t="s">
        <v>869</v>
      </c>
      <c r="F65" s="25" t="s">
        <v>870</v>
      </c>
      <c r="G65" s="50">
        <v>0</v>
      </c>
      <c r="H65" s="25"/>
      <c r="I65" s="25"/>
      <c r="J65" s="25"/>
      <c r="K65" s="25"/>
      <c r="L65" s="25"/>
      <c r="M65" s="25"/>
      <c r="N65" s="25"/>
      <c r="O65" s="25"/>
      <c r="P65" s="25"/>
      <c r="Q65" s="50">
        <v>4960.34</v>
      </c>
      <c r="R65" s="50">
        <v>1</v>
      </c>
      <c r="S65" s="37">
        <v>12.001000404357899</v>
      </c>
      <c r="T65" s="37">
        <v>12.001000404357899</v>
      </c>
      <c r="U65" s="37">
        <v>12.001000404357899</v>
      </c>
      <c r="V65" s="37">
        <v>12.001000404357899</v>
      </c>
      <c r="W65" s="37">
        <v>99.206001281738295</v>
      </c>
      <c r="X65" s="37">
        <v>99.206001281738295</v>
      </c>
      <c r="Y65" s="37">
        <v>99.206001281738295</v>
      </c>
      <c r="Z65" s="37">
        <v>99.206001281738295</v>
      </c>
      <c r="AA65" s="94">
        <v>0</v>
      </c>
      <c r="AB65" s="76"/>
      <c r="AC65" s="25"/>
      <c r="AD65" s="25"/>
      <c r="AE65" s="25"/>
      <c r="AF65" s="25"/>
      <c r="AG65" s="25"/>
      <c r="AH65" s="25"/>
      <c r="AI65" s="25"/>
      <c r="AJ65" s="25"/>
      <c r="AK65" s="25"/>
    </row>
    <row r="66" spans="1:37" x14ac:dyDescent="0.35">
      <c r="A66" s="1"/>
      <c r="B66" s="5"/>
      <c r="C66" s="25" t="s">
        <v>707</v>
      </c>
      <c r="D66" s="25" t="s">
        <v>799</v>
      </c>
      <c r="E66" s="25" t="s">
        <v>871</v>
      </c>
      <c r="F66" s="25" t="s">
        <v>872</v>
      </c>
      <c r="G66" s="50">
        <v>0</v>
      </c>
      <c r="H66" s="25"/>
      <c r="I66" s="25"/>
      <c r="J66" s="25"/>
      <c r="K66" s="25"/>
      <c r="L66" s="25"/>
      <c r="M66" s="25"/>
      <c r="N66" s="25"/>
      <c r="O66" s="25"/>
      <c r="P66" s="25"/>
      <c r="Q66" s="50">
        <v>498.37650000000002</v>
      </c>
      <c r="R66" s="50">
        <v>1</v>
      </c>
      <c r="S66" s="37">
        <v>12.3999996185303</v>
      </c>
      <c r="T66" s="37">
        <v>12.3999996185303</v>
      </c>
      <c r="U66" s="37">
        <v>12.3999996185303</v>
      </c>
      <c r="V66" s="37">
        <v>12.3999996185303</v>
      </c>
      <c r="W66" s="37">
        <v>99.675003051757798</v>
      </c>
      <c r="X66" s="37">
        <v>99.675003051757798</v>
      </c>
      <c r="Y66" s="37">
        <v>99.675003051757798</v>
      </c>
      <c r="Z66" s="37">
        <v>99.675003051757798</v>
      </c>
      <c r="AA66" s="94">
        <v>0</v>
      </c>
      <c r="AB66" s="76"/>
      <c r="AC66" s="25"/>
      <c r="AD66" s="25"/>
      <c r="AE66" s="25"/>
      <c r="AF66" s="25"/>
      <c r="AG66" s="25"/>
      <c r="AH66" s="25"/>
      <c r="AI66" s="25"/>
      <c r="AJ66" s="25"/>
      <c r="AK66" s="25"/>
    </row>
    <row r="67" spans="1:37" x14ac:dyDescent="0.35">
      <c r="A67" s="1"/>
      <c r="B67" s="5"/>
      <c r="C67" s="25" t="s">
        <v>707</v>
      </c>
      <c r="D67" s="25" t="s">
        <v>799</v>
      </c>
      <c r="E67" s="25" t="s">
        <v>509</v>
      </c>
      <c r="F67" s="25" t="s">
        <v>820</v>
      </c>
      <c r="G67" s="50">
        <v>0</v>
      </c>
      <c r="H67" s="25"/>
      <c r="I67" s="25"/>
      <c r="J67" s="25"/>
      <c r="K67" s="25"/>
      <c r="L67" s="25"/>
      <c r="M67" s="25"/>
      <c r="N67" s="25"/>
      <c r="O67" s="25"/>
      <c r="P67" s="25"/>
      <c r="Q67" s="50">
        <v>5021.66</v>
      </c>
      <c r="R67" s="50">
        <v>1</v>
      </c>
      <c r="S67" s="37">
        <v>12.3500003814697</v>
      </c>
      <c r="T67" s="37">
        <v>12.3500003814697</v>
      </c>
      <c r="U67" s="37">
        <v>12.3500003814697</v>
      </c>
      <c r="V67" s="37">
        <v>12.3500003814697</v>
      </c>
      <c r="W67" s="37">
        <v>100.432998657227</v>
      </c>
      <c r="X67" s="37">
        <v>100.432998657227</v>
      </c>
      <c r="Y67" s="37">
        <v>100.432998657227</v>
      </c>
      <c r="Z67" s="37">
        <v>100.432998657227</v>
      </c>
      <c r="AA67" s="94">
        <v>0</v>
      </c>
      <c r="AB67" s="76"/>
      <c r="AC67" s="25"/>
      <c r="AD67" s="25"/>
      <c r="AE67" s="25"/>
      <c r="AF67" s="25"/>
      <c r="AG67" s="25"/>
      <c r="AH67" s="25"/>
      <c r="AI67" s="25"/>
      <c r="AJ67" s="25"/>
      <c r="AK67" s="25"/>
    </row>
    <row r="68" spans="1:37" x14ac:dyDescent="0.35">
      <c r="A68" s="1"/>
      <c r="B68" s="5"/>
      <c r="C68" s="25" t="s">
        <v>718</v>
      </c>
      <c r="D68" s="25" t="s">
        <v>799</v>
      </c>
      <c r="E68" s="25" t="s">
        <v>873</v>
      </c>
      <c r="F68" s="25" t="s">
        <v>874</v>
      </c>
      <c r="G68" s="50">
        <v>0</v>
      </c>
      <c r="H68" s="25"/>
      <c r="I68" s="25"/>
      <c r="J68" s="25"/>
      <c r="K68" s="25"/>
      <c r="L68" s="25"/>
      <c r="M68" s="25"/>
      <c r="N68" s="25"/>
      <c r="O68" s="25"/>
      <c r="P68" s="25"/>
      <c r="Q68" s="50">
        <v>2037.8820000000001</v>
      </c>
      <c r="R68" s="50">
        <v>1</v>
      </c>
      <c r="S68" s="37">
        <v>12.001000404357899</v>
      </c>
      <c r="T68" s="37">
        <v>12.001000404357899</v>
      </c>
      <c r="U68" s="37">
        <v>12.001000404357899</v>
      </c>
      <c r="V68" s="37">
        <v>12.001000404357899</v>
      </c>
      <c r="W68" s="37">
        <v>101.893997192383</v>
      </c>
      <c r="X68" s="37">
        <v>101.893997192383</v>
      </c>
      <c r="Y68" s="37">
        <v>101.893997192383</v>
      </c>
      <c r="Z68" s="37">
        <v>101.893997192383</v>
      </c>
      <c r="AA68" s="94">
        <v>0</v>
      </c>
      <c r="AB68" s="76"/>
      <c r="AC68" s="25"/>
      <c r="AD68" s="25"/>
      <c r="AE68" s="25"/>
      <c r="AF68" s="25"/>
      <c r="AG68" s="25"/>
      <c r="AH68" s="25"/>
      <c r="AI68" s="25"/>
      <c r="AJ68" s="25"/>
      <c r="AK68" s="25"/>
    </row>
    <row r="69" spans="1:37" x14ac:dyDescent="0.35">
      <c r="A69" s="1"/>
      <c r="B69" s="5"/>
      <c r="C69" s="25" t="s">
        <v>718</v>
      </c>
      <c r="D69" s="25" t="s">
        <v>799</v>
      </c>
      <c r="E69" s="25" t="s">
        <v>875</v>
      </c>
      <c r="F69" s="25" t="s">
        <v>876</v>
      </c>
      <c r="G69" s="50">
        <v>0</v>
      </c>
      <c r="H69" s="25"/>
      <c r="I69" s="25"/>
      <c r="J69" s="25"/>
      <c r="K69" s="25"/>
      <c r="L69" s="25"/>
      <c r="M69" s="25"/>
      <c r="N69" s="25"/>
      <c r="O69" s="25"/>
      <c r="P69" s="25"/>
      <c r="Q69" s="50">
        <v>996.13099999999997</v>
      </c>
      <c r="R69" s="50">
        <v>1</v>
      </c>
      <c r="S69" s="37">
        <v>12.3999996185303</v>
      </c>
      <c r="T69" s="37">
        <v>12.3999996185303</v>
      </c>
      <c r="U69" s="37">
        <v>12.3999996185303</v>
      </c>
      <c r="V69" s="37">
        <v>12.3999996185303</v>
      </c>
      <c r="W69" s="37">
        <v>99.612998962402301</v>
      </c>
      <c r="X69" s="37">
        <v>99.612998962402301</v>
      </c>
      <c r="Y69" s="37">
        <v>99.612998962402301</v>
      </c>
      <c r="Z69" s="37">
        <v>99.612998962402301</v>
      </c>
      <c r="AA69" s="94">
        <v>0</v>
      </c>
      <c r="AB69" s="76"/>
      <c r="AC69" s="25"/>
      <c r="AD69" s="25"/>
      <c r="AE69" s="25"/>
      <c r="AF69" s="25"/>
      <c r="AG69" s="25"/>
      <c r="AH69" s="25"/>
      <c r="AI69" s="25"/>
      <c r="AJ69" s="25"/>
      <c r="AK69" s="25"/>
    </row>
    <row r="70" spans="1:37" x14ac:dyDescent="0.35">
      <c r="A70" s="1"/>
      <c r="B70" s="5"/>
      <c r="C70" s="25" t="s">
        <v>718</v>
      </c>
      <c r="D70" s="25" t="s">
        <v>799</v>
      </c>
      <c r="E70" s="25" t="s">
        <v>877</v>
      </c>
      <c r="F70" s="25" t="s">
        <v>878</v>
      </c>
      <c r="G70" s="50">
        <v>0</v>
      </c>
      <c r="H70" s="25"/>
      <c r="I70" s="25"/>
      <c r="J70" s="25"/>
      <c r="K70" s="25"/>
      <c r="L70" s="25"/>
      <c r="M70" s="25"/>
      <c r="N70" s="25"/>
      <c r="O70" s="25"/>
      <c r="P70" s="25"/>
      <c r="Q70" s="50">
        <v>502.39749999999998</v>
      </c>
      <c r="R70" s="50">
        <v>1</v>
      </c>
      <c r="S70" s="37">
        <v>12.3999996185303</v>
      </c>
      <c r="T70" s="37">
        <v>12.3999996185303</v>
      </c>
      <c r="U70" s="37">
        <v>12.3999996185303</v>
      </c>
      <c r="V70" s="37">
        <v>12.3999996185303</v>
      </c>
      <c r="W70" s="37">
        <v>100.478996276855</v>
      </c>
      <c r="X70" s="37">
        <v>100.478996276855</v>
      </c>
      <c r="Y70" s="37">
        <v>100.478996276855</v>
      </c>
      <c r="Z70" s="37">
        <v>100.478996276855</v>
      </c>
      <c r="AA70" s="94">
        <v>0</v>
      </c>
      <c r="AB70" s="76"/>
      <c r="AC70" s="25"/>
      <c r="AD70" s="25"/>
      <c r="AE70" s="25"/>
      <c r="AF70" s="25"/>
      <c r="AG70" s="25"/>
      <c r="AH70" s="25"/>
      <c r="AI70" s="25"/>
      <c r="AJ70" s="25"/>
      <c r="AK70" s="25"/>
    </row>
    <row r="71" spans="1:37" x14ac:dyDescent="0.35">
      <c r="A71" s="1"/>
      <c r="B71" s="5"/>
      <c r="C71" s="25" t="s">
        <v>718</v>
      </c>
      <c r="D71" s="25" t="s">
        <v>799</v>
      </c>
      <c r="E71" s="25" t="s">
        <v>494</v>
      </c>
      <c r="F71" s="25" t="s">
        <v>879</v>
      </c>
      <c r="G71" s="50">
        <v>1023.91</v>
      </c>
      <c r="H71" s="50">
        <v>1</v>
      </c>
      <c r="I71" s="37">
        <v>13.1000003814697</v>
      </c>
      <c r="J71" s="37">
        <v>13.1000003814697</v>
      </c>
      <c r="K71" s="37">
        <v>13.1000003814697</v>
      </c>
      <c r="L71" s="37">
        <v>13.1000003814697</v>
      </c>
      <c r="M71" s="37">
        <v>102.390998840332</v>
      </c>
      <c r="N71" s="37">
        <v>102.390998840332</v>
      </c>
      <c r="O71" s="37">
        <v>102.390998840332</v>
      </c>
      <c r="P71" s="37">
        <v>102.390998840332</v>
      </c>
      <c r="Q71" s="50">
        <v>0</v>
      </c>
      <c r="R71" s="25"/>
      <c r="S71" s="25"/>
      <c r="T71" s="25"/>
      <c r="U71" s="25"/>
      <c r="V71" s="25"/>
      <c r="W71" s="25"/>
      <c r="X71" s="25"/>
      <c r="Y71" s="25"/>
      <c r="Z71" s="25"/>
      <c r="AA71" s="94">
        <v>0</v>
      </c>
      <c r="AB71" s="76"/>
      <c r="AC71" s="25"/>
      <c r="AD71" s="25"/>
      <c r="AE71" s="25"/>
      <c r="AF71" s="25"/>
      <c r="AG71" s="25"/>
      <c r="AH71" s="25"/>
      <c r="AI71" s="25"/>
      <c r="AJ71" s="25"/>
      <c r="AK71" s="25"/>
    </row>
    <row r="72" spans="1:37" x14ac:dyDescent="0.35">
      <c r="A72" s="1"/>
      <c r="B72" s="5"/>
      <c r="C72" s="25" t="s">
        <v>722</v>
      </c>
      <c r="D72" s="25" t="s">
        <v>880</v>
      </c>
      <c r="E72" s="25" t="s">
        <v>881</v>
      </c>
      <c r="F72" s="25" t="s">
        <v>882</v>
      </c>
      <c r="G72" s="50">
        <v>1008.3</v>
      </c>
      <c r="H72" s="50">
        <v>1</v>
      </c>
      <c r="I72" s="37">
        <v>11.6499996185303</v>
      </c>
      <c r="J72" s="37">
        <v>11.6499996185303</v>
      </c>
      <c r="K72" s="37">
        <v>11.6499996185303</v>
      </c>
      <c r="L72" s="37">
        <v>11.6499996185303</v>
      </c>
      <c r="M72" s="37">
        <v>100.830001831055</v>
      </c>
      <c r="N72" s="37">
        <v>100.830001831055</v>
      </c>
      <c r="O72" s="37">
        <v>100.830001831055</v>
      </c>
      <c r="P72" s="37">
        <v>100.830001831055</v>
      </c>
      <c r="Q72" s="50">
        <v>0</v>
      </c>
      <c r="R72" s="25"/>
      <c r="S72" s="25"/>
      <c r="T72" s="25"/>
      <c r="U72" s="25"/>
      <c r="V72" s="25"/>
      <c r="W72" s="25"/>
      <c r="X72" s="25"/>
      <c r="Y72" s="25"/>
      <c r="Z72" s="25"/>
      <c r="AA72" s="94">
        <v>0</v>
      </c>
      <c r="AB72" s="76"/>
      <c r="AC72" s="25"/>
      <c r="AD72" s="25"/>
      <c r="AE72" s="25"/>
      <c r="AF72" s="25"/>
      <c r="AG72" s="25"/>
      <c r="AH72" s="25"/>
      <c r="AI72" s="25"/>
      <c r="AJ72" s="25"/>
      <c r="AK72" s="25"/>
    </row>
    <row r="73" spans="1:37" x14ac:dyDescent="0.35">
      <c r="A73" s="1"/>
      <c r="B73" s="5"/>
      <c r="C73" s="25" t="s">
        <v>726</v>
      </c>
      <c r="D73" s="25" t="s">
        <v>799</v>
      </c>
      <c r="E73" s="25" t="s">
        <v>883</v>
      </c>
      <c r="F73" s="25" t="s">
        <v>884</v>
      </c>
      <c r="G73" s="50">
        <v>507.22</v>
      </c>
      <c r="H73" s="50">
        <v>1</v>
      </c>
      <c r="I73" s="37">
        <v>12.949999809265099</v>
      </c>
      <c r="J73" s="37">
        <v>12.949999809265099</v>
      </c>
      <c r="K73" s="37">
        <v>12.949999809265099</v>
      </c>
      <c r="L73" s="37">
        <v>12.949999809265099</v>
      </c>
      <c r="M73" s="37">
        <v>101.44400024414099</v>
      </c>
      <c r="N73" s="37">
        <v>101.44400024414099</v>
      </c>
      <c r="O73" s="37">
        <v>101.44400024414099</v>
      </c>
      <c r="P73" s="37">
        <v>101.44400024414099</v>
      </c>
      <c r="Q73" s="50">
        <v>0</v>
      </c>
      <c r="R73" s="25"/>
      <c r="S73" s="25"/>
      <c r="T73" s="25"/>
      <c r="U73" s="25"/>
      <c r="V73" s="25"/>
      <c r="W73" s="25"/>
      <c r="X73" s="25"/>
      <c r="Y73" s="25"/>
      <c r="Z73" s="25"/>
      <c r="AA73" s="94">
        <v>0</v>
      </c>
      <c r="AB73" s="76"/>
      <c r="AC73" s="25"/>
      <c r="AD73" s="25"/>
      <c r="AE73" s="25"/>
      <c r="AF73" s="25"/>
      <c r="AG73" s="25"/>
      <c r="AH73" s="25"/>
      <c r="AI73" s="25"/>
      <c r="AJ73" s="25"/>
      <c r="AK73" s="25"/>
    </row>
    <row r="74" spans="1:37" x14ac:dyDescent="0.35">
      <c r="A74" s="1"/>
      <c r="B74" s="5"/>
      <c r="C74" s="25" t="s">
        <v>726</v>
      </c>
      <c r="D74" s="25" t="s">
        <v>799</v>
      </c>
      <c r="E74" s="25" t="s">
        <v>885</v>
      </c>
      <c r="F74" s="25" t="s">
        <v>886</v>
      </c>
      <c r="G74" s="50">
        <v>202.54599999999999</v>
      </c>
      <c r="H74" s="50">
        <v>1</v>
      </c>
      <c r="I74" s="37">
        <v>13</v>
      </c>
      <c r="J74" s="37">
        <v>13</v>
      </c>
      <c r="K74" s="37">
        <v>13</v>
      </c>
      <c r="L74" s="37">
        <v>13</v>
      </c>
      <c r="M74" s="37">
        <v>101.273002624512</v>
      </c>
      <c r="N74" s="37">
        <v>101.273002624512</v>
      </c>
      <c r="O74" s="37">
        <v>101.273002624512</v>
      </c>
      <c r="P74" s="37">
        <v>101.273002624512</v>
      </c>
      <c r="Q74" s="50">
        <v>0</v>
      </c>
      <c r="R74" s="25"/>
      <c r="S74" s="25"/>
      <c r="T74" s="25"/>
      <c r="U74" s="25"/>
      <c r="V74" s="25"/>
      <c r="W74" s="25"/>
      <c r="X74" s="25"/>
      <c r="Y74" s="25"/>
      <c r="Z74" s="25"/>
      <c r="AA74" s="94">
        <v>0</v>
      </c>
      <c r="AB74" s="76"/>
      <c r="AC74" s="25"/>
      <c r="AD74" s="25"/>
      <c r="AE74" s="25"/>
      <c r="AF74" s="25"/>
      <c r="AG74" s="25"/>
      <c r="AH74" s="25"/>
      <c r="AI74" s="25"/>
      <c r="AJ74" s="25"/>
      <c r="AK74" s="25"/>
    </row>
    <row r="75" spans="1:37" x14ac:dyDescent="0.35">
      <c r="A75" s="1"/>
      <c r="B75" s="5"/>
      <c r="C75" s="25" t="s">
        <v>726</v>
      </c>
      <c r="D75" s="25" t="s">
        <v>799</v>
      </c>
      <c r="E75" s="25" t="s">
        <v>887</v>
      </c>
      <c r="F75" s="25" t="s">
        <v>888</v>
      </c>
      <c r="G75" s="50">
        <v>0</v>
      </c>
      <c r="H75" s="25"/>
      <c r="I75" s="25"/>
      <c r="J75" s="25"/>
      <c r="K75" s="25"/>
      <c r="L75" s="25"/>
      <c r="M75" s="25"/>
      <c r="N75" s="25"/>
      <c r="O75" s="25"/>
      <c r="P75" s="25"/>
      <c r="Q75" s="50">
        <v>1498.9245000000001</v>
      </c>
      <c r="R75" s="50">
        <v>1</v>
      </c>
      <c r="S75" s="37">
        <v>12.3999996185303</v>
      </c>
      <c r="T75" s="37">
        <v>12.3999996185303</v>
      </c>
      <c r="U75" s="37">
        <v>12.3999996185303</v>
      </c>
      <c r="V75" s="37">
        <v>12.3999996185303</v>
      </c>
      <c r="W75" s="37">
        <v>99.928001403808594</v>
      </c>
      <c r="X75" s="37">
        <v>99.928001403808594</v>
      </c>
      <c r="Y75" s="37">
        <v>99.928001403808594</v>
      </c>
      <c r="Z75" s="37">
        <v>99.928001403808594</v>
      </c>
      <c r="AA75" s="94">
        <v>0</v>
      </c>
      <c r="AB75" s="76"/>
      <c r="AC75" s="25"/>
      <c r="AD75" s="25"/>
      <c r="AE75" s="25"/>
      <c r="AF75" s="25"/>
      <c r="AG75" s="25"/>
      <c r="AH75" s="25"/>
      <c r="AI75" s="25"/>
      <c r="AJ75" s="25"/>
      <c r="AK75" s="25"/>
    </row>
    <row r="76" spans="1:37" x14ac:dyDescent="0.35">
      <c r="A76" s="1"/>
      <c r="B76" s="5"/>
      <c r="C76" s="25" t="s">
        <v>726</v>
      </c>
      <c r="D76" s="25" t="s">
        <v>799</v>
      </c>
      <c r="E76" s="25" t="s">
        <v>889</v>
      </c>
      <c r="F76" s="25" t="s">
        <v>890</v>
      </c>
      <c r="G76" s="50">
        <v>0</v>
      </c>
      <c r="H76" s="25"/>
      <c r="I76" s="25"/>
      <c r="J76" s="25"/>
      <c r="K76" s="25"/>
      <c r="L76" s="25"/>
      <c r="M76" s="25"/>
      <c r="N76" s="25"/>
      <c r="O76" s="25"/>
      <c r="P76" s="25"/>
      <c r="Q76" s="50">
        <v>496.49349999999998</v>
      </c>
      <c r="R76" s="50">
        <v>1</v>
      </c>
      <c r="S76" s="37">
        <v>12.3999996185303</v>
      </c>
      <c r="T76" s="37">
        <v>12.3999996185303</v>
      </c>
      <c r="U76" s="37">
        <v>12.3999996185303</v>
      </c>
      <c r="V76" s="37">
        <v>12.3999996185303</v>
      </c>
      <c r="W76" s="37">
        <v>99.297996520996094</v>
      </c>
      <c r="X76" s="37">
        <v>99.297996520996094</v>
      </c>
      <c r="Y76" s="37">
        <v>99.297996520996094</v>
      </c>
      <c r="Z76" s="37">
        <v>99.297996520996094</v>
      </c>
      <c r="AA76" s="94">
        <v>0</v>
      </c>
      <c r="AB76" s="76"/>
      <c r="AC76" s="25"/>
      <c r="AD76" s="25"/>
      <c r="AE76" s="25"/>
      <c r="AF76" s="25"/>
      <c r="AG76" s="25"/>
      <c r="AH76" s="25"/>
      <c r="AI76" s="25"/>
      <c r="AJ76" s="25"/>
      <c r="AK76" s="25"/>
    </row>
    <row r="77" spans="1:37" x14ac:dyDescent="0.35">
      <c r="A77" s="1"/>
      <c r="B77" s="5"/>
      <c r="C77" s="25" t="s">
        <v>726</v>
      </c>
      <c r="D77" s="25" t="s">
        <v>799</v>
      </c>
      <c r="E77" s="25" t="s">
        <v>891</v>
      </c>
      <c r="F77" s="25" t="s">
        <v>892</v>
      </c>
      <c r="G77" s="50">
        <v>0</v>
      </c>
      <c r="H77" s="25"/>
      <c r="I77" s="25"/>
      <c r="J77" s="25"/>
      <c r="K77" s="25"/>
      <c r="L77" s="25"/>
      <c r="M77" s="25"/>
      <c r="N77" s="25"/>
      <c r="O77" s="25"/>
      <c r="P77" s="25"/>
      <c r="Q77" s="50">
        <v>1996.7380000000001</v>
      </c>
      <c r="R77" s="50">
        <v>1</v>
      </c>
      <c r="S77" s="37">
        <v>12.3999996185303</v>
      </c>
      <c r="T77" s="37">
        <v>12.3999996185303</v>
      </c>
      <c r="U77" s="37">
        <v>12.3999996185303</v>
      </c>
      <c r="V77" s="37">
        <v>12.3999996185303</v>
      </c>
      <c r="W77" s="37">
        <v>99.835998535156307</v>
      </c>
      <c r="X77" s="37">
        <v>99.835998535156307</v>
      </c>
      <c r="Y77" s="37">
        <v>99.835998535156193</v>
      </c>
      <c r="Z77" s="37">
        <v>99.835998535156307</v>
      </c>
      <c r="AA77" s="94">
        <v>0</v>
      </c>
      <c r="AB77" s="76"/>
      <c r="AC77" s="25"/>
      <c r="AD77" s="25"/>
      <c r="AE77" s="25"/>
      <c r="AF77" s="25"/>
      <c r="AG77" s="25"/>
      <c r="AH77" s="25"/>
      <c r="AI77" s="25"/>
      <c r="AJ77" s="25"/>
      <c r="AK77" s="25"/>
    </row>
    <row r="78" spans="1:37" x14ac:dyDescent="0.35">
      <c r="A78" s="1"/>
      <c r="B78" s="5"/>
      <c r="C78" s="25" t="s">
        <v>731</v>
      </c>
      <c r="D78" s="25" t="s">
        <v>799</v>
      </c>
      <c r="E78" s="25" t="s">
        <v>893</v>
      </c>
      <c r="F78" s="25" t="s">
        <v>702</v>
      </c>
      <c r="G78" s="50">
        <v>0</v>
      </c>
      <c r="H78" s="25"/>
      <c r="I78" s="25"/>
      <c r="J78" s="25"/>
      <c r="K78" s="25"/>
      <c r="L78" s="25"/>
      <c r="M78" s="25"/>
      <c r="N78" s="25"/>
      <c r="O78" s="25"/>
      <c r="P78" s="25"/>
      <c r="Q78" s="50">
        <v>498.73</v>
      </c>
      <c r="R78" s="50">
        <v>1</v>
      </c>
      <c r="S78" s="37">
        <v>12.3999996185303</v>
      </c>
      <c r="T78" s="37">
        <v>12.3999996185303</v>
      </c>
      <c r="U78" s="37">
        <v>12.3999996185303</v>
      </c>
      <c r="V78" s="37">
        <v>12.3999996185303</v>
      </c>
      <c r="W78" s="37">
        <v>99.746002197265597</v>
      </c>
      <c r="X78" s="37">
        <v>99.746002197265597</v>
      </c>
      <c r="Y78" s="37">
        <v>99.746002197265597</v>
      </c>
      <c r="Z78" s="37">
        <v>99.746002197265597</v>
      </c>
      <c r="AA78" s="94">
        <v>0</v>
      </c>
      <c r="AB78" s="76"/>
      <c r="AC78" s="25"/>
      <c r="AD78" s="25"/>
      <c r="AE78" s="25"/>
      <c r="AF78" s="25"/>
      <c r="AG78" s="25"/>
      <c r="AH78" s="25"/>
      <c r="AI78" s="25"/>
      <c r="AJ78" s="25"/>
      <c r="AK78" s="25"/>
    </row>
    <row r="79" spans="1:37" x14ac:dyDescent="0.35">
      <c r="A79" s="1"/>
      <c r="B79" s="5"/>
      <c r="C79" s="25" t="s">
        <v>731</v>
      </c>
      <c r="D79" s="25" t="s">
        <v>799</v>
      </c>
      <c r="E79" s="25" t="s">
        <v>894</v>
      </c>
      <c r="F79" s="25" t="s">
        <v>895</v>
      </c>
      <c r="G79" s="50">
        <v>0</v>
      </c>
      <c r="H79" s="25"/>
      <c r="I79" s="25"/>
      <c r="J79" s="25"/>
      <c r="K79" s="25"/>
      <c r="L79" s="25"/>
      <c r="M79" s="25"/>
      <c r="N79" s="25"/>
      <c r="O79" s="25"/>
      <c r="P79" s="25"/>
      <c r="Q79" s="50">
        <v>513.73050000000001</v>
      </c>
      <c r="R79" s="50">
        <v>1</v>
      </c>
      <c r="S79" s="37">
        <v>12.3999996185303</v>
      </c>
      <c r="T79" s="37">
        <v>12.3999996185303</v>
      </c>
      <c r="U79" s="37">
        <v>12.3999996185303</v>
      </c>
      <c r="V79" s="37">
        <v>12.3999996185303</v>
      </c>
      <c r="W79" s="37">
        <v>102.74600219726599</v>
      </c>
      <c r="X79" s="37">
        <v>102.74600219726599</v>
      </c>
      <c r="Y79" s="37">
        <v>102.74600219726599</v>
      </c>
      <c r="Z79" s="37">
        <v>102.74600219726599</v>
      </c>
      <c r="AA79" s="94">
        <v>0</v>
      </c>
      <c r="AB79" s="76"/>
      <c r="AC79" s="25"/>
      <c r="AD79" s="25"/>
      <c r="AE79" s="25"/>
      <c r="AF79" s="25"/>
      <c r="AG79" s="25"/>
      <c r="AH79" s="25"/>
      <c r="AI79" s="25"/>
      <c r="AJ79" s="25"/>
      <c r="AK79" s="25"/>
    </row>
    <row r="80" spans="1:37" x14ac:dyDescent="0.35">
      <c r="A80" s="1"/>
      <c r="B80" s="5"/>
      <c r="C80" s="25" t="s">
        <v>731</v>
      </c>
      <c r="D80" s="25" t="s">
        <v>799</v>
      </c>
      <c r="E80" s="25" t="s">
        <v>896</v>
      </c>
      <c r="F80" s="25" t="s">
        <v>897</v>
      </c>
      <c r="G80" s="50">
        <v>49.807499999999997</v>
      </c>
      <c r="H80" s="50">
        <v>1</v>
      </c>
      <c r="I80" s="37">
        <v>12.5100002288818</v>
      </c>
      <c r="J80" s="37">
        <v>12.5100002288818</v>
      </c>
      <c r="K80" s="37">
        <v>12.5100002288818</v>
      </c>
      <c r="L80" s="37">
        <v>12.5100002288818</v>
      </c>
      <c r="M80" s="37">
        <v>99.614997863769503</v>
      </c>
      <c r="N80" s="37">
        <v>99.614997863769503</v>
      </c>
      <c r="O80" s="37">
        <v>99.614997863769503</v>
      </c>
      <c r="P80" s="37">
        <v>99.614997863769503</v>
      </c>
      <c r="Q80" s="50">
        <v>0</v>
      </c>
      <c r="R80" s="25"/>
      <c r="S80" s="25"/>
      <c r="T80" s="25"/>
      <c r="U80" s="25"/>
      <c r="V80" s="25"/>
      <c r="W80" s="25"/>
      <c r="X80" s="25"/>
      <c r="Y80" s="25"/>
      <c r="Z80" s="25"/>
      <c r="AA80" s="94">
        <v>0</v>
      </c>
      <c r="AB80" s="76"/>
      <c r="AC80" s="25"/>
      <c r="AD80" s="25"/>
      <c r="AE80" s="25"/>
      <c r="AF80" s="25"/>
      <c r="AG80" s="25"/>
      <c r="AH80" s="25"/>
      <c r="AI80" s="25"/>
      <c r="AJ80" s="25"/>
      <c r="AK80" s="25"/>
    </row>
    <row r="81" spans="1:37" x14ac:dyDescent="0.35">
      <c r="A81" s="1"/>
      <c r="B81" s="5"/>
      <c r="C81" s="25" t="s">
        <v>731</v>
      </c>
      <c r="D81" s="25" t="s">
        <v>799</v>
      </c>
      <c r="E81" s="25" t="s">
        <v>898</v>
      </c>
      <c r="F81" s="25" t="s">
        <v>899</v>
      </c>
      <c r="G81" s="50">
        <v>21.352</v>
      </c>
      <c r="H81" s="50">
        <v>1</v>
      </c>
      <c r="I81" s="37">
        <v>13</v>
      </c>
      <c r="J81" s="37">
        <v>13</v>
      </c>
      <c r="K81" s="37">
        <v>13</v>
      </c>
      <c r="L81" s="37">
        <v>13</v>
      </c>
      <c r="M81" s="37">
        <v>106.76000213623</v>
      </c>
      <c r="N81" s="37">
        <v>106.76000213623</v>
      </c>
      <c r="O81" s="37">
        <v>106.76000213623</v>
      </c>
      <c r="P81" s="37">
        <v>106.76000213623</v>
      </c>
      <c r="Q81" s="50">
        <v>0</v>
      </c>
      <c r="R81" s="25"/>
      <c r="S81" s="25"/>
      <c r="T81" s="25"/>
      <c r="U81" s="25"/>
      <c r="V81" s="25"/>
      <c r="W81" s="25"/>
      <c r="X81" s="25"/>
      <c r="Y81" s="25"/>
      <c r="Z81" s="25"/>
      <c r="AA81" s="94">
        <v>0</v>
      </c>
      <c r="AB81" s="76"/>
      <c r="AC81" s="25"/>
      <c r="AD81" s="25"/>
      <c r="AE81" s="25"/>
      <c r="AF81" s="25"/>
      <c r="AG81" s="25"/>
      <c r="AH81" s="25"/>
      <c r="AI81" s="25"/>
      <c r="AJ81" s="25"/>
      <c r="AK81" s="25"/>
    </row>
    <row r="82" spans="1:37" x14ac:dyDescent="0.35">
      <c r="A82" s="1"/>
      <c r="B82" s="5"/>
      <c r="C82" s="25" t="s">
        <v>731</v>
      </c>
      <c r="D82" s="25" t="s">
        <v>799</v>
      </c>
      <c r="E82" s="25" t="s">
        <v>898</v>
      </c>
      <c r="F82" s="25" t="s">
        <v>900</v>
      </c>
      <c r="G82" s="50">
        <v>0</v>
      </c>
      <c r="H82" s="25"/>
      <c r="I82" s="25"/>
      <c r="J82" s="25"/>
      <c r="K82" s="25"/>
      <c r="L82" s="25"/>
      <c r="M82" s="25"/>
      <c r="N82" s="25"/>
      <c r="O82" s="25"/>
      <c r="P82" s="25"/>
      <c r="Q82" s="50">
        <v>1954.99</v>
      </c>
      <c r="R82" s="50">
        <v>1</v>
      </c>
      <c r="S82" s="37">
        <v>12.001000404357899</v>
      </c>
      <c r="T82" s="37">
        <v>12.001000404357899</v>
      </c>
      <c r="U82" s="37">
        <v>12.001000404357899</v>
      </c>
      <c r="V82" s="37">
        <v>12.001000404357899</v>
      </c>
      <c r="W82" s="37">
        <v>97.749000549316406</v>
      </c>
      <c r="X82" s="37">
        <v>97.749000549316406</v>
      </c>
      <c r="Y82" s="37">
        <v>97.749000549316406</v>
      </c>
      <c r="Z82" s="37">
        <v>97.749000549316406</v>
      </c>
      <c r="AA82" s="94">
        <v>0</v>
      </c>
      <c r="AB82" s="76"/>
      <c r="AC82" s="25"/>
      <c r="AD82" s="25"/>
      <c r="AE82" s="25"/>
      <c r="AF82" s="25"/>
      <c r="AG82" s="25"/>
      <c r="AH82" s="25"/>
      <c r="AI82" s="25"/>
      <c r="AJ82" s="25"/>
      <c r="AK82" s="25"/>
    </row>
    <row r="83" spans="1:37" x14ac:dyDescent="0.35">
      <c r="A83" s="1"/>
      <c r="B83" s="5"/>
      <c r="C83" s="25" t="s">
        <v>731</v>
      </c>
      <c r="D83" s="25" t="s">
        <v>799</v>
      </c>
      <c r="E83" s="25" t="s">
        <v>901</v>
      </c>
      <c r="F83" s="25" t="s">
        <v>902</v>
      </c>
      <c r="G83" s="50">
        <v>94.537000000000006</v>
      </c>
      <c r="H83" s="50">
        <v>1</v>
      </c>
      <c r="I83" s="37">
        <v>13.310000419616699</v>
      </c>
      <c r="J83" s="37">
        <v>13.310000419616699</v>
      </c>
      <c r="K83" s="37">
        <v>13.310000419616699</v>
      </c>
      <c r="L83" s="37">
        <v>13.310000419616699</v>
      </c>
      <c r="M83" s="37">
        <v>94.537002563476605</v>
      </c>
      <c r="N83" s="37">
        <v>94.537002563476605</v>
      </c>
      <c r="O83" s="37">
        <v>94.537002563476605</v>
      </c>
      <c r="P83" s="37">
        <v>94.537002563476605</v>
      </c>
      <c r="Q83" s="50">
        <v>0</v>
      </c>
      <c r="R83" s="25"/>
      <c r="S83" s="25"/>
      <c r="T83" s="25"/>
      <c r="U83" s="25"/>
      <c r="V83" s="25"/>
      <c r="W83" s="25"/>
      <c r="X83" s="25"/>
      <c r="Y83" s="25"/>
      <c r="Z83" s="25"/>
      <c r="AA83" s="94">
        <v>0</v>
      </c>
      <c r="AB83" s="76"/>
      <c r="AC83" s="25"/>
      <c r="AD83" s="25"/>
      <c r="AE83" s="25"/>
      <c r="AF83" s="25"/>
      <c r="AG83" s="25"/>
      <c r="AH83" s="25"/>
      <c r="AI83" s="25"/>
      <c r="AJ83" s="25"/>
      <c r="AK83" s="25"/>
    </row>
    <row r="84" spans="1:37" x14ac:dyDescent="0.35">
      <c r="A84" s="1"/>
      <c r="B84" s="5"/>
      <c r="C84" s="25" t="s">
        <v>731</v>
      </c>
      <c r="D84" s="25" t="s">
        <v>799</v>
      </c>
      <c r="E84" s="25" t="s">
        <v>903</v>
      </c>
      <c r="F84" s="25" t="s">
        <v>888</v>
      </c>
      <c r="G84" s="50">
        <v>30.6114</v>
      </c>
      <c r="H84" s="50">
        <v>1</v>
      </c>
      <c r="I84" s="37">
        <v>13.5</v>
      </c>
      <c r="J84" s="37">
        <v>13.5</v>
      </c>
      <c r="K84" s="37">
        <v>13.5</v>
      </c>
      <c r="L84" s="37">
        <v>13.5</v>
      </c>
      <c r="M84" s="37">
        <v>102.03800201416</v>
      </c>
      <c r="N84" s="37">
        <v>102.03800201416</v>
      </c>
      <c r="O84" s="37">
        <v>102.03800201416</v>
      </c>
      <c r="P84" s="37">
        <v>102.03800201416</v>
      </c>
      <c r="Q84" s="50">
        <v>0</v>
      </c>
      <c r="R84" s="25"/>
      <c r="S84" s="25"/>
      <c r="T84" s="25"/>
      <c r="U84" s="25"/>
      <c r="V84" s="25"/>
      <c r="W84" s="25"/>
      <c r="X84" s="25"/>
      <c r="Y84" s="25"/>
      <c r="Z84" s="25"/>
      <c r="AA84" s="94">
        <v>0</v>
      </c>
      <c r="AB84" s="76"/>
      <c r="AC84" s="25"/>
      <c r="AD84" s="25"/>
      <c r="AE84" s="25"/>
      <c r="AF84" s="25"/>
      <c r="AG84" s="25"/>
      <c r="AH84" s="25"/>
      <c r="AI84" s="25"/>
      <c r="AJ84" s="25"/>
      <c r="AK84" s="25"/>
    </row>
    <row r="85" spans="1:37" x14ac:dyDescent="0.35">
      <c r="A85" s="1"/>
      <c r="B85" s="5"/>
      <c r="C85" s="25" t="s">
        <v>904</v>
      </c>
      <c r="D85" s="25" t="s">
        <v>905</v>
      </c>
      <c r="E85" s="25" t="s">
        <v>832</v>
      </c>
      <c r="F85" s="25" t="s">
        <v>906</v>
      </c>
      <c r="G85" s="50">
        <v>1007.74</v>
      </c>
      <c r="H85" s="50">
        <v>1</v>
      </c>
      <c r="I85" s="37">
        <v>13.1499996185303</v>
      </c>
      <c r="J85" s="37">
        <v>13.1499996185303</v>
      </c>
      <c r="K85" s="37">
        <v>13.1499996185303</v>
      </c>
      <c r="L85" s="37">
        <v>13.1499996185303</v>
      </c>
      <c r="M85" s="37">
        <v>100.774002075195</v>
      </c>
      <c r="N85" s="37">
        <v>100.774002075195</v>
      </c>
      <c r="O85" s="37">
        <v>100.774002075195</v>
      </c>
      <c r="P85" s="37">
        <v>100.774002075195</v>
      </c>
      <c r="Q85" s="50">
        <v>0</v>
      </c>
      <c r="R85" s="25"/>
      <c r="S85" s="25"/>
      <c r="T85" s="25"/>
      <c r="U85" s="25"/>
      <c r="V85" s="25"/>
      <c r="W85" s="25"/>
      <c r="X85" s="25"/>
      <c r="Y85" s="25"/>
      <c r="Z85" s="25"/>
      <c r="AA85" s="94">
        <v>0</v>
      </c>
      <c r="AB85" s="76"/>
      <c r="AC85" s="25"/>
      <c r="AD85" s="25"/>
      <c r="AE85" s="25"/>
      <c r="AF85" s="25"/>
      <c r="AG85" s="25"/>
      <c r="AH85" s="25"/>
      <c r="AI85" s="25"/>
      <c r="AJ85" s="25"/>
      <c r="AK85" s="25"/>
    </row>
    <row r="86" spans="1:37" x14ac:dyDescent="0.35">
      <c r="A86" s="1"/>
      <c r="B86" s="5"/>
      <c r="C86" s="25" t="s">
        <v>904</v>
      </c>
      <c r="D86" s="25" t="s">
        <v>905</v>
      </c>
      <c r="E86" s="25" t="s">
        <v>513</v>
      </c>
      <c r="F86" s="25" t="s">
        <v>907</v>
      </c>
      <c r="G86" s="50">
        <v>0</v>
      </c>
      <c r="H86" s="25"/>
      <c r="I86" s="25"/>
      <c r="J86" s="25"/>
      <c r="K86" s="25"/>
      <c r="L86" s="25"/>
      <c r="M86" s="25"/>
      <c r="N86" s="25"/>
      <c r="O86" s="25"/>
      <c r="P86" s="25"/>
      <c r="Q86" s="50">
        <v>4012.28</v>
      </c>
      <c r="R86" s="50">
        <v>1</v>
      </c>
      <c r="S86" s="37">
        <v>12.1000003814697</v>
      </c>
      <c r="T86" s="37">
        <v>12.1000003814697</v>
      </c>
      <c r="U86" s="37">
        <v>12.1000003814697</v>
      </c>
      <c r="V86" s="37">
        <v>12.1000003814697</v>
      </c>
      <c r="W86" s="37">
        <v>100.306999206543</v>
      </c>
      <c r="X86" s="37">
        <v>100.306999206543</v>
      </c>
      <c r="Y86" s="37">
        <v>100.306999206543</v>
      </c>
      <c r="Z86" s="37">
        <v>100.306999206543</v>
      </c>
      <c r="AA86" s="94">
        <v>0</v>
      </c>
      <c r="AB86" s="76"/>
      <c r="AC86" s="25"/>
      <c r="AD86" s="25"/>
      <c r="AE86" s="25"/>
      <c r="AF86" s="25"/>
      <c r="AG86" s="25"/>
      <c r="AH86" s="25"/>
      <c r="AI86" s="25"/>
      <c r="AJ86" s="25"/>
      <c r="AK86" s="25"/>
    </row>
    <row r="87" spans="1:37" x14ac:dyDescent="0.35">
      <c r="A87" s="1"/>
      <c r="B87" s="5"/>
      <c r="C87" s="25" t="s">
        <v>733</v>
      </c>
      <c r="D87" s="25" t="s">
        <v>905</v>
      </c>
      <c r="E87" s="25" t="s">
        <v>908</v>
      </c>
      <c r="F87" s="25" t="s">
        <v>909</v>
      </c>
      <c r="G87" s="50">
        <v>502.88159999999999</v>
      </c>
      <c r="H87" s="50">
        <v>1</v>
      </c>
      <c r="I87" s="37">
        <v>13.1000003814697</v>
      </c>
      <c r="J87" s="37">
        <v>13.1000003814697</v>
      </c>
      <c r="K87" s="37">
        <v>13.1000003814697</v>
      </c>
      <c r="L87" s="37">
        <v>13.1000003814697</v>
      </c>
      <c r="M87" s="37">
        <v>96.708000183105497</v>
      </c>
      <c r="N87" s="37">
        <v>96.708000183105497</v>
      </c>
      <c r="O87" s="37">
        <v>96.708000183105497</v>
      </c>
      <c r="P87" s="37">
        <v>96.708000183105497</v>
      </c>
      <c r="Q87" s="50">
        <v>1413.32008</v>
      </c>
      <c r="R87" s="50">
        <v>2</v>
      </c>
      <c r="S87" s="37">
        <v>12</v>
      </c>
      <c r="T87" s="37">
        <v>12</v>
      </c>
      <c r="U87" s="37">
        <v>12</v>
      </c>
      <c r="V87" s="37">
        <v>12</v>
      </c>
      <c r="W87" s="37">
        <v>95.494003295898395</v>
      </c>
      <c r="X87" s="37">
        <v>95.494003295898395</v>
      </c>
      <c r="Y87" s="37">
        <v>95.494003295898395</v>
      </c>
      <c r="Z87" s="37">
        <v>95.494003295898395</v>
      </c>
      <c r="AA87" s="94">
        <v>0</v>
      </c>
      <c r="AB87" s="76"/>
      <c r="AC87" s="25"/>
      <c r="AD87" s="25"/>
      <c r="AE87" s="25"/>
      <c r="AF87" s="25"/>
      <c r="AG87" s="25"/>
      <c r="AH87" s="25"/>
      <c r="AI87" s="25"/>
      <c r="AJ87" s="25"/>
      <c r="AK87" s="25"/>
    </row>
    <row r="88" spans="1:37" x14ac:dyDescent="0.35">
      <c r="A88" s="1"/>
      <c r="B88" s="5"/>
      <c r="C88" s="25" t="s">
        <v>733</v>
      </c>
      <c r="D88" s="25" t="s">
        <v>905</v>
      </c>
      <c r="E88" s="25" t="s">
        <v>910</v>
      </c>
      <c r="F88" s="25" t="s">
        <v>911</v>
      </c>
      <c r="G88" s="50">
        <v>0</v>
      </c>
      <c r="H88" s="25"/>
      <c r="I88" s="25"/>
      <c r="J88" s="25"/>
      <c r="K88" s="25"/>
      <c r="L88" s="25"/>
      <c r="M88" s="25"/>
      <c r="N88" s="25"/>
      <c r="O88" s="25"/>
      <c r="P88" s="25"/>
      <c r="Q88" s="50">
        <v>1001.29</v>
      </c>
      <c r="R88" s="50">
        <v>1</v>
      </c>
      <c r="S88" s="37">
        <v>12.001000404357899</v>
      </c>
      <c r="T88" s="37">
        <v>12.001000404357899</v>
      </c>
      <c r="U88" s="37">
        <v>12.001000404357899</v>
      </c>
      <c r="V88" s="37">
        <v>12.001000404357899</v>
      </c>
      <c r="W88" s="37">
        <v>100.12899780273401</v>
      </c>
      <c r="X88" s="37">
        <v>100.12899780273401</v>
      </c>
      <c r="Y88" s="37">
        <v>100.12899780273401</v>
      </c>
      <c r="Z88" s="37">
        <v>100.12899780273401</v>
      </c>
      <c r="AA88" s="94">
        <v>0</v>
      </c>
      <c r="AB88" s="76"/>
      <c r="AC88" s="25"/>
      <c r="AD88" s="25"/>
      <c r="AE88" s="25"/>
      <c r="AF88" s="25"/>
      <c r="AG88" s="25"/>
      <c r="AH88" s="25"/>
      <c r="AI88" s="25"/>
      <c r="AJ88" s="25"/>
      <c r="AK88" s="25"/>
    </row>
    <row r="89" spans="1:37" x14ac:dyDescent="0.35">
      <c r="A89" s="1"/>
      <c r="B89" s="5"/>
      <c r="C89" s="25" t="s">
        <v>733</v>
      </c>
      <c r="D89" s="25" t="s">
        <v>905</v>
      </c>
      <c r="E89" s="25" t="s">
        <v>912</v>
      </c>
      <c r="F89" s="25" t="s">
        <v>913</v>
      </c>
      <c r="G89" s="50">
        <v>0</v>
      </c>
      <c r="H89" s="25"/>
      <c r="I89" s="25"/>
      <c r="J89" s="25"/>
      <c r="K89" s="25"/>
      <c r="L89" s="25"/>
      <c r="M89" s="25"/>
      <c r="N89" s="25"/>
      <c r="O89" s="25"/>
      <c r="P89" s="25"/>
      <c r="Q89" s="50">
        <v>510.1585</v>
      </c>
      <c r="R89" s="50">
        <v>1</v>
      </c>
      <c r="S89" s="37">
        <v>12.3999996185303</v>
      </c>
      <c r="T89" s="37">
        <v>12.3999996185303</v>
      </c>
      <c r="U89" s="37">
        <v>12.3999996185303</v>
      </c>
      <c r="V89" s="37">
        <v>12.3999996185303</v>
      </c>
      <c r="W89" s="37">
        <v>102.03099822998</v>
      </c>
      <c r="X89" s="37">
        <v>102.03099822998</v>
      </c>
      <c r="Y89" s="37">
        <v>102.03099822998</v>
      </c>
      <c r="Z89" s="37">
        <v>102.03099822998</v>
      </c>
      <c r="AA89" s="94">
        <v>0</v>
      </c>
      <c r="AB89" s="76"/>
      <c r="AC89" s="25"/>
      <c r="AD89" s="25"/>
      <c r="AE89" s="25"/>
      <c r="AF89" s="25"/>
      <c r="AG89" s="25"/>
      <c r="AH89" s="25"/>
      <c r="AI89" s="25"/>
      <c r="AJ89" s="25"/>
      <c r="AK89" s="25"/>
    </row>
    <row r="90" spans="1:37" x14ac:dyDescent="0.35">
      <c r="A90" s="1"/>
      <c r="B90" s="5"/>
      <c r="C90" s="25" t="s">
        <v>733</v>
      </c>
      <c r="D90" s="25" t="s">
        <v>905</v>
      </c>
      <c r="E90" s="25" t="s">
        <v>914</v>
      </c>
      <c r="F90" s="25" t="s">
        <v>915</v>
      </c>
      <c r="G90" s="50">
        <v>0</v>
      </c>
      <c r="H90" s="25"/>
      <c r="I90" s="25"/>
      <c r="J90" s="25"/>
      <c r="K90" s="25"/>
      <c r="L90" s="25"/>
      <c r="M90" s="25"/>
      <c r="N90" s="25"/>
      <c r="O90" s="25"/>
      <c r="P90" s="25"/>
      <c r="Q90" s="50">
        <v>5057.625</v>
      </c>
      <c r="R90" s="50">
        <v>1</v>
      </c>
      <c r="S90" s="37">
        <v>11.8999996185303</v>
      </c>
      <c r="T90" s="37">
        <v>11.8999996185303</v>
      </c>
      <c r="U90" s="37">
        <v>11.8999996185303</v>
      </c>
      <c r="V90" s="37">
        <v>11.8999996185303</v>
      </c>
      <c r="W90" s="37">
        <v>101.15200042724599</v>
      </c>
      <c r="X90" s="37">
        <v>101.15200042724599</v>
      </c>
      <c r="Y90" s="37">
        <v>101.15200042724599</v>
      </c>
      <c r="Z90" s="37">
        <v>101.15200042724599</v>
      </c>
      <c r="AA90" s="94">
        <v>0</v>
      </c>
      <c r="AB90" s="76"/>
      <c r="AC90" s="25"/>
      <c r="AD90" s="25"/>
      <c r="AE90" s="25"/>
      <c r="AF90" s="25"/>
      <c r="AG90" s="25"/>
      <c r="AH90" s="25"/>
      <c r="AI90" s="25"/>
      <c r="AJ90" s="25"/>
      <c r="AK90" s="25"/>
    </row>
    <row r="91" spans="1:37" x14ac:dyDescent="0.35">
      <c r="A91" s="1"/>
      <c r="B91" s="5"/>
      <c r="C91" s="25" t="s">
        <v>733</v>
      </c>
      <c r="D91" s="25" t="s">
        <v>905</v>
      </c>
      <c r="E91" s="25" t="s">
        <v>916</v>
      </c>
      <c r="F91" s="25" t="s">
        <v>917</v>
      </c>
      <c r="G91" s="50">
        <v>0</v>
      </c>
      <c r="H91" s="25"/>
      <c r="I91" s="25"/>
      <c r="J91" s="25"/>
      <c r="K91" s="25"/>
      <c r="L91" s="25"/>
      <c r="M91" s="25"/>
      <c r="N91" s="25"/>
      <c r="O91" s="25"/>
      <c r="P91" s="25"/>
      <c r="Q91" s="50">
        <v>5001.01</v>
      </c>
      <c r="R91" s="50">
        <v>1</v>
      </c>
      <c r="S91" s="37">
        <v>11.8999996185303</v>
      </c>
      <c r="T91" s="37">
        <v>11.8999996185303</v>
      </c>
      <c r="U91" s="37">
        <v>11.8999996185303</v>
      </c>
      <c r="V91" s="37">
        <v>11.8999996185303</v>
      </c>
      <c r="W91" s="37">
        <v>100.01999664306599</v>
      </c>
      <c r="X91" s="37">
        <v>100.01999664306599</v>
      </c>
      <c r="Y91" s="37">
        <v>100.01999664306599</v>
      </c>
      <c r="Z91" s="37">
        <v>100.01999664306599</v>
      </c>
      <c r="AA91" s="94">
        <v>0</v>
      </c>
      <c r="AB91" s="76"/>
      <c r="AC91" s="25"/>
      <c r="AD91" s="25"/>
      <c r="AE91" s="25"/>
      <c r="AF91" s="25"/>
      <c r="AG91" s="25"/>
      <c r="AH91" s="25"/>
      <c r="AI91" s="25"/>
      <c r="AJ91" s="25"/>
      <c r="AK91" s="25"/>
    </row>
    <row r="92" spans="1:37" x14ac:dyDescent="0.35">
      <c r="A92" s="1"/>
      <c r="B92" s="5"/>
      <c r="C92" s="25" t="s">
        <v>733</v>
      </c>
      <c r="D92" s="25" t="s">
        <v>905</v>
      </c>
      <c r="E92" s="25" t="s">
        <v>509</v>
      </c>
      <c r="F92" s="25" t="s">
        <v>820</v>
      </c>
      <c r="G92" s="50">
        <v>0</v>
      </c>
      <c r="H92" s="25"/>
      <c r="I92" s="25"/>
      <c r="J92" s="25"/>
      <c r="K92" s="25"/>
      <c r="L92" s="25"/>
      <c r="M92" s="25"/>
      <c r="N92" s="25"/>
      <c r="O92" s="25"/>
      <c r="P92" s="25"/>
      <c r="Q92" s="50">
        <v>3016.5329999999999</v>
      </c>
      <c r="R92" s="50">
        <v>1</v>
      </c>
      <c r="S92" s="37">
        <v>12.001000404357899</v>
      </c>
      <c r="T92" s="37">
        <v>12.001000404357899</v>
      </c>
      <c r="U92" s="37">
        <v>12.001000404357899</v>
      </c>
      <c r="V92" s="37">
        <v>12.001000404357899</v>
      </c>
      <c r="W92" s="37">
        <v>100.55100250244099</v>
      </c>
      <c r="X92" s="37">
        <v>100.55100250244099</v>
      </c>
      <c r="Y92" s="37">
        <v>100.55100250244099</v>
      </c>
      <c r="Z92" s="37">
        <v>100.55100250244099</v>
      </c>
      <c r="AA92" s="94">
        <v>0</v>
      </c>
      <c r="AB92" s="76"/>
      <c r="AC92" s="25"/>
      <c r="AD92" s="25"/>
      <c r="AE92" s="25"/>
      <c r="AF92" s="25"/>
      <c r="AG92" s="25"/>
      <c r="AH92" s="25"/>
      <c r="AI92" s="25"/>
      <c r="AJ92" s="25"/>
      <c r="AK92" s="25"/>
    </row>
    <row r="93" spans="1:37" x14ac:dyDescent="0.35">
      <c r="A93" s="1"/>
      <c r="B93" s="5"/>
      <c r="C93" s="25" t="s">
        <v>918</v>
      </c>
      <c r="D93" s="25" t="s">
        <v>905</v>
      </c>
      <c r="E93" s="25" t="s">
        <v>919</v>
      </c>
      <c r="F93" s="25" t="s">
        <v>920</v>
      </c>
      <c r="G93" s="50">
        <v>0</v>
      </c>
      <c r="H93" s="25"/>
      <c r="I93" s="25"/>
      <c r="J93" s="25"/>
      <c r="K93" s="25"/>
      <c r="L93" s="25"/>
      <c r="M93" s="25"/>
      <c r="N93" s="25"/>
      <c r="O93" s="25"/>
      <c r="P93" s="25"/>
      <c r="Q93" s="50">
        <v>12292.26</v>
      </c>
      <c r="R93" s="50">
        <v>1</v>
      </c>
      <c r="S93" s="37">
        <v>12.1000003814697</v>
      </c>
      <c r="T93" s="37">
        <v>12.1000003814697</v>
      </c>
      <c r="U93" s="37">
        <v>12.1000003814697</v>
      </c>
      <c r="V93" s="37">
        <v>12.1000003814697</v>
      </c>
      <c r="W93" s="37">
        <v>102.43499755859401</v>
      </c>
      <c r="X93" s="37">
        <v>102.43499755859401</v>
      </c>
      <c r="Y93" s="37">
        <v>102.43499755859401</v>
      </c>
      <c r="Z93" s="37">
        <v>102.43499755859401</v>
      </c>
      <c r="AA93" s="94">
        <v>0</v>
      </c>
      <c r="AB93" s="76"/>
      <c r="AC93" s="25"/>
      <c r="AD93" s="25"/>
      <c r="AE93" s="25"/>
      <c r="AF93" s="25"/>
      <c r="AG93" s="25"/>
      <c r="AH93" s="25"/>
      <c r="AI93" s="25"/>
      <c r="AJ93" s="25"/>
      <c r="AK93" s="25"/>
    </row>
    <row r="94" spans="1:37" x14ac:dyDescent="0.35">
      <c r="A94" s="1"/>
      <c r="B94" s="5"/>
      <c r="C94" s="25" t="s">
        <v>739</v>
      </c>
      <c r="D94" s="25" t="s">
        <v>799</v>
      </c>
      <c r="E94" s="25" t="s">
        <v>492</v>
      </c>
      <c r="F94" s="25" t="s">
        <v>921</v>
      </c>
      <c r="G94" s="50">
        <v>0</v>
      </c>
      <c r="H94" s="25"/>
      <c r="I94" s="25"/>
      <c r="J94" s="25"/>
      <c r="K94" s="25"/>
      <c r="L94" s="25"/>
      <c r="M94" s="25"/>
      <c r="N94" s="25"/>
      <c r="O94" s="25"/>
      <c r="P94" s="25"/>
      <c r="Q94" s="50">
        <v>1012.0890000000001</v>
      </c>
      <c r="R94" s="50">
        <v>1</v>
      </c>
      <c r="S94" s="37">
        <v>12.199999809265099</v>
      </c>
      <c r="T94" s="37">
        <v>12.199999809265099</v>
      </c>
      <c r="U94" s="37">
        <v>12.199999809265099</v>
      </c>
      <c r="V94" s="37">
        <v>12.199999809265099</v>
      </c>
      <c r="W94" s="37">
        <v>101.208000183105</v>
      </c>
      <c r="X94" s="37">
        <v>101.208000183105</v>
      </c>
      <c r="Y94" s="37">
        <v>101.208000183105</v>
      </c>
      <c r="Z94" s="37">
        <v>101.208000183105</v>
      </c>
      <c r="AA94" s="94">
        <v>0</v>
      </c>
      <c r="AB94" s="76"/>
      <c r="AC94" s="25"/>
      <c r="AD94" s="25"/>
      <c r="AE94" s="25"/>
      <c r="AF94" s="25"/>
      <c r="AG94" s="25"/>
      <c r="AH94" s="25"/>
      <c r="AI94" s="25"/>
      <c r="AJ94" s="25"/>
      <c r="AK94" s="25"/>
    </row>
    <row r="95" spans="1:37" x14ac:dyDescent="0.35">
      <c r="A95" s="1"/>
      <c r="B95" s="5"/>
      <c r="C95" s="25" t="s">
        <v>739</v>
      </c>
      <c r="D95" s="25" t="s">
        <v>799</v>
      </c>
      <c r="E95" s="25" t="s">
        <v>502</v>
      </c>
      <c r="F95" s="25" t="s">
        <v>922</v>
      </c>
      <c r="G95" s="50">
        <v>0</v>
      </c>
      <c r="H95" s="25"/>
      <c r="I95" s="25"/>
      <c r="J95" s="25"/>
      <c r="K95" s="25"/>
      <c r="L95" s="25"/>
      <c r="M95" s="25"/>
      <c r="N95" s="25"/>
      <c r="O95" s="25"/>
      <c r="P95" s="25"/>
      <c r="Q95" s="50">
        <v>9830.0512120000003</v>
      </c>
      <c r="R95" s="50">
        <v>3</v>
      </c>
      <c r="S95" s="37">
        <v>11.8999996185303</v>
      </c>
      <c r="T95" s="37">
        <v>11.8999996185303</v>
      </c>
      <c r="U95" s="37">
        <v>11.8999996185303</v>
      </c>
      <c r="V95" s="37">
        <v>11.8999996185303</v>
      </c>
      <c r="W95" s="37">
        <v>101.12599945068401</v>
      </c>
      <c r="X95" s="37">
        <v>101.12599945068401</v>
      </c>
      <c r="Y95" s="37">
        <v>101.12599945068401</v>
      </c>
      <c r="Z95" s="37">
        <v>101.12599945068401</v>
      </c>
      <c r="AA95" s="94">
        <v>0</v>
      </c>
      <c r="AB95" s="76"/>
      <c r="AC95" s="25"/>
      <c r="AD95" s="25"/>
      <c r="AE95" s="25"/>
      <c r="AF95" s="25"/>
      <c r="AG95" s="25"/>
      <c r="AH95" s="25"/>
      <c r="AI95" s="25"/>
      <c r="AJ95" s="25"/>
      <c r="AK95" s="25"/>
    </row>
    <row r="96" spans="1:37" x14ac:dyDescent="0.35">
      <c r="A96" s="1"/>
      <c r="B96" s="5"/>
      <c r="C96" s="25" t="s">
        <v>923</v>
      </c>
      <c r="D96" s="25" t="s">
        <v>799</v>
      </c>
      <c r="E96" s="25" t="s">
        <v>508</v>
      </c>
      <c r="F96" s="25" t="s">
        <v>924</v>
      </c>
      <c r="G96" s="50">
        <v>0</v>
      </c>
      <c r="H96" s="25"/>
      <c r="I96" s="25"/>
      <c r="J96" s="25"/>
      <c r="K96" s="25"/>
      <c r="L96" s="25"/>
      <c r="M96" s="25"/>
      <c r="N96" s="25"/>
      <c r="O96" s="25"/>
      <c r="P96" s="25"/>
      <c r="Q96" s="50">
        <v>4897.4472320000004</v>
      </c>
      <c r="R96" s="50">
        <v>3</v>
      </c>
      <c r="S96" s="37">
        <v>11.8999996185303</v>
      </c>
      <c r="T96" s="37">
        <v>11.8999996185303</v>
      </c>
      <c r="U96" s="37">
        <v>11.8999996185303</v>
      </c>
      <c r="V96" s="37">
        <v>11.8999996185303</v>
      </c>
      <c r="W96" s="37">
        <v>100.501998901367</v>
      </c>
      <c r="X96" s="37">
        <v>100.501998901367</v>
      </c>
      <c r="Y96" s="37">
        <v>100.501998901367</v>
      </c>
      <c r="Z96" s="37">
        <v>100.501998901367</v>
      </c>
      <c r="AA96" s="94">
        <v>0</v>
      </c>
      <c r="AB96" s="76"/>
      <c r="AC96" s="25"/>
      <c r="AD96" s="25"/>
      <c r="AE96" s="25"/>
      <c r="AF96" s="25"/>
      <c r="AG96" s="25"/>
      <c r="AH96" s="25"/>
      <c r="AI96" s="25"/>
      <c r="AJ96" s="25"/>
      <c r="AK96" s="25"/>
    </row>
    <row r="97" spans="1:37" x14ac:dyDescent="0.35">
      <c r="A97" s="1"/>
      <c r="B97" s="5"/>
      <c r="C97" s="25" t="s">
        <v>923</v>
      </c>
      <c r="D97" s="25" t="s">
        <v>799</v>
      </c>
      <c r="E97" s="25" t="s">
        <v>509</v>
      </c>
      <c r="F97" s="25" t="s">
        <v>925</v>
      </c>
      <c r="G97" s="50">
        <v>0</v>
      </c>
      <c r="H97" s="25"/>
      <c r="I97" s="25"/>
      <c r="J97" s="25"/>
      <c r="K97" s="25"/>
      <c r="L97" s="25"/>
      <c r="M97" s="25"/>
      <c r="N97" s="25"/>
      <c r="O97" s="25"/>
      <c r="P97" s="25"/>
      <c r="Q97" s="50">
        <v>3019.998</v>
      </c>
      <c r="R97" s="50">
        <v>1</v>
      </c>
      <c r="S97" s="37">
        <v>12.199999809265099</v>
      </c>
      <c r="T97" s="37">
        <v>12.199999809265099</v>
      </c>
      <c r="U97" s="37">
        <v>12.199999809265099</v>
      </c>
      <c r="V97" s="37">
        <v>12.199999809265099</v>
      </c>
      <c r="W97" s="37">
        <v>100.66600036621099</v>
      </c>
      <c r="X97" s="37">
        <v>100.66600036621099</v>
      </c>
      <c r="Y97" s="37">
        <v>100.66600036621099</v>
      </c>
      <c r="Z97" s="37">
        <v>100.66600036621099</v>
      </c>
      <c r="AA97" s="94">
        <v>0</v>
      </c>
      <c r="AB97" s="76"/>
      <c r="AC97" s="25"/>
      <c r="AD97" s="25"/>
      <c r="AE97" s="25"/>
      <c r="AF97" s="25"/>
      <c r="AG97" s="25"/>
      <c r="AH97" s="25"/>
      <c r="AI97" s="25"/>
      <c r="AJ97" s="25"/>
      <c r="AK97" s="25"/>
    </row>
    <row r="98" spans="1:37" x14ac:dyDescent="0.35">
      <c r="A98" s="1"/>
      <c r="B98" s="5"/>
      <c r="C98" s="25" t="s">
        <v>923</v>
      </c>
      <c r="D98" s="25" t="s">
        <v>799</v>
      </c>
      <c r="E98" s="25" t="s">
        <v>512</v>
      </c>
      <c r="F98" s="25" t="s">
        <v>926</v>
      </c>
      <c r="G98" s="50">
        <v>0</v>
      </c>
      <c r="H98" s="25"/>
      <c r="I98" s="25"/>
      <c r="J98" s="25"/>
      <c r="K98" s="25"/>
      <c r="L98" s="25"/>
      <c r="M98" s="25"/>
      <c r="N98" s="25"/>
      <c r="O98" s="25"/>
      <c r="P98" s="25"/>
      <c r="Q98" s="50">
        <v>2004.386</v>
      </c>
      <c r="R98" s="50">
        <v>1</v>
      </c>
      <c r="S98" s="37">
        <v>12.001000404357899</v>
      </c>
      <c r="T98" s="37">
        <v>12.001000404357899</v>
      </c>
      <c r="U98" s="37">
        <v>12.001000404357899</v>
      </c>
      <c r="V98" s="37">
        <v>12.001000404357899</v>
      </c>
      <c r="W98" s="37">
        <v>100.21900177002</v>
      </c>
      <c r="X98" s="37">
        <v>100.21900177002</v>
      </c>
      <c r="Y98" s="37">
        <v>100.21900177002</v>
      </c>
      <c r="Z98" s="37">
        <v>100.21900177002</v>
      </c>
      <c r="AA98" s="94">
        <v>0</v>
      </c>
      <c r="AB98" s="76"/>
      <c r="AC98" s="25"/>
      <c r="AD98" s="25"/>
      <c r="AE98" s="25"/>
      <c r="AF98" s="25"/>
      <c r="AG98" s="25"/>
      <c r="AH98" s="25"/>
      <c r="AI98" s="25"/>
      <c r="AJ98" s="25"/>
      <c r="AK98" s="25"/>
    </row>
    <row r="99" spans="1:37" x14ac:dyDescent="0.35">
      <c r="A99" s="1"/>
      <c r="B99" s="5"/>
      <c r="C99" s="25" t="s">
        <v>923</v>
      </c>
      <c r="D99" s="25" t="s">
        <v>799</v>
      </c>
      <c r="E99" s="25" t="s">
        <v>513</v>
      </c>
      <c r="F99" s="25" t="s">
        <v>927</v>
      </c>
      <c r="G99" s="50">
        <v>0</v>
      </c>
      <c r="H99" s="25"/>
      <c r="I99" s="25"/>
      <c r="J99" s="25"/>
      <c r="K99" s="25"/>
      <c r="L99" s="25"/>
      <c r="M99" s="25"/>
      <c r="N99" s="25"/>
      <c r="O99" s="25"/>
      <c r="P99" s="25"/>
      <c r="Q99" s="50">
        <v>2509.2199999999998</v>
      </c>
      <c r="R99" s="50">
        <v>1</v>
      </c>
      <c r="S99" s="37">
        <v>12.3999996185303</v>
      </c>
      <c r="T99" s="37">
        <v>12.3999996185303</v>
      </c>
      <c r="U99" s="37">
        <v>12.3999996185303</v>
      </c>
      <c r="V99" s="37">
        <v>12.3999996185303</v>
      </c>
      <c r="W99" s="37">
        <v>100.36799621582</v>
      </c>
      <c r="X99" s="37">
        <v>100.36799621582</v>
      </c>
      <c r="Y99" s="37">
        <v>100.36799621582</v>
      </c>
      <c r="Z99" s="37">
        <v>100.36799621582</v>
      </c>
      <c r="AA99" s="94">
        <v>0</v>
      </c>
      <c r="AB99" s="76"/>
      <c r="AC99" s="25"/>
      <c r="AD99" s="25"/>
      <c r="AE99" s="25"/>
      <c r="AF99" s="25"/>
      <c r="AG99" s="25"/>
      <c r="AH99" s="25"/>
      <c r="AI99" s="25"/>
      <c r="AJ99" s="25"/>
      <c r="AK99" s="25"/>
    </row>
    <row r="100" spans="1:37" x14ac:dyDescent="0.35">
      <c r="A100" s="1"/>
      <c r="B100" s="5"/>
      <c r="C100" s="25" t="s">
        <v>928</v>
      </c>
      <c r="D100" s="25" t="s">
        <v>929</v>
      </c>
      <c r="E100" s="25" t="s">
        <v>930</v>
      </c>
      <c r="F100" s="25" t="s">
        <v>931</v>
      </c>
      <c r="G100" s="50">
        <v>17.407230999999999</v>
      </c>
      <c r="H100" s="50">
        <v>1</v>
      </c>
      <c r="I100" s="37">
        <v>0</v>
      </c>
      <c r="J100" s="37">
        <v>0</v>
      </c>
      <c r="K100" s="37">
        <v>0</v>
      </c>
      <c r="L100" s="37">
        <v>0</v>
      </c>
      <c r="M100" s="37">
        <v>39.5</v>
      </c>
      <c r="N100" s="37">
        <v>39.5</v>
      </c>
      <c r="O100" s="37">
        <v>39.5</v>
      </c>
      <c r="P100" s="37">
        <v>39.5</v>
      </c>
      <c r="Q100" s="50">
        <v>0</v>
      </c>
      <c r="R100" s="25"/>
      <c r="S100" s="25"/>
      <c r="T100" s="25"/>
      <c r="U100" s="25"/>
      <c r="V100" s="25"/>
      <c r="W100" s="25"/>
      <c r="X100" s="25"/>
      <c r="Y100" s="25"/>
      <c r="Z100" s="25"/>
      <c r="AA100" s="94">
        <v>0</v>
      </c>
      <c r="AB100" s="76"/>
      <c r="AC100" s="25"/>
      <c r="AD100" s="25"/>
      <c r="AE100" s="25"/>
      <c r="AF100" s="25"/>
      <c r="AG100" s="25"/>
      <c r="AH100" s="25"/>
      <c r="AI100" s="25"/>
      <c r="AJ100" s="25"/>
      <c r="AK100" s="25"/>
    </row>
    <row r="101" spans="1:37" x14ac:dyDescent="0.35">
      <c r="A101" s="1"/>
      <c r="B101" s="5"/>
      <c r="C101" s="25" t="s">
        <v>932</v>
      </c>
      <c r="D101" s="25" t="s">
        <v>933</v>
      </c>
      <c r="E101" s="25" t="s">
        <v>934</v>
      </c>
      <c r="F101" s="25" t="s">
        <v>935</v>
      </c>
      <c r="G101" s="50">
        <v>4762.96</v>
      </c>
      <c r="H101" s="50">
        <v>1</v>
      </c>
      <c r="I101" s="37">
        <v>12.199999809265099</v>
      </c>
      <c r="J101" s="37">
        <v>12.199999809265099</v>
      </c>
      <c r="K101" s="37">
        <v>12.199999809265099</v>
      </c>
      <c r="L101" s="37">
        <v>12.199999809265099</v>
      </c>
      <c r="M101" s="37">
        <v>95.259002685546903</v>
      </c>
      <c r="N101" s="37">
        <v>95.259002685546903</v>
      </c>
      <c r="O101" s="37">
        <v>95.259002685546903</v>
      </c>
      <c r="P101" s="37">
        <v>95.259002685546903</v>
      </c>
      <c r="Q101" s="50">
        <v>0</v>
      </c>
      <c r="R101" s="25"/>
      <c r="S101" s="25"/>
      <c r="T101" s="25"/>
      <c r="U101" s="25"/>
      <c r="V101" s="25"/>
      <c r="W101" s="25"/>
      <c r="X101" s="25"/>
      <c r="Y101" s="25"/>
      <c r="Z101" s="25"/>
      <c r="AA101" s="94">
        <v>0</v>
      </c>
      <c r="AB101" s="76"/>
      <c r="AC101" s="25"/>
      <c r="AD101" s="25"/>
      <c r="AE101" s="25"/>
      <c r="AF101" s="25"/>
      <c r="AG101" s="25"/>
      <c r="AH101" s="25"/>
      <c r="AI101" s="25"/>
      <c r="AJ101" s="25"/>
      <c r="AK101" s="25"/>
    </row>
    <row r="102" spans="1:37" x14ac:dyDescent="0.35">
      <c r="A102" s="1"/>
      <c r="B102" s="5"/>
      <c r="C102" s="25" t="s">
        <v>936</v>
      </c>
      <c r="D102" s="25" t="s">
        <v>933</v>
      </c>
      <c r="E102" s="25" t="s">
        <v>937</v>
      </c>
      <c r="F102" s="25" t="s">
        <v>938</v>
      </c>
      <c r="G102" s="50">
        <v>1824.7280000000001</v>
      </c>
      <c r="H102" s="50">
        <v>2</v>
      </c>
      <c r="I102" s="37">
        <v>12.699999809265099</v>
      </c>
      <c r="J102" s="37">
        <v>12.699999809265099</v>
      </c>
      <c r="K102" s="37">
        <v>12.699999809265099</v>
      </c>
      <c r="L102" s="37">
        <v>12.699999809265099</v>
      </c>
      <c r="M102" s="37">
        <v>91.236000061035199</v>
      </c>
      <c r="N102" s="37">
        <v>91.236000061035199</v>
      </c>
      <c r="O102" s="37">
        <v>91.236000061035199</v>
      </c>
      <c r="P102" s="37">
        <v>91.236000061035199</v>
      </c>
      <c r="Q102" s="50">
        <v>0</v>
      </c>
      <c r="R102" s="25"/>
      <c r="S102" s="25"/>
      <c r="T102" s="25"/>
      <c r="U102" s="25"/>
      <c r="V102" s="25"/>
      <c r="W102" s="25"/>
      <c r="X102" s="25"/>
      <c r="Y102" s="25"/>
      <c r="Z102" s="25"/>
      <c r="AA102" s="94">
        <v>0</v>
      </c>
      <c r="AB102" s="76"/>
      <c r="AC102" s="25"/>
      <c r="AD102" s="25"/>
      <c r="AE102" s="25"/>
      <c r="AF102" s="25"/>
      <c r="AG102" s="25"/>
      <c r="AH102" s="25"/>
      <c r="AI102" s="25"/>
      <c r="AJ102" s="25"/>
      <c r="AK102" s="25"/>
    </row>
    <row r="103" spans="1:37" x14ac:dyDescent="0.35">
      <c r="A103" s="1"/>
      <c r="B103" s="5"/>
      <c r="C103" s="25" t="s">
        <v>939</v>
      </c>
      <c r="D103" s="25" t="s">
        <v>933</v>
      </c>
      <c r="E103" s="25" t="s">
        <v>940</v>
      </c>
      <c r="F103" s="25" t="s">
        <v>941</v>
      </c>
      <c r="G103" s="50">
        <v>0</v>
      </c>
      <c r="H103" s="25"/>
      <c r="I103" s="25"/>
      <c r="J103" s="25"/>
      <c r="K103" s="25"/>
      <c r="L103" s="25"/>
      <c r="M103" s="25"/>
      <c r="N103" s="25"/>
      <c r="O103" s="25"/>
      <c r="P103" s="25"/>
      <c r="Q103" s="50">
        <v>35891.11</v>
      </c>
      <c r="R103" s="50">
        <v>3</v>
      </c>
      <c r="S103" s="37">
        <v>11.6499996185303</v>
      </c>
      <c r="T103" s="37">
        <v>12</v>
      </c>
      <c r="U103" s="37">
        <v>11.7445943162248</v>
      </c>
      <c r="V103" s="37">
        <v>12</v>
      </c>
      <c r="W103" s="37">
        <v>97.002998352050795</v>
      </c>
      <c r="X103" s="37">
        <v>97.002998352050795</v>
      </c>
      <c r="Y103" s="37">
        <v>97.002998352050795</v>
      </c>
      <c r="Z103" s="37">
        <v>97.002998352050795</v>
      </c>
      <c r="AA103" s="94">
        <v>0</v>
      </c>
      <c r="AB103" s="76"/>
      <c r="AC103" s="25"/>
      <c r="AD103" s="25"/>
      <c r="AE103" s="25"/>
      <c r="AF103" s="25"/>
      <c r="AG103" s="25"/>
      <c r="AH103" s="25"/>
      <c r="AI103" s="25"/>
      <c r="AJ103" s="25"/>
      <c r="AK103" s="25"/>
    </row>
    <row r="104" spans="1:37" x14ac:dyDescent="0.35">
      <c r="A104" s="1"/>
      <c r="B104" s="5"/>
      <c r="C104" s="25" t="s">
        <v>942</v>
      </c>
      <c r="D104" s="25" t="s">
        <v>933</v>
      </c>
      <c r="E104" s="25" t="s">
        <v>943</v>
      </c>
      <c r="F104" s="25" t="s">
        <v>944</v>
      </c>
      <c r="G104" s="50">
        <v>42701.796000000002</v>
      </c>
      <c r="H104" s="50">
        <v>4</v>
      </c>
      <c r="I104" s="37">
        <v>12.539999961853001</v>
      </c>
      <c r="J104" s="37">
        <v>12.560000419616699</v>
      </c>
      <c r="K104" s="37">
        <v>12.546812990209601</v>
      </c>
      <c r="L104" s="37">
        <v>12.560000419616699</v>
      </c>
      <c r="M104" s="37">
        <v>93.844001770019503</v>
      </c>
      <c r="N104" s="37">
        <v>93.852996826171903</v>
      </c>
      <c r="O104" s="37">
        <v>93.849932576273801</v>
      </c>
      <c r="P104" s="37">
        <v>93.844001770019503</v>
      </c>
      <c r="Q104" s="50">
        <v>0</v>
      </c>
      <c r="R104" s="25"/>
      <c r="S104" s="25"/>
      <c r="T104" s="25"/>
      <c r="U104" s="25"/>
      <c r="V104" s="25"/>
      <c r="W104" s="25"/>
      <c r="X104" s="25"/>
      <c r="Y104" s="25"/>
      <c r="Z104" s="25"/>
      <c r="AA104" s="94">
        <v>0</v>
      </c>
      <c r="AB104" s="76"/>
      <c r="AC104" s="25"/>
      <c r="AD104" s="25"/>
      <c r="AE104" s="25"/>
      <c r="AF104" s="25"/>
      <c r="AG104" s="25"/>
      <c r="AH104" s="25"/>
      <c r="AI104" s="25"/>
      <c r="AJ104" s="25"/>
      <c r="AK104" s="25"/>
    </row>
    <row r="105" spans="1:37" x14ac:dyDescent="0.35">
      <c r="A105" s="1"/>
      <c r="B105" s="5"/>
      <c r="C105" s="25" t="s">
        <v>333</v>
      </c>
      <c r="D105" s="25" t="s">
        <v>933</v>
      </c>
      <c r="E105" s="25" t="s">
        <v>945</v>
      </c>
      <c r="F105" s="25" t="s">
        <v>946</v>
      </c>
      <c r="G105" s="50">
        <v>97979.760500000004</v>
      </c>
      <c r="H105" s="50">
        <v>9</v>
      </c>
      <c r="I105" s="37">
        <v>12.079999923706101</v>
      </c>
      <c r="J105" s="37">
        <v>12.1199998855591</v>
      </c>
      <c r="K105" s="37">
        <v>12.0857265920587</v>
      </c>
      <c r="L105" s="37">
        <v>12.1070003509521</v>
      </c>
      <c r="M105" s="37">
        <v>106.998001098633</v>
      </c>
      <c r="N105" s="37">
        <v>107.095001220703</v>
      </c>
      <c r="O105" s="37">
        <v>107.08100474206501</v>
      </c>
      <c r="P105" s="37">
        <v>107.029998779297</v>
      </c>
      <c r="Q105" s="50">
        <v>2347767.8398819999</v>
      </c>
      <c r="R105" s="50">
        <v>59</v>
      </c>
      <c r="S105" s="37">
        <v>8.75</v>
      </c>
      <c r="T105" s="37">
        <v>12.001000404357899</v>
      </c>
      <c r="U105" s="37">
        <v>11.9233278142488</v>
      </c>
      <c r="V105" s="37">
        <v>12</v>
      </c>
      <c r="W105" s="37">
        <v>107.050003051758</v>
      </c>
      <c r="X105" s="37">
        <v>107.217002868652</v>
      </c>
      <c r="Y105" s="37">
        <v>107.125241463279</v>
      </c>
      <c r="Z105" s="37">
        <v>107.15299987793</v>
      </c>
      <c r="AA105" s="94">
        <v>0</v>
      </c>
      <c r="AB105" s="76"/>
      <c r="AC105" s="25"/>
      <c r="AD105" s="25"/>
      <c r="AE105" s="25"/>
      <c r="AF105" s="25"/>
      <c r="AG105" s="25"/>
      <c r="AH105" s="25"/>
      <c r="AI105" s="25"/>
      <c r="AJ105" s="25"/>
      <c r="AK105" s="25"/>
    </row>
    <row r="106" spans="1:37" x14ac:dyDescent="0.35">
      <c r="A106" s="1"/>
      <c r="B106" s="5"/>
      <c r="C106" s="25" t="s">
        <v>337</v>
      </c>
      <c r="D106" s="25" t="s">
        <v>933</v>
      </c>
      <c r="E106" s="25" t="s">
        <v>947</v>
      </c>
      <c r="F106" s="25" t="s">
        <v>948</v>
      </c>
      <c r="G106" s="50">
        <v>225551.80368899999</v>
      </c>
      <c r="H106" s="50">
        <v>19</v>
      </c>
      <c r="I106" s="37">
        <v>12</v>
      </c>
      <c r="J106" s="37">
        <v>12.1499996185303</v>
      </c>
      <c r="K106" s="37">
        <v>12.126869478430001</v>
      </c>
      <c r="L106" s="37">
        <v>12</v>
      </c>
      <c r="M106" s="37">
        <v>105.50299835205099</v>
      </c>
      <c r="N106" s="37">
        <v>105.929000854492</v>
      </c>
      <c r="O106" s="37">
        <v>105.571750534957</v>
      </c>
      <c r="P106" s="37">
        <v>105.929000854492</v>
      </c>
      <c r="Q106" s="50">
        <v>0</v>
      </c>
      <c r="R106" s="25"/>
      <c r="S106" s="25"/>
      <c r="T106" s="25"/>
      <c r="U106" s="25"/>
      <c r="V106" s="25"/>
      <c r="W106" s="25"/>
      <c r="X106" s="25"/>
      <c r="Y106" s="25"/>
      <c r="Z106" s="25"/>
      <c r="AA106" s="94">
        <v>0</v>
      </c>
      <c r="AB106" s="76"/>
      <c r="AC106" s="25"/>
      <c r="AD106" s="25"/>
      <c r="AE106" s="25"/>
      <c r="AF106" s="25"/>
      <c r="AG106" s="25"/>
      <c r="AH106" s="25"/>
      <c r="AI106" s="25"/>
      <c r="AJ106" s="25"/>
      <c r="AK106" s="25"/>
    </row>
    <row r="107" spans="1:37" x14ac:dyDescent="0.35">
      <c r="A107" s="1"/>
      <c r="B107" s="5"/>
      <c r="C107" s="25" t="s">
        <v>341</v>
      </c>
      <c r="D107" s="25" t="s">
        <v>933</v>
      </c>
      <c r="E107" s="25" t="s">
        <v>949</v>
      </c>
      <c r="F107" s="25" t="s">
        <v>950</v>
      </c>
      <c r="G107" s="50">
        <v>0</v>
      </c>
      <c r="H107" s="25"/>
      <c r="I107" s="25"/>
      <c r="J107" s="25"/>
      <c r="K107" s="25"/>
      <c r="L107" s="25"/>
      <c r="M107" s="25"/>
      <c r="N107" s="25"/>
      <c r="O107" s="25"/>
      <c r="P107" s="25"/>
      <c r="Q107" s="50">
        <v>961078.47696</v>
      </c>
      <c r="R107" s="50">
        <v>35</v>
      </c>
      <c r="S107" s="37">
        <v>11.6499996185303</v>
      </c>
      <c r="T107" s="37">
        <v>12.1000003814697</v>
      </c>
      <c r="U107" s="37">
        <v>11.9853971866573</v>
      </c>
      <c r="V107" s="37">
        <v>12</v>
      </c>
      <c r="W107" s="37">
        <v>96.745002746582003</v>
      </c>
      <c r="X107" s="37">
        <v>96.808998107910199</v>
      </c>
      <c r="Y107" s="37">
        <v>96.788642207461294</v>
      </c>
      <c r="Z107" s="37">
        <v>96.754997253417997</v>
      </c>
      <c r="AA107" s="94">
        <v>0</v>
      </c>
      <c r="AB107" s="76"/>
      <c r="AC107" s="25"/>
      <c r="AD107" s="25"/>
      <c r="AE107" s="25"/>
      <c r="AF107" s="25"/>
      <c r="AG107" s="25"/>
      <c r="AH107" s="25"/>
      <c r="AI107" s="25"/>
      <c r="AJ107" s="25"/>
      <c r="AK107" s="25"/>
    </row>
    <row r="108" spans="1:37" x14ac:dyDescent="0.35">
      <c r="A108" s="1"/>
      <c r="B108" s="5"/>
      <c r="C108" s="25" t="s">
        <v>345</v>
      </c>
      <c r="D108" s="25" t="s">
        <v>933</v>
      </c>
      <c r="E108" s="25" t="s">
        <v>951</v>
      </c>
      <c r="F108" s="25" t="s">
        <v>952</v>
      </c>
      <c r="G108" s="50">
        <v>0</v>
      </c>
      <c r="H108" s="25"/>
      <c r="I108" s="25"/>
      <c r="J108" s="25"/>
      <c r="K108" s="25"/>
      <c r="L108" s="25"/>
      <c r="M108" s="25"/>
      <c r="N108" s="25"/>
      <c r="O108" s="25"/>
      <c r="P108" s="25"/>
      <c r="Q108" s="50">
        <v>161676.55600000001</v>
      </c>
      <c r="R108" s="50">
        <v>4</v>
      </c>
      <c r="S108" s="37">
        <v>11.8500003814697</v>
      </c>
      <c r="T108" s="37">
        <v>12.0050001144409</v>
      </c>
      <c r="U108" s="37">
        <v>11.8900788142419</v>
      </c>
      <c r="V108" s="37">
        <v>12.0050001144409</v>
      </c>
      <c r="W108" s="37">
        <v>84.640998840332003</v>
      </c>
      <c r="X108" s="37">
        <v>84.700996398925795</v>
      </c>
      <c r="Y108" s="37">
        <v>84.646811320519603</v>
      </c>
      <c r="Z108" s="37">
        <v>84.662002563476605</v>
      </c>
      <c r="AA108" s="94">
        <v>0</v>
      </c>
      <c r="AB108" s="76"/>
      <c r="AC108" s="25"/>
      <c r="AD108" s="25"/>
      <c r="AE108" s="25"/>
      <c r="AF108" s="25"/>
      <c r="AG108" s="25"/>
      <c r="AH108" s="25"/>
      <c r="AI108" s="25"/>
      <c r="AJ108" s="25"/>
      <c r="AK108" s="25"/>
    </row>
    <row r="109" spans="1:37" x14ac:dyDescent="0.35">
      <c r="A109" s="1"/>
      <c r="B109" s="5"/>
      <c r="C109" s="25" t="s">
        <v>349</v>
      </c>
      <c r="D109" s="25" t="s">
        <v>933</v>
      </c>
      <c r="E109" s="25" t="s">
        <v>953</v>
      </c>
      <c r="F109" s="25" t="s">
        <v>954</v>
      </c>
      <c r="G109" s="50">
        <v>0</v>
      </c>
      <c r="H109" s="25"/>
      <c r="I109" s="25"/>
      <c r="J109" s="25"/>
      <c r="K109" s="25"/>
      <c r="L109" s="25"/>
      <c r="M109" s="25"/>
      <c r="N109" s="25"/>
      <c r="O109" s="25"/>
      <c r="P109" s="25"/>
      <c r="Q109" s="50">
        <v>116636.80785</v>
      </c>
      <c r="R109" s="50">
        <v>3</v>
      </c>
      <c r="S109" s="37">
        <v>12</v>
      </c>
      <c r="T109" s="37">
        <v>12.449999809265099</v>
      </c>
      <c r="U109" s="37">
        <v>12.006456238296501</v>
      </c>
      <c r="V109" s="37">
        <v>12</v>
      </c>
      <c r="W109" s="37">
        <v>111.55599975585901</v>
      </c>
      <c r="X109" s="37">
        <v>111.832000732422</v>
      </c>
      <c r="Y109" s="37">
        <v>111.560091592432</v>
      </c>
      <c r="Z109" s="37">
        <v>111.832000732422</v>
      </c>
      <c r="AA109" s="94">
        <v>0</v>
      </c>
      <c r="AB109" s="76"/>
      <c r="AC109" s="25"/>
      <c r="AD109" s="25"/>
      <c r="AE109" s="25"/>
      <c r="AF109" s="25"/>
      <c r="AG109" s="25"/>
      <c r="AH109" s="25"/>
      <c r="AI109" s="25"/>
      <c r="AJ109" s="25"/>
      <c r="AK109" s="25"/>
    </row>
    <row r="110" spans="1:37" x14ac:dyDescent="0.35">
      <c r="A110" s="1"/>
      <c r="B110" s="5"/>
      <c r="C110" s="25" t="s">
        <v>353</v>
      </c>
      <c r="D110" s="25" t="s">
        <v>933</v>
      </c>
      <c r="E110" s="25" t="s">
        <v>955</v>
      </c>
      <c r="F110" s="25" t="s">
        <v>956</v>
      </c>
      <c r="G110" s="50">
        <v>333849.308242</v>
      </c>
      <c r="H110" s="50">
        <v>16</v>
      </c>
      <c r="I110" s="37">
        <v>11.770999908447299</v>
      </c>
      <c r="J110" s="37">
        <v>11.9099998474121</v>
      </c>
      <c r="K110" s="37">
        <v>11.8713124774997</v>
      </c>
      <c r="L110" s="37">
        <v>11.8579998016357</v>
      </c>
      <c r="M110" s="37">
        <v>104.51000213623</v>
      </c>
      <c r="N110" s="37">
        <v>105.29599761962901</v>
      </c>
      <c r="O110" s="37">
        <v>104.712000920031</v>
      </c>
      <c r="P110" s="37">
        <v>104.778999328613</v>
      </c>
      <c r="Q110" s="50">
        <v>161591.46100000001</v>
      </c>
      <c r="R110" s="50">
        <v>5</v>
      </c>
      <c r="S110" s="37">
        <v>10</v>
      </c>
      <c r="T110" s="37">
        <v>12</v>
      </c>
      <c r="U110" s="37">
        <v>11.469255663430401</v>
      </c>
      <c r="V110" s="37">
        <v>12</v>
      </c>
      <c r="W110" s="37">
        <v>104.046997070313</v>
      </c>
      <c r="X110" s="37">
        <v>105.02799987793</v>
      </c>
      <c r="Y110" s="37">
        <v>104.589138981594</v>
      </c>
      <c r="Z110" s="37">
        <v>105.02799987793</v>
      </c>
      <c r="AA110" s="94">
        <v>0</v>
      </c>
      <c r="AB110" s="76"/>
      <c r="AC110" s="25"/>
      <c r="AD110" s="25"/>
      <c r="AE110" s="25"/>
      <c r="AF110" s="25"/>
      <c r="AG110" s="25"/>
      <c r="AH110" s="25"/>
      <c r="AI110" s="25"/>
      <c r="AJ110" s="25"/>
      <c r="AK110" s="25"/>
    </row>
    <row r="111" spans="1:37" x14ac:dyDescent="0.35">
      <c r="A111" s="1"/>
      <c r="B111" s="5"/>
      <c r="C111" s="25" t="s">
        <v>357</v>
      </c>
      <c r="D111" s="25" t="s">
        <v>933</v>
      </c>
      <c r="E111" s="25" t="s">
        <v>957</v>
      </c>
      <c r="F111" s="25" t="s">
        <v>958</v>
      </c>
      <c r="G111" s="50">
        <v>0</v>
      </c>
      <c r="H111" s="25"/>
      <c r="I111" s="25"/>
      <c r="J111" s="25"/>
      <c r="K111" s="25"/>
      <c r="L111" s="25"/>
      <c r="M111" s="25"/>
      <c r="N111" s="25"/>
      <c r="O111" s="25"/>
      <c r="P111" s="25"/>
      <c r="Q111" s="50">
        <v>1499.7179980000001</v>
      </c>
      <c r="R111" s="50">
        <v>2</v>
      </c>
      <c r="S111" s="37">
        <v>11.5</v>
      </c>
      <c r="T111" s="37">
        <v>12.300000190734901</v>
      </c>
      <c r="U111" s="37">
        <v>11.567063689832599</v>
      </c>
      <c r="V111" s="37">
        <v>12.300000190734901</v>
      </c>
      <c r="W111" s="37">
        <v>68.486000061035199</v>
      </c>
      <c r="X111" s="37">
        <v>71.029998779296903</v>
      </c>
      <c r="Y111" s="37">
        <v>68.699262436409398</v>
      </c>
      <c r="Z111" s="37">
        <v>68.486000061035199</v>
      </c>
      <c r="AA111" s="94">
        <v>0</v>
      </c>
      <c r="AB111" s="76"/>
      <c r="AC111" s="25"/>
      <c r="AD111" s="25"/>
      <c r="AE111" s="25"/>
      <c r="AF111" s="25"/>
      <c r="AG111" s="25"/>
      <c r="AH111" s="25"/>
      <c r="AI111" s="25"/>
      <c r="AJ111" s="25"/>
      <c r="AK111" s="25"/>
    </row>
    <row r="112" spans="1:37" x14ac:dyDescent="0.35">
      <c r="A112" s="1"/>
      <c r="B112" s="5"/>
      <c r="C112" s="25" t="s">
        <v>369</v>
      </c>
      <c r="D112" s="25" t="s">
        <v>933</v>
      </c>
      <c r="E112" s="25" t="s">
        <v>959</v>
      </c>
      <c r="F112" s="25" t="s">
        <v>960</v>
      </c>
      <c r="G112" s="50">
        <v>0</v>
      </c>
      <c r="H112" s="25"/>
      <c r="I112" s="25"/>
      <c r="J112" s="25"/>
      <c r="K112" s="25"/>
      <c r="L112" s="25"/>
      <c r="M112" s="25"/>
      <c r="N112" s="25"/>
      <c r="O112" s="25"/>
      <c r="P112" s="25"/>
      <c r="Q112" s="50">
        <v>903312.42492000002</v>
      </c>
      <c r="R112" s="50">
        <v>29</v>
      </c>
      <c r="S112" s="37">
        <v>11.8999996185303</v>
      </c>
      <c r="T112" s="37">
        <v>12</v>
      </c>
      <c r="U112" s="37">
        <v>11.997865554785101</v>
      </c>
      <c r="V112" s="37">
        <v>12</v>
      </c>
      <c r="W112" s="37">
        <v>91.565002441406307</v>
      </c>
      <c r="X112" s="37">
        <v>92.019996643066406</v>
      </c>
      <c r="Y112" s="37">
        <v>91.637202738157896</v>
      </c>
      <c r="Z112" s="37">
        <v>91.625</v>
      </c>
      <c r="AA112" s="94">
        <v>0</v>
      </c>
      <c r="AB112" s="76"/>
      <c r="AC112" s="25"/>
      <c r="AD112" s="25"/>
      <c r="AE112" s="25"/>
      <c r="AF112" s="25"/>
      <c r="AG112" s="25"/>
      <c r="AH112" s="25"/>
      <c r="AI112" s="25"/>
      <c r="AJ112" s="25"/>
      <c r="AK112" s="25"/>
    </row>
    <row r="113" spans="1:37" x14ac:dyDescent="0.35">
      <c r="A113" s="1"/>
      <c r="B113" s="5"/>
      <c r="C113" s="25" t="s">
        <v>373</v>
      </c>
      <c r="D113" s="25" t="s">
        <v>933</v>
      </c>
      <c r="E113" s="25" t="s">
        <v>961</v>
      </c>
      <c r="F113" s="25" t="s">
        <v>962</v>
      </c>
      <c r="G113" s="50">
        <v>0</v>
      </c>
      <c r="H113" s="25"/>
      <c r="I113" s="25"/>
      <c r="J113" s="25"/>
      <c r="K113" s="25"/>
      <c r="L113" s="25"/>
      <c r="M113" s="25"/>
      <c r="N113" s="25"/>
      <c r="O113" s="25"/>
      <c r="P113" s="25"/>
      <c r="Q113" s="50">
        <v>20422.952000000001</v>
      </c>
      <c r="R113" s="50">
        <v>3</v>
      </c>
      <c r="S113" s="37">
        <v>9</v>
      </c>
      <c r="T113" s="37">
        <v>12</v>
      </c>
      <c r="U113" s="37">
        <v>10.3055555555556</v>
      </c>
      <c r="V113" s="37">
        <v>10</v>
      </c>
      <c r="W113" s="37">
        <v>113.447998046875</v>
      </c>
      <c r="X113" s="37">
        <v>113.475997924805</v>
      </c>
      <c r="Y113" s="37">
        <v>113.46044243706601</v>
      </c>
      <c r="Z113" s="37">
        <v>113.475997924805</v>
      </c>
      <c r="AA113" s="94">
        <v>0</v>
      </c>
      <c r="AB113" s="76"/>
      <c r="AC113" s="25"/>
      <c r="AD113" s="25"/>
      <c r="AE113" s="25"/>
      <c r="AF113" s="25"/>
      <c r="AG113" s="25"/>
      <c r="AH113" s="25"/>
      <c r="AI113" s="25"/>
      <c r="AJ113" s="25"/>
      <c r="AK113" s="25"/>
    </row>
    <row r="114" spans="1:37" x14ac:dyDescent="0.35">
      <c r="A114" s="1"/>
      <c r="B114" s="5"/>
      <c r="C114" s="25" t="s">
        <v>377</v>
      </c>
      <c r="D114" s="25" t="s">
        <v>933</v>
      </c>
      <c r="E114" s="25" t="s">
        <v>963</v>
      </c>
      <c r="F114" s="25" t="s">
        <v>964</v>
      </c>
      <c r="G114" s="50">
        <v>0</v>
      </c>
      <c r="H114" s="25"/>
      <c r="I114" s="25"/>
      <c r="J114" s="25"/>
      <c r="K114" s="25"/>
      <c r="L114" s="25"/>
      <c r="M114" s="25"/>
      <c r="N114" s="25"/>
      <c r="O114" s="25"/>
      <c r="P114" s="25"/>
      <c r="Q114" s="50">
        <v>25663.200000000001</v>
      </c>
      <c r="R114" s="50">
        <v>1</v>
      </c>
      <c r="S114" s="37">
        <v>12</v>
      </c>
      <c r="T114" s="37">
        <v>12</v>
      </c>
      <c r="U114" s="37">
        <v>12</v>
      </c>
      <c r="V114" s="37">
        <v>12</v>
      </c>
      <c r="W114" s="37">
        <v>80.196998596191406</v>
      </c>
      <c r="X114" s="37">
        <v>80.196998596191406</v>
      </c>
      <c r="Y114" s="37">
        <v>80.196998596191406</v>
      </c>
      <c r="Z114" s="37">
        <v>80.196998596191406</v>
      </c>
      <c r="AA114" s="94">
        <v>0</v>
      </c>
      <c r="AB114" s="76"/>
      <c r="AC114" s="25"/>
      <c r="AD114" s="25"/>
      <c r="AE114" s="25"/>
      <c r="AF114" s="25"/>
      <c r="AG114" s="25"/>
      <c r="AH114" s="25"/>
      <c r="AI114" s="25"/>
      <c r="AJ114" s="25"/>
      <c r="AK114" s="25"/>
    </row>
    <row r="115" spans="1:37" x14ac:dyDescent="0.35">
      <c r="A115" s="1"/>
      <c r="B115" s="5"/>
      <c r="C115" s="25" t="s">
        <v>385</v>
      </c>
      <c r="D115" s="25" t="s">
        <v>933</v>
      </c>
      <c r="E115" s="25" t="s">
        <v>846</v>
      </c>
      <c r="F115" s="25" t="s">
        <v>965</v>
      </c>
      <c r="G115" s="50">
        <v>0</v>
      </c>
      <c r="H115" s="25"/>
      <c r="I115" s="25"/>
      <c r="J115" s="25"/>
      <c r="K115" s="25"/>
      <c r="L115" s="25"/>
      <c r="M115" s="25"/>
      <c r="N115" s="25"/>
      <c r="O115" s="25"/>
      <c r="P115" s="25"/>
      <c r="Q115" s="50">
        <v>116494.39200000001</v>
      </c>
      <c r="R115" s="50">
        <v>3</v>
      </c>
      <c r="S115" s="37">
        <v>11.8500003814697</v>
      </c>
      <c r="T115" s="37">
        <v>12.050000190734901</v>
      </c>
      <c r="U115" s="37">
        <v>11.927778032090901</v>
      </c>
      <c r="V115" s="37">
        <v>12.050000190734901</v>
      </c>
      <c r="W115" s="37">
        <v>107.832000732422</v>
      </c>
      <c r="X115" s="37">
        <v>107.890998840332</v>
      </c>
      <c r="Y115" s="37">
        <v>107.864777459039</v>
      </c>
      <c r="Z115" s="37">
        <v>107.832000732422</v>
      </c>
      <c r="AA115" s="94">
        <v>0</v>
      </c>
      <c r="AB115" s="76"/>
      <c r="AC115" s="25"/>
      <c r="AD115" s="25"/>
      <c r="AE115" s="25"/>
      <c r="AF115" s="25"/>
      <c r="AG115" s="25"/>
      <c r="AH115" s="25"/>
      <c r="AI115" s="25"/>
      <c r="AJ115" s="25"/>
      <c r="AK115" s="25"/>
    </row>
    <row r="116" spans="1:37" x14ac:dyDescent="0.35">
      <c r="A116" s="1"/>
      <c r="B116" s="5"/>
      <c r="C116" s="25" t="s">
        <v>389</v>
      </c>
      <c r="D116" s="25" t="s">
        <v>933</v>
      </c>
      <c r="E116" s="25" t="s">
        <v>966</v>
      </c>
      <c r="F116" s="25" t="s">
        <v>967</v>
      </c>
      <c r="G116" s="50">
        <v>15147.105138000001</v>
      </c>
      <c r="H116" s="50">
        <v>3</v>
      </c>
      <c r="I116" s="37">
        <v>11.918000221252401</v>
      </c>
      <c r="J116" s="37">
        <v>11.9799995422363</v>
      </c>
      <c r="K116" s="37">
        <v>11.9238145168376</v>
      </c>
      <c r="L116" s="37">
        <v>12</v>
      </c>
      <c r="M116" s="37">
        <v>68.146003723144503</v>
      </c>
      <c r="N116" s="37">
        <v>68.517997741699205</v>
      </c>
      <c r="O116" s="37">
        <v>68.483138821463299</v>
      </c>
      <c r="P116" s="37">
        <v>68.040000915527301</v>
      </c>
      <c r="Q116" s="50">
        <v>0</v>
      </c>
      <c r="R116" s="25"/>
      <c r="S116" s="25"/>
      <c r="T116" s="25"/>
      <c r="U116" s="25"/>
      <c r="V116" s="25"/>
      <c r="W116" s="25"/>
      <c r="X116" s="25"/>
      <c r="Y116" s="25"/>
      <c r="Z116" s="25"/>
      <c r="AA116" s="94">
        <v>0</v>
      </c>
      <c r="AB116" s="76"/>
      <c r="AC116" s="25"/>
      <c r="AD116" s="25"/>
      <c r="AE116" s="25"/>
      <c r="AF116" s="25"/>
      <c r="AG116" s="25"/>
      <c r="AH116" s="25"/>
      <c r="AI116" s="25"/>
      <c r="AJ116" s="25"/>
      <c r="AK116" s="25"/>
    </row>
    <row r="117" spans="1:37" x14ac:dyDescent="0.35">
      <c r="A117" s="1"/>
      <c r="B117" s="5"/>
      <c r="C117" s="25" t="s">
        <v>393</v>
      </c>
      <c r="D117" s="25" t="s">
        <v>933</v>
      </c>
      <c r="E117" s="25" t="s">
        <v>968</v>
      </c>
      <c r="F117" s="25" t="s">
        <v>969</v>
      </c>
      <c r="G117" s="50">
        <v>0</v>
      </c>
      <c r="H117" s="25"/>
      <c r="I117" s="25"/>
      <c r="J117" s="25"/>
      <c r="K117" s="25"/>
      <c r="L117" s="25"/>
      <c r="M117" s="25"/>
      <c r="N117" s="25"/>
      <c r="O117" s="25"/>
      <c r="P117" s="25"/>
      <c r="Q117" s="50">
        <v>11238.647999999999</v>
      </c>
      <c r="R117" s="50">
        <v>2</v>
      </c>
      <c r="S117" s="37">
        <v>12</v>
      </c>
      <c r="T117" s="37">
        <v>12</v>
      </c>
      <c r="U117" s="37">
        <v>12</v>
      </c>
      <c r="V117" s="37">
        <v>12</v>
      </c>
      <c r="W117" s="37">
        <v>102.13500213623</v>
      </c>
      <c r="X117" s="37">
        <v>102.505996704102</v>
      </c>
      <c r="Y117" s="37">
        <v>102.168728915128</v>
      </c>
      <c r="Z117" s="37">
        <v>102.13500213623</v>
      </c>
      <c r="AA117" s="94">
        <v>0</v>
      </c>
      <c r="AB117" s="76"/>
      <c r="AC117" s="25"/>
      <c r="AD117" s="25"/>
      <c r="AE117" s="25"/>
      <c r="AF117" s="25"/>
      <c r="AG117" s="25"/>
      <c r="AH117" s="25"/>
      <c r="AI117" s="25"/>
      <c r="AJ117" s="25"/>
      <c r="AK117" s="25"/>
    </row>
    <row r="118" spans="1:37" x14ac:dyDescent="0.35">
      <c r="A118" s="1"/>
      <c r="B118" s="5"/>
      <c r="C118" s="25" t="s">
        <v>429</v>
      </c>
      <c r="D118" s="25" t="s">
        <v>970</v>
      </c>
      <c r="E118" s="25" t="s">
        <v>971</v>
      </c>
      <c r="F118" s="25" t="s">
        <v>972</v>
      </c>
      <c r="G118" s="50">
        <v>0</v>
      </c>
      <c r="H118" s="25"/>
      <c r="I118" s="25"/>
      <c r="J118" s="25"/>
      <c r="K118" s="25"/>
      <c r="L118" s="25"/>
      <c r="M118" s="25"/>
      <c r="N118" s="25"/>
      <c r="O118" s="25"/>
      <c r="P118" s="25"/>
      <c r="Q118" s="50">
        <v>40933.358719000003</v>
      </c>
      <c r="R118" s="50">
        <v>4</v>
      </c>
      <c r="S118" s="37">
        <v>11</v>
      </c>
      <c r="T118" s="37">
        <v>12</v>
      </c>
      <c r="U118" s="37">
        <v>11.6020501462502</v>
      </c>
      <c r="V118" s="37">
        <v>12</v>
      </c>
      <c r="W118" s="37">
        <v>102.794998168945</v>
      </c>
      <c r="X118" s="37">
        <v>102.800003051758</v>
      </c>
      <c r="Y118" s="37">
        <v>102.798919752595</v>
      </c>
      <c r="Z118" s="37">
        <v>102.79900360107401</v>
      </c>
      <c r="AA118" s="94">
        <v>0</v>
      </c>
      <c r="AB118" s="76"/>
      <c r="AC118" s="25"/>
      <c r="AD118" s="25"/>
      <c r="AE118" s="25"/>
      <c r="AF118" s="25"/>
      <c r="AG118" s="25"/>
      <c r="AH118" s="25"/>
      <c r="AI118" s="25"/>
      <c r="AJ118" s="25"/>
      <c r="AK118" s="25"/>
    </row>
    <row r="119" spans="1:37" x14ac:dyDescent="0.35">
      <c r="A119" s="1"/>
      <c r="B119" s="5"/>
      <c r="C119" s="25" t="s">
        <v>973</v>
      </c>
      <c r="D119" s="25" t="s">
        <v>970</v>
      </c>
      <c r="E119" s="25" t="s">
        <v>974</v>
      </c>
      <c r="F119" s="25" t="s">
        <v>975</v>
      </c>
      <c r="G119" s="50">
        <v>0</v>
      </c>
      <c r="H119" s="25"/>
      <c r="I119" s="25"/>
      <c r="J119" s="25"/>
      <c r="K119" s="25"/>
      <c r="L119" s="25"/>
      <c r="M119" s="25"/>
      <c r="N119" s="25"/>
      <c r="O119" s="25"/>
      <c r="P119" s="25"/>
      <c r="Q119" s="50">
        <v>811883.02922599996</v>
      </c>
      <c r="R119" s="50">
        <v>29</v>
      </c>
      <c r="S119" s="37">
        <v>11.75</v>
      </c>
      <c r="T119" s="37">
        <v>12.001000404357899</v>
      </c>
      <c r="U119" s="37">
        <v>11.988760947807799</v>
      </c>
      <c r="V119" s="37">
        <v>12</v>
      </c>
      <c r="W119" s="37">
        <v>99.768997192382798</v>
      </c>
      <c r="X119" s="37">
        <v>99.957000732421903</v>
      </c>
      <c r="Y119" s="37">
        <v>99.8175138962457</v>
      </c>
      <c r="Z119" s="37">
        <v>99.802001953125</v>
      </c>
      <c r="AA119" s="94">
        <v>0</v>
      </c>
      <c r="AB119" s="76"/>
      <c r="AC119" s="25"/>
      <c r="AD119" s="25"/>
      <c r="AE119" s="25"/>
      <c r="AF119" s="25"/>
      <c r="AG119" s="25"/>
      <c r="AH119" s="25"/>
      <c r="AI119" s="25"/>
      <c r="AJ119" s="25"/>
      <c r="AK119" s="25"/>
    </row>
    <row r="120" spans="1:37" x14ac:dyDescent="0.35">
      <c r="A120" s="1"/>
      <c r="B120" s="5"/>
      <c r="C120" s="25" t="s">
        <v>441</v>
      </c>
      <c r="D120" s="25" t="s">
        <v>970</v>
      </c>
      <c r="E120" s="25" t="s">
        <v>976</v>
      </c>
      <c r="F120" s="25" t="s">
        <v>977</v>
      </c>
      <c r="G120" s="50">
        <v>0</v>
      </c>
      <c r="H120" s="25"/>
      <c r="I120" s="25"/>
      <c r="J120" s="25"/>
      <c r="K120" s="25"/>
      <c r="L120" s="25"/>
      <c r="M120" s="25"/>
      <c r="N120" s="25"/>
      <c r="O120" s="25"/>
      <c r="P120" s="25"/>
      <c r="Q120" s="50">
        <v>22246.980097</v>
      </c>
      <c r="R120" s="50">
        <v>2</v>
      </c>
      <c r="S120" s="37">
        <v>12</v>
      </c>
      <c r="T120" s="37">
        <v>12</v>
      </c>
      <c r="U120" s="37">
        <v>12</v>
      </c>
      <c r="V120" s="37">
        <v>12</v>
      </c>
      <c r="W120" s="37">
        <v>82.345001220703097</v>
      </c>
      <c r="X120" s="37">
        <v>82.345001220703097</v>
      </c>
      <c r="Y120" s="37">
        <v>82.345001220703097</v>
      </c>
      <c r="Z120" s="37">
        <v>82.345001220703097</v>
      </c>
      <c r="AA120" s="94">
        <v>0</v>
      </c>
      <c r="AB120" s="76"/>
      <c r="AC120" s="25"/>
      <c r="AD120" s="25"/>
      <c r="AE120" s="25"/>
      <c r="AF120" s="25"/>
      <c r="AG120" s="25"/>
      <c r="AH120" s="25"/>
      <c r="AI120" s="25"/>
      <c r="AJ120" s="25"/>
      <c r="AK120" s="25"/>
    </row>
    <row r="121" spans="1:37" x14ac:dyDescent="0.35">
      <c r="A121" s="1"/>
      <c r="B121" s="5"/>
      <c r="C121" s="25" t="s">
        <v>449</v>
      </c>
      <c r="D121" s="25" t="s">
        <v>970</v>
      </c>
      <c r="E121" s="25" t="s">
        <v>978</v>
      </c>
      <c r="F121" s="25" t="s">
        <v>979</v>
      </c>
      <c r="G121" s="50">
        <v>0</v>
      </c>
      <c r="H121" s="25"/>
      <c r="I121" s="25"/>
      <c r="J121" s="25"/>
      <c r="K121" s="25"/>
      <c r="L121" s="25"/>
      <c r="M121" s="25"/>
      <c r="N121" s="25"/>
      <c r="O121" s="25"/>
      <c r="P121" s="25"/>
      <c r="Q121" s="50">
        <v>138736.97756100001</v>
      </c>
      <c r="R121" s="50">
        <v>1</v>
      </c>
      <c r="S121" s="37">
        <v>12.001000404357899</v>
      </c>
      <c r="T121" s="37">
        <v>12.001000404357899</v>
      </c>
      <c r="U121" s="37">
        <v>12.001000404357899</v>
      </c>
      <c r="V121" s="37">
        <v>12.001000404357899</v>
      </c>
      <c r="W121" s="37">
        <v>83.446998596191406</v>
      </c>
      <c r="X121" s="37">
        <v>83.446998596191406</v>
      </c>
      <c r="Y121" s="37">
        <v>83.446998596191406</v>
      </c>
      <c r="Z121" s="37">
        <v>83.446998596191406</v>
      </c>
      <c r="AA121" s="94">
        <v>0</v>
      </c>
      <c r="AB121" s="76"/>
      <c r="AC121" s="25"/>
      <c r="AD121" s="25"/>
      <c r="AE121" s="25"/>
      <c r="AF121" s="25"/>
      <c r="AG121" s="25"/>
      <c r="AH121" s="25"/>
      <c r="AI121" s="25"/>
      <c r="AJ121" s="25"/>
      <c r="AK121" s="25"/>
    </row>
    <row r="122" spans="1:37" x14ac:dyDescent="0.35">
      <c r="A122" s="1"/>
      <c r="B122" s="5"/>
      <c r="C122" s="25" t="s">
        <v>461</v>
      </c>
      <c r="D122" s="25" t="s">
        <v>970</v>
      </c>
      <c r="E122" s="25" t="s">
        <v>980</v>
      </c>
      <c r="F122" s="25" t="s">
        <v>981</v>
      </c>
      <c r="G122" s="50">
        <v>0</v>
      </c>
      <c r="H122" s="25"/>
      <c r="I122" s="25"/>
      <c r="J122" s="25"/>
      <c r="K122" s="25"/>
      <c r="L122" s="25"/>
      <c r="M122" s="25"/>
      <c r="N122" s="25"/>
      <c r="O122" s="25"/>
      <c r="P122" s="25"/>
      <c r="Q122" s="50">
        <v>0</v>
      </c>
      <c r="R122" s="25"/>
      <c r="S122" s="25"/>
      <c r="T122" s="25"/>
      <c r="U122" s="25"/>
      <c r="V122" s="25"/>
      <c r="W122" s="25"/>
      <c r="X122" s="25"/>
      <c r="Y122" s="25"/>
      <c r="Z122" s="25"/>
      <c r="AA122" s="94">
        <v>58065.344534999997</v>
      </c>
      <c r="AB122" s="76"/>
      <c r="AC122" s="50">
        <v>1</v>
      </c>
      <c r="AD122" s="37">
        <v>0</v>
      </c>
      <c r="AE122" s="37">
        <v>0</v>
      </c>
      <c r="AF122" s="37">
        <v>0</v>
      </c>
      <c r="AG122" s="37">
        <v>0</v>
      </c>
      <c r="AH122" s="37">
        <v>107.46099853515599</v>
      </c>
      <c r="AI122" s="37">
        <v>107.46099853515599</v>
      </c>
      <c r="AJ122" s="37">
        <v>107.46099853515599</v>
      </c>
      <c r="AK122" s="37">
        <v>107.46099853515599</v>
      </c>
    </row>
    <row r="123" spans="1:37" x14ac:dyDescent="0.35">
      <c r="A123" s="1"/>
      <c r="B123" s="5"/>
      <c r="C123" s="51" t="s">
        <v>609</v>
      </c>
      <c r="D123" s="52" t="s">
        <v>5</v>
      </c>
      <c r="E123" s="52" t="s">
        <v>5</v>
      </c>
      <c r="F123" s="52" t="s">
        <v>5</v>
      </c>
      <c r="G123" s="53">
        <v>739298.17425799998</v>
      </c>
      <c r="H123" s="53">
        <v>85</v>
      </c>
      <c r="I123" s="63">
        <v>381.08899974822998</v>
      </c>
      <c r="J123" s="63">
        <v>382.549999237061</v>
      </c>
      <c r="K123" s="63">
        <v>381.87342477226298</v>
      </c>
      <c r="L123" s="63">
        <v>382.35500049591099</v>
      </c>
      <c r="M123" s="63">
        <v>3543.3100280761701</v>
      </c>
      <c r="N123" s="63">
        <v>3546.2450103759802</v>
      </c>
      <c r="O123" s="63">
        <v>3544.6082907159898</v>
      </c>
      <c r="P123" s="63">
        <v>3543.9310226440398</v>
      </c>
      <c r="Q123" s="53">
        <v>6029587.9795610001</v>
      </c>
      <c r="R123" s="53">
        <v>258</v>
      </c>
      <c r="S123" s="63">
        <v>951.21299266815197</v>
      </c>
      <c r="T123" s="63">
        <v>963.81799316406295</v>
      </c>
      <c r="U123" s="63">
        <v>959.14607754033898</v>
      </c>
      <c r="V123" s="63">
        <v>961.26599216461204</v>
      </c>
      <c r="W123" s="63">
        <v>7842.4909896850604</v>
      </c>
      <c r="X123" s="63">
        <v>7849.9969863891602</v>
      </c>
      <c r="Y123" s="63">
        <v>7845.4616729047502</v>
      </c>
      <c r="Z123" s="63">
        <v>7844.7350006103497</v>
      </c>
      <c r="AA123" s="95">
        <v>58065.344534999997</v>
      </c>
      <c r="AB123" s="76"/>
      <c r="AC123" s="53">
        <v>1</v>
      </c>
      <c r="AD123" s="63">
        <v>0</v>
      </c>
      <c r="AE123" s="63">
        <v>0</v>
      </c>
      <c r="AF123" s="63">
        <v>0</v>
      </c>
      <c r="AG123" s="63">
        <v>0</v>
      </c>
      <c r="AH123" s="63">
        <v>107.46099853515599</v>
      </c>
      <c r="AI123" s="63">
        <v>107.46099853515599</v>
      </c>
      <c r="AJ123" s="63">
        <v>107.46099853515599</v>
      </c>
      <c r="AK123" s="63">
        <v>107.46099853515599</v>
      </c>
    </row>
    <row r="124" spans="1:37" ht="18" customHeight="1" x14ac:dyDescent="0.35">
      <c r="A124" s="1"/>
      <c r="B124" s="5"/>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6"/>
    </row>
    <row r="125" spans="1:37" ht="15.15" customHeight="1" x14ac:dyDescent="0.35">
      <c r="A125" s="1"/>
      <c r="B125" s="5"/>
      <c r="C125" s="91" t="s">
        <v>982</v>
      </c>
      <c r="D125" s="67"/>
      <c r="E125" s="67"/>
      <c r="F125" s="67"/>
      <c r="G125" s="67"/>
      <c r="H125" s="67"/>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6"/>
    </row>
    <row r="126" spans="1:37" ht="20.9" customHeight="1" x14ac:dyDescent="0.35">
      <c r="A126" s="1"/>
      <c r="B126" s="5"/>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6"/>
    </row>
    <row r="127" spans="1:37" x14ac:dyDescent="0.35">
      <c r="A127" s="1"/>
      <c r="B127" s="5"/>
      <c r="C127" s="14" t="s">
        <v>5</v>
      </c>
      <c r="D127" s="14" t="s">
        <v>5</v>
      </c>
      <c r="E127" s="14" t="s">
        <v>5</v>
      </c>
      <c r="F127" s="61" t="s">
        <v>5</v>
      </c>
      <c r="G127" s="74" t="s">
        <v>758</v>
      </c>
      <c r="H127" s="75"/>
      <c r="I127" s="75"/>
      <c r="J127" s="75"/>
      <c r="K127" s="75"/>
      <c r="L127" s="75"/>
      <c r="M127" s="75"/>
      <c r="N127" s="75"/>
      <c r="O127" s="75"/>
      <c r="P127" s="76"/>
      <c r="Q127" s="74" t="s">
        <v>759</v>
      </c>
      <c r="R127" s="75"/>
      <c r="S127" s="75"/>
      <c r="T127" s="75"/>
      <c r="U127" s="75"/>
      <c r="V127" s="75"/>
      <c r="W127" s="75"/>
      <c r="X127" s="75"/>
      <c r="Y127" s="75"/>
      <c r="Z127" s="76"/>
      <c r="AA127" s="1"/>
      <c r="AB127" s="1"/>
      <c r="AC127" s="1"/>
      <c r="AD127" s="1"/>
      <c r="AE127" s="1"/>
      <c r="AF127" s="1"/>
      <c r="AG127" s="1"/>
      <c r="AH127" s="1"/>
      <c r="AI127" s="1"/>
      <c r="AJ127" s="1"/>
      <c r="AK127" s="6"/>
    </row>
    <row r="128" spans="1:37" x14ac:dyDescent="0.35">
      <c r="A128" s="1"/>
      <c r="B128" s="5"/>
      <c r="C128" s="59" t="s">
        <v>5</v>
      </c>
      <c r="D128" s="59" t="s">
        <v>5</v>
      </c>
      <c r="E128" s="59" t="s">
        <v>5</v>
      </c>
      <c r="F128" s="60" t="s">
        <v>5</v>
      </c>
      <c r="G128" s="62" t="s">
        <v>5</v>
      </c>
      <c r="H128" s="62" t="s">
        <v>5</v>
      </c>
      <c r="I128" s="92" t="s">
        <v>760</v>
      </c>
      <c r="J128" s="75"/>
      <c r="K128" s="75"/>
      <c r="L128" s="76"/>
      <c r="M128" s="92" t="s">
        <v>761</v>
      </c>
      <c r="N128" s="75"/>
      <c r="O128" s="75"/>
      <c r="P128" s="76"/>
      <c r="Q128" s="62" t="s">
        <v>5</v>
      </c>
      <c r="R128" s="62" t="s">
        <v>5</v>
      </c>
      <c r="S128" s="92" t="s">
        <v>760</v>
      </c>
      <c r="T128" s="75"/>
      <c r="U128" s="75"/>
      <c r="V128" s="76"/>
      <c r="W128" s="92" t="s">
        <v>761</v>
      </c>
      <c r="X128" s="75"/>
      <c r="Y128" s="75"/>
      <c r="Z128" s="76"/>
      <c r="AA128" s="1"/>
      <c r="AB128" s="1"/>
      <c r="AC128" s="1"/>
      <c r="AD128" s="1"/>
      <c r="AE128" s="1"/>
      <c r="AF128" s="1"/>
      <c r="AG128" s="1"/>
      <c r="AH128" s="1"/>
      <c r="AI128" s="1"/>
      <c r="AJ128" s="1"/>
      <c r="AK128" s="6"/>
    </row>
    <row r="129" spans="1:37" x14ac:dyDescent="0.35">
      <c r="A129" s="1"/>
      <c r="B129" s="5"/>
      <c r="C129" s="23" t="s">
        <v>328</v>
      </c>
      <c r="D129" s="23" t="s">
        <v>755</v>
      </c>
      <c r="E129" s="23" t="s">
        <v>756</v>
      </c>
      <c r="F129" s="23" t="s">
        <v>681</v>
      </c>
      <c r="G129" s="23" t="s">
        <v>643</v>
      </c>
      <c r="H129" s="23" t="s">
        <v>641</v>
      </c>
      <c r="I129" s="23" t="s">
        <v>762</v>
      </c>
      <c r="J129" s="23" t="s">
        <v>763</v>
      </c>
      <c r="K129" s="23" t="s">
        <v>764</v>
      </c>
      <c r="L129" s="23" t="s">
        <v>765</v>
      </c>
      <c r="M129" s="23" t="s">
        <v>762</v>
      </c>
      <c r="N129" s="23" t="s">
        <v>763</v>
      </c>
      <c r="O129" s="23" t="s">
        <v>764</v>
      </c>
      <c r="P129" s="23" t="s">
        <v>765</v>
      </c>
      <c r="Q129" s="23" t="s">
        <v>643</v>
      </c>
      <c r="R129" s="23" t="s">
        <v>641</v>
      </c>
      <c r="S129" s="23" t="s">
        <v>762</v>
      </c>
      <c r="T129" s="23" t="s">
        <v>763</v>
      </c>
      <c r="U129" s="23" t="s">
        <v>764</v>
      </c>
      <c r="V129" s="23" t="s">
        <v>765</v>
      </c>
      <c r="W129" s="23" t="s">
        <v>762</v>
      </c>
      <c r="X129" s="23" t="s">
        <v>763</v>
      </c>
      <c r="Y129" s="23" t="s">
        <v>764</v>
      </c>
      <c r="Z129" s="23" t="s">
        <v>765</v>
      </c>
      <c r="AA129" s="1"/>
      <c r="AB129" s="1"/>
      <c r="AC129" s="1"/>
      <c r="AD129" s="1"/>
      <c r="AE129" s="1"/>
      <c r="AF129" s="1"/>
      <c r="AG129" s="1"/>
      <c r="AH129" s="1"/>
      <c r="AI129" s="1"/>
      <c r="AJ129" s="1"/>
      <c r="AK129" s="6"/>
    </row>
    <row r="130" spans="1:37" x14ac:dyDescent="0.35">
      <c r="A130" s="1"/>
      <c r="B130" s="5"/>
      <c r="C130" s="25" t="s">
        <v>983</v>
      </c>
      <c r="D130" s="25" t="s">
        <v>767</v>
      </c>
      <c r="E130" s="25" t="s">
        <v>504</v>
      </c>
      <c r="F130" s="25" t="s">
        <v>984</v>
      </c>
      <c r="G130" s="50">
        <v>6909.4340000000002</v>
      </c>
      <c r="H130" s="50">
        <v>13</v>
      </c>
      <c r="I130" s="37">
        <v>12.800000190734901</v>
      </c>
      <c r="J130" s="37">
        <v>13.199999809265099</v>
      </c>
      <c r="K130" s="37">
        <v>12.9468430688553</v>
      </c>
      <c r="L130" s="37">
        <v>12.8500003814697</v>
      </c>
      <c r="M130" s="37">
        <v>101.06500244140599</v>
      </c>
      <c r="N130" s="37">
        <v>101.69000244140599</v>
      </c>
      <c r="O130" s="37">
        <v>101.460119037376</v>
      </c>
      <c r="P130" s="37">
        <v>101.611000061035</v>
      </c>
      <c r="Q130" s="50">
        <v>0</v>
      </c>
      <c r="R130" s="25"/>
      <c r="S130" s="25"/>
      <c r="T130" s="25"/>
      <c r="U130" s="25"/>
      <c r="V130" s="25"/>
      <c r="W130" s="25"/>
      <c r="X130" s="25"/>
      <c r="Y130" s="25"/>
      <c r="Z130" s="25"/>
      <c r="AA130" s="1"/>
      <c r="AB130" s="1"/>
      <c r="AC130" s="1"/>
      <c r="AD130" s="1"/>
      <c r="AE130" s="1"/>
      <c r="AF130" s="1"/>
      <c r="AG130" s="1"/>
      <c r="AH130" s="1"/>
      <c r="AI130" s="1"/>
      <c r="AJ130" s="1"/>
      <c r="AK130" s="6"/>
    </row>
    <row r="131" spans="1:37" x14ac:dyDescent="0.35">
      <c r="A131" s="1"/>
      <c r="B131" s="5"/>
      <c r="C131" s="25" t="s">
        <v>766</v>
      </c>
      <c r="D131" s="25" t="s">
        <v>767</v>
      </c>
      <c r="E131" s="25" t="s">
        <v>504</v>
      </c>
      <c r="F131" s="25" t="s">
        <v>768</v>
      </c>
      <c r="G131" s="50">
        <v>4344.7245499999999</v>
      </c>
      <c r="H131" s="50">
        <v>10</v>
      </c>
      <c r="I131" s="37">
        <v>12.6499996185303</v>
      </c>
      <c r="J131" s="37">
        <v>12.800000190734901</v>
      </c>
      <c r="K131" s="37">
        <v>12.7033606259159</v>
      </c>
      <c r="L131" s="37">
        <v>12.6599998474121</v>
      </c>
      <c r="M131" s="37">
        <v>101.890998840332</v>
      </c>
      <c r="N131" s="37">
        <v>102.228996276855</v>
      </c>
      <c r="O131" s="37">
        <v>102.108683549139</v>
      </c>
      <c r="P131" s="37">
        <v>102.207000732422</v>
      </c>
      <c r="Q131" s="50">
        <v>0</v>
      </c>
      <c r="R131" s="25"/>
      <c r="S131" s="25"/>
      <c r="T131" s="25"/>
      <c r="U131" s="25"/>
      <c r="V131" s="25"/>
      <c r="W131" s="25"/>
      <c r="X131" s="25"/>
      <c r="Y131" s="25"/>
      <c r="Z131" s="25"/>
      <c r="AA131" s="1"/>
      <c r="AB131" s="1"/>
      <c r="AC131" s="1"/>
      <c r="AD131" s="1"/>
      <c r="AE131" s="1"/>
      <c r="AF131" s="1"/>
      <c r="AG131" s="1"/>
      <c r="AH131" s="1"/>
      <c r="AI131" s="1"/>
      <c r="AJ131" s="1"/>
      <c r="AK131" s="6"/>
    </row>
    <row r="132" spans="1:37" x14ac:dyDescent="0.35">
      <c r="A132" s="1"/>
      <c r="B132" s="5"/>
      <c r="C132" s="25" t="s">
        <v>985</v>
      </c>
      <c r="D132" s="25" t="s">
        <v>767</v>
      </c>
      <c r="E132" s="25" t="s">
        <v>986</v>
      </c>
      <c r="F132" s="25" t="s">
        <v>987</v>
      </c>
      <c r="G132" s="50">
        <v>111.74166</v>
      </c>
      <c r="H132" s="50">
        <v>1</v>
      </c>
      <c r="I132" s="37">
        <v>12.6300001144409</v>
      </c>
      <c r="J132" s="37">
        <v>12.6300001144409</v>
      </c>
      <c r="K132" s="37">
        <v>12.6300001144409</v>
      </c>
      <c r="L132" s="37">
        <v>12.6300001144409</v>
      </c>
      <c r="M132" s="37">
        <v>98.018997192382798</v>
      </c>
      <c r="N132" s="37">
        <v>98.018997192382798</v>
      </c>
      <c r="O132" s="37">
        <v>98.018997192382798</v>
      </c>
      <c r="P132" s="37">
        <v>98.018997192382798</v>
      </c>
      <c r="Q132" s="50">
        <v>0</v>
      </c>
      <c r="R132" s="25"/>
      <c r="S132" s="25"/>
      <c r="T132" s="25"/>
      <c r="U132" s="25"/>
      <c r="V132" s="25"/>
      <c r="W132" s="25"/>
      <c r="X132" s="25"/>
      <c r="Y132" s="25"/>
      <c r="Z132" s="25"/>
      <c r="AA132" s="1"/>
      <c r="AB132" s="1"/>
      <c r="AC132" s="1"/>
      <c r="AD132" s="1"/>
      <c r="AE132" s="1"/>
      <c r="AF132" s="1"/>
      <c r="AG132" s="1"/>
      <c r="AH132" s="1"/>
      <c r="AI132" s="1"/>
      <c r="AJ132" s="1"/>
      <c r="AK132" s="6"/>
    </row>
    <row r="133" spans="1:37" x14ac:dyDescent="0.35">
      <c r="A133" s="1"/>
      <c r="B133" s="5"/>
      <c r="C133" s="25" t="s">
        <v>988</v>
      </c>
      <c r="D133" s="25" t="s">
        <v>767</v>
      </c>
      <c r="E133" s="25" t="s">
        <v>989</v>
      </c>
      <c r="F133" s="25" t="s">
        <v>990</v>
      </c>
      <c r="G133" s="50">
        <v>2999.55</v>
      </c>
      <c r="H133" s="50">
        <v>1</v>
      </c>
      <c r="I133" s="37">
        <v>11.8999996185303</v>
      </c>
      <c r="J133" s="37">
        <v>11.8999996185303</v>
      </c>
      <c r="K133" s="37">
        <v>11.8999996185303</v>
      </c>
      <c r="L133" s="37">
        <v>11.8999996185303</v>
      </c>
      <c r="M133" s="37">
        <v>99.985000610351605</v>
      </c>
      <c r="N133" s="37">
        <v>99.985000610351605</v>
      </c>
      <c r="O133" s="37">
        <v>99.985000610351605</v>
      </c>
      <c r="P133" s="37">
        <v>99.985000610351605</v>
      </c>
      <c r="Q133" s="50">
        <v>0</v>
      </c>
      <c r="R133" s="25"/>
      <c r="S133" s="25"/>
      <c r="T133" s="25"/>
      <c r="U133" s="25"/>
      <c r="V133" s="25"/>
      <c r="W133" s="25"/>
      <c r="X133" s="25"/>
      <c r="Y133" s="25"/>
      <c r="Z133" s="25"/>
      <c r="AA133" s="1"/>
      <c r="AB133" s="1"/>
      <c r="AC133" s="1"/>
      <c r="AD133" s="1"/>
      <c r="AE133" s="1"/>
      <c r="AF133" s="1"/>
      <c r="AG133" s="1"/>
      <c r="AH133" s="1"/>
      <c r="AI133" s="1"/>
      <c r="AJ133" s="1"/>
      <c r="AK133" s="6"/>
    </row>
    <row r="134" spans="1:37" x14ac:dyDescent="0.35">
      <c r="A134" s="1"/>
      <c r="B134" s="5"/>
      <c r="C134" s="25" t="s">
        <v>991</v>
      </c>
      <c r="D134" s="25" t="s">
        <v>767</v>
      </c>
      <c r="E134" s="25" t="s">
        <v>992</v>
      </c>
      <c r="F134" s="25" t="s">
        <v>993</v>
      </c>
      <c r="G134" s="50">
        <v>103.2675</v>
      </c>
      <c r="H134" s="50">
        <v>1</v>
      </c>
      <c r="I134" s="37">
        <v>13</v>
      </c>
      <c r="J134" s="37">
        <v>13</v>
      </c>
      <c r="K134" s="37">
        <v>13</v>
      </c>
      <c r="L134" s="37">
        <v>13</v>
      </c>
      <c r="M134" s="37">
        <v>98.349998474121094</v>
      </c>
      <c r="N134" s="37">
        <v>98.349998474121094</v>
      </c>
      <c r="O134" s="37">
        <v>98.349998474121094</v>
      </c>
      <c r="P134" s="37">
        <v>98.349998474121094</v>
      </c>
      <c r="Q134" s="50">
        <v>0</v>
      </c>
      <c r="R134" s="25"/>
      <c r="S134" s="25"/>
      <c r="T134" s="25"/>
      <c r="U134" s="25"/>
      <c r="V134" s="25"/>
      <c r="W134" s="25"/>
      <c r="X134" s="25"/>
      <c r="Y134" s="25"/>
      <c r="Z134" s="25"/>
      <c r="AA134" s="1"/>
      <c r="AB134" s="1"/>
      <c r="AC134" s="1"/>
      <c r="AD134" s="1"/>
      <c r="AE134" s="1"/>
      <c r="AF134" s="1"/>
      <c r="AG134" s="1"/>
      <c r="AH134" s="1"/>
      <c r="AI134" s="1"/>
      <c r="AJ134" s="1"/>
      <c r="AK134" s="6"/>
    </row>
    <row r="135" spans="1:37" x14ac:dyDescent="0.35">
      <c r="A135" s="1"/>
      <c r="B135" s="5"/>
      <c r="C135" s="25" t="s">
        <v>785</v>
      </c>
      <c r="D135" s="25" t="s">
        <v>786</v>
      </c>
      <c r="E135" s="25" t="s">
        <v>787</v>
      </c>
      <c r="F135" s="25" t="s">
        <v>788</v>
      </c>
      <c r="G135" s="50">
        <v>2010.47</v>
      </c>
      <c r="H135" s="50">
        <v>2</v>
      </c>
      <c r="I135" s="37">
        <v>13.3999996185303</v>
      </c>
      <c r="J135" s="37">
        <v>13.5</v>
      </c>
      <c r="K135" s="37">
        <v>13.449999809265099</v>
      </c>
      <c r="L135" s="37">
        <v>13.3999996185303</v>
      </c>
      <c r="M135" s="37">
        <v>100.44100189209</v>
      </c>
      <c r="N135" s="37">
        <v>100.606002807617</v>
      </c>
      <c r="O135" s="37">
        <v>100.523502349854</v>
      </c>
      <c r="P135" s="37">
        <v>100.606002807617</v>
      </c>
      <c r="Q135" s="50">
        <v>0</v>
      </c>
      <c r="R135" s="25"/>
      <c r="S135" s="25"/>
      <c r="T135" s="25"/>
      <c r="U135" s="25"/>
      <c r="V135" s="25"/>
      <c r="W135" s="25"/>
      <c r="X135" s="25"/>
      <c r="Y135" s="25"/>
      <c r="Z135" s="25"/>
      <c r="AA135" s="1"/>
      <c r="AB135" s="1"/>
      <c r="AC135" s="1"/>
      <c r="AD135" s="1"/>
      <c r="AE135" s="1"/>
      <c r="AF135" s="1"/>
      <c r="AG135" s="1"/>
      <c r="AH135" s="1"/>
      <c r="AI135" s="1"/>
      <c r="AJ135" s="1"/>
      <c r="AK135" s="6"/>
    </row>
    <row r="136" spans="1:37" x14ac:dyDescent="0.35">
      <c r="A136" s="1"/>
      <c r="B136" s="5"/>
      <c r="C136" s="25" t="s">
        <v>994</v>
      </c>
      <c r="D136" s="25" t="s">
        <v>767</v>
      </c>
      <c r="E136" s="25" t="s">
        <v>995</v>
      </c>
      <c r="F136" s="25" t="s">
        <v>996</v>
      </c>
      <c r="G136" s="50">
        <v>5132.25</v>
      </c>
      <c r="H136" s="50">
        <v>2</v>
      </c>
      <c r="I136" s="37">
        <v>13.6000003814697</v>
      </c>
      <c r="J136" s="37">
        <v>13.7700004577637</v>
      </c>
      <c r="K136" s="37">
        <v>13.685000419616699</v>
      </c>
      <c r="L136" s="37">
        <v>13.7700004577637</v>
      </c>
      <c r="M136" s="37">
        <v>85.351997375488295</v>
      </c>
      <c r="N136" s="37">
        <v>85.722999572753906</v>
      </c>
      <c r="O136" s="37">
        <v>85.537498474121094</v>
      </c>
      <c r="P136" s="37">
        <v>85.351997375488295</v>
      </c>
      <c r="Q136" s="50">
        <v>0</v>
      </c>
      <c r="R136" s="25"/>
      <c r="S136" s="25"/>
      <c r="T136" s="25"/>
      <c r="U136" s="25"/>
      <c r="V136" s="25"/>
      <c r="W136" s="25"/>
      <c r="X136" s="25"/>
      <c r="Y136" s="25"/>
      <c r="Z136" s="25"/>
      <c r="AA136" s="1"/>
      <c r="AB136" s="1"/>
      <c r="AC136" s="1"/>
      <c r="AD136" s="1"/>
      <c r="AE136" s="1"/>
      <c r="AF136" s="1"/>
      <c r="AG136" s="1"/>
      <c r="AH136" s="1"/>
      <c r="AI136" s="1"/>
      <c r="AJ136" s="1"/>
      <c r="AK136" s="6"/>
    </row>
    <row r="137" spans="1:37" x14ac:dyDescent="0.35">
      <c r="A137" s="1"/>
      <c r="B137" s="5"/>
      <c r="C137" s="25" t="s">
        <v>688</v>
      </c>
      <c r="D137" s="25" t="s">
        <v>799</v>
      </c>
      <c r="E137" s="25" t="s">
        <v>997</v>
      </c>
      <c r="F137" s="25" t="s">
        <v>878</v>
      </c>
      <c r="G137" s="50">
        <v>2014.87</v>
      </c>
      <c r="H137" s="50">
        <v>3</v>
      </c>
      <c r="I137" s="37">
        <v>13.1400003433228</v>
      </c>
      <c r="J137" s="37">
        <v>13.1599998474121</v>
      </c>
      <c r="K137" s="37">
        <v>13.1500000953674</v>
      </c>
      <c r="L137" s="37">
        <v>13.1599998474121</v>
      </c>
      <c r="M137" s="37">
        <v>100.73699951171901</v>
      </c>
      <c r="N137" s="37">
        <v>100.75</v>
      </c>
      <c r="O137" s="37">
        <v>100.74349975585901</v>
      </c>
      <c r="P137" s="37">
        <v>100.73699951171901</v>
      </c>
      <c r="Q137" s="50">
        <v>0</v>
      </c>
      <c r="R137" s="25"/>
      <c r="S137" s="25"/>
      <c r="T137" s="25"/>
      <c r="U137" s="25"/>
      <c r="V137" s="25"/>
      <c r="W137" s="25"/>
      <c r="X137" s="25"/>
      <c r="Y137" s="25"/>
      <c r="Z137" s="25"/>
      <c r="AA137" s="1"/>
      <c r="AB137" s="1"/>
      <c r="AC137" s="1"/>
      <c r="AD137" s="1"/>
      <c r="AE137" s="1"/>
      <c r="AF137" s="1"/>
      <c r="AG137" s="1"/>
      <c r="AH137" s="1"/>
      <c r="AI137" s="1"/>
      <c r="AJ137" s="1"/>
      <c r="AK137" s="6"/>
    </row>
    <row r="138" spans="1:37" x14ac:dyDescent="0.35">
      <c r="A138" s="1"/>
      <c r="B138" s="5"/>
      <c r="C138" s="25" t="s">
        <v>688</v>
      </c>
      <c r="D138" s="25" t="s">
        <v>799</v>
      </c>
      <c r="E138" s="25" t="s">
        <v>998</v>
      </c>
      <c r="F138" s="25" t="s">
        <v>999</v>
      </c>
      <c r="G138" s="50">
        <v>12052.86</v>
      </c>
      <c r="H138" s="50">
        <v>2</v>
      </c>
      <c r="I138" s="37">
        <v>12.1000003814697</v>
      </c>
      <c r="J138" s="37">
        <v>12.1599998474121</v>
      </c>
      <c r="K138" s="37">
        <v>12.1300001144409</v>
      </c>
      <c r="L138" s="37">
        <v>12.1599998474121</v>
      </c>
      <c r="M138" s="37">
        <v>100.431999206543</v>
      </c>
      <c r="N138" s="37">
        <v>100.44899749755901</v>
      </c>
      <c r="O138" s="37">
        <v>100.44049835205099</v>
      </c>
      <c r="P138" s="37">
        <v>100.431999206543</v>
      </c>
      <c r="Q138" s="50">
        <v>0</v>
      </c>
      <c r="R138" s="25"/>
      <c r="S138" s="25"/>
      <c r="T138" s="25"/>
      <c r="U138" s="25"/>
      <c r="V138" s="25"/>
      <c r="W138" s="25"/>
      <c r="X138" s="25"/>
      <c r="Y138" s="25"/>
      <c r="Z138" s="25"/>
      <c r="AA138" s="1"/>
      <c r="AB138" s="1"/>
      <c r="AC138" s="1"/>
      <c r="AD138" s="1"/>
      <c r="AE138" s="1"/>
      <c r="AF138" s="1"/>
      <c r="AG138" s="1"/>
      <c r="AH138" s="1"/>
      <c r="AI138" s="1"/>
      <c r="AJ138" s="1"/>
      <c r="AK138" s="6"/>
    </row>
    <row r="139" spans="1:37" x14ac:dyDescent="0.35">
      <c r="A139" s="1"/>
      <c r="B139" s="5"/>
      <c r="C139" s="25" t="s">
        <v>688</v>
      </c>
      <c r="D139" s="25" t="s">
        <v>799</v>
      </c>
      <c r="E139" s="25" t="s">
        <v>516</v>
      </c>
      <c r="F139" s="25" t="s">
        <v>689</v>
      </c>
      <c r="G139" s="50">
        <v>28009.1</v>
      </c>
      <c r="H139" s="50">
        <v>4</v>
      </c>
      <c r="I139" s="37">
        <v>13.1000003814697</v>
      </c>
      <c r="J139" s="37">
        <v>13.1230001449585</v>
      </c>
      <c r="K139" s="37">
        <v>13.111500263214101</v>
      </c>
      <c r="L139" s="37">
        <v>13.1000003814697</v>
      </c>
      <c r="M139" s="37">
        <v>100.022003173828</v>
      </c>
      <c r="N139" s="37">
        <v>100.042999267578</v>
      </c>
      <c r="O139" s="37">
        <v>100.032501220703</v>
      </c>
      <c r="P139" s="37">
        <v>100.042999267578</v>
      </c>
      <c r="Q139" s="50">
        <v>0</v>
      </c>
      <c r="R139" s="25"/>
      <c r="S139" s="25"/>
      <c r="T139" s="25"/>
      <c r="U139" s="25"/>
      <c r="V139" s="25"/>
      <c r="W139" s="25"/>
      <c r="X139" s="25"/>
      <c r="Y139" s="25"/>
      <c r="Z139" s="25"/>
      <c r="AA139" s="1"/>
      <c r="AB139" s="1"/>
      <c r="AC139" s="1"/>
      <c r="AD139" s="1"/>
      <c r="AE139" s="1"/>
      <c r="AF139" s="1"/>
      <c r="AG139" s="1"/>
      <c r="AH139" s="1"/>
      <c r="AI139" s="1"/>
      <c r="AJ139" s="1"/>
      <c r="AK139" s="6"/>
    </row>
    <row r="140" spans="1:37" x14ac:dyDescent="0.35">
      <c r="A140" s="1"/>
      <c r="B140" s="5"/>
      <c r="C140" s="25" t="s">
        <v>798</v>
      </c>
      <c r="D140" s="25" t="s">
        <v>799</v>
      </c>
      <c r="E140" s="25" t="s">
        <v>800</v>
      </c>
      <c r="F140" s="25" t="s">
        <v>801</v>
      </c>
      <c r="G140" s="50">
        <v>1027.23</v>
      </c>
      <c r="H140" s="50">
        <v>1</v>
      </c>
      <c r="I140" s="37">
        <v>12.402000427246101</v>
      </c>
      <c r="J140" s="37">
        <v>12.402000427246101</v>
      </c>
      <c r="K140" s="37">
        <v>12.402000427246101</v>
      </c>
      <c r="L140" s="37">
        <v>12.402000427246101</v>
      </c>
      <c r="M140" s="37">
        <v>102.72299957275401</v>
      </c>
      <c r="N140" s="37">
        <v>102.72299957275401</v>
      </c>
      <c r="O140" s="37">
        <v>102.72299957275401</v>
      </c>
      <c r="P140" s="37">
        <v>102.72299957275401</v>
      </c>
      <c r="Q140" s="50">
        <v>0</v>
      </c>
      <c r="R140" s="25"/>
      <c r="S140" s="25"/>
      <c r="T140" s="25"/>
      <c r="U140" s="25"/>
      <c r="V140" s="25"/>
      <c r="W140" s="25"/>
      <c r="X140" s="25"/>
      <c r="Y140" s="25"/>
      <c r="Z140" s="25"/>
      <c r="AA140" s="1"/>
      <c r="AB140" s="1"/>
      <c r="AC140" s="1"/>
      <c r="AD140" s="1"/>
      <c r="AE140" s="1"/>
      <c r="AF140" s="1"/>
      <c r="AG140" s="1"/>
      <c r="AH140" s="1"/>
      <c r="AI140" s="1"/>
      <c r="AJ140" s="1"/>
      <c r="AK140" s="6"/>
    </row>
    <row r="141" spans="1:37" x14ac:dyDescent="0.35">
      <c r="A141" s="1"/>
      <c r="B141" s="5"/>
      <c r="C141" s="25" t="s">
        <v>798</v>
      </c>
      <c r="D141" s="25" t="s">
        <v>799</v>
      </c>
      <c r="E141" s="25" t="s">
        <v>1000</v>
      </c>
      <c r="F141" s="25" t="s">
        <v>1001</v>
      </c>
      <c r="G141" s="50">
        <v>39570.800000000003</v>
      </c>
      <c r="H141" s="50">
        <v>1</v>
      </c>
      <c r="I141" s="37">
        <v>12.949999809265099</v>
      </c>
      <c r="J141" s="37">
        <v>12.949999809265099</v>
      </c>
      <c r="K141" s="37">
        <v>12.949999809265099</v>
      </c>
      <c r="L141" s="37">
        <v>12.949999809265099</v>
      </c>
      <c r="M141" s="37">
        <v>98.927001953125</v>
      </c>
      <c r="N141" s="37">
        <v>98.927001953125</v>
      </c>
      <c r="O141" s="37">
        <v>98.927001953125</v>
      </c>
      <c r="P141" s="37">
        <v>98.927001953125</v>
      </c>
      <c r="Q141" s="50">
        <v>0</v>
      </c>
      <c r="R141" s="25"/>
      <c r="S141" s="25"/>
      <c r="T141" s="25"/>
      <c r="U141" s="25"/>
      <c r="V141" s="25"/>
      <c r="W141" s="25"/>
      <c r="X141" s="25"/>
      <c r="Y141" s="25"/>
      <c r="Z141" s="25"/>
      <c r="AA141" s="1"/>
      <c r="AB141" s="1"/>
      <c r="AC141" s="1"/>
      <c r="AD141" s="1"/>
      <c r="AE141" s="1"/>
      <c r="AF141" s="1"/>
      <c r="AG141" s="1"/>
      <c r="AH141" s="1"/>
      <c r="AI141" s="1"/>
      <c r="AJ141" s="1"/>
      <c r="AK141" s="6"/>
    </row>
    <row r="142" spans="1:37" x14ac:dyDescent="0.35">
      <c r="A142" s="1"/>
      <c r="B142" s="5"/>
      <c r="C142" s="25" t="s">
        <v>694</v>
      </c>
      <c r="D142" s="25" t="s">
        <v>799</v>
      </c>
      <c r="E142" s="25" t="s">
        <v>875</v>
      </c>
      <c r="F142" s="25" t="s">
        <v>1002</v>
      </c>
      <c r="G142" s="50">
        <v>20160.099999999999</v>
      </c>
      <c r="H142" s="50">
        <v>2</v>
      </c>
      <c r="I142" s="37">
        <v>11.699999809265099</v>
      </c>
      <c r="J142" s="37">
        <v>11.7200002670288</v>
      </c>
      <c r="K142" s="37">
        <v>11.710000038146999</v>
      </c>
      <c r="L142" s="37">
        <v>11.699999809265099</v>
      </c>
      <c r="M142" s="37">
        <v>100.79900360107401</v>
      </c>
      <c r="N142" s="37">
        <v>100.802001953125</v>
      </c>
      <c r="O142" s="37">
        <v>100.80050277709999</v>
      </c>
      <c r="P142" s="37">
        <v>100.802001953125</v>
      </c>
      <c r="Q142" s="50">
        <v>0</v>
      </c>
      <c r="R142" s="25"/>
      <c r="S142" s="25"/>
      <c r="T142" s="25"/>
      <c r="U142" s="25"/>
      <c r="V142" s="25"/>
      <c r="W142" s="25"/>
      <c r="X142" s="25"/>
      <c r="Y142" s="25"/>
      <c r="Z142" s="25"/>
      <c r="AA142" s="1"/>
      <c r="AB142" s="1"/>
      <c r="AC142" s="1"/>
      <c r="AD142" s="1"/>
      <c r="AE142" s="1"/>
      <c r="AF142" s="1"/>
      <c r="AG142" s="1"/>
      <c r="AH142" s="1"/>
      <c r="AI142" s="1"/>
      <c r="AJ142" s="1"/>
      <c r="AK142" s="6"/>
    </row>
    <row r="143" spans="1:37" x14ac:dyDescent="0.35">
      <c r="A143" s="1"/>
      <c r="B143" s="5"/>
      <c r="C143" s="25" t="s">
        <v>694</v>
      </c>
      <c r="D143" s="25" t="s">
        <v>799</v>
      </c>
      <c r="E143" s="25" t="s">
        <v>808</v>
      </c>
      <c r="F143" s="25" t="s">
        <v>1003</v>
      </c>
      <c r="G143" s="50">
        <v>7874.68</v>
      </c>
      <c r="H143" s="50">
        <v>5</v>
      </c>
      <c r="I143" s="37">
        <v>12.8800001144409</v>
      </c>
      <c r="J143" s="37">
        <v>12.9099998474121</v>
      </c>
      <c r="K143" s="37">
        <v>12.894999980926499</v>
      </c>
      <c r="L143" s="37">
        <v>12.9099998474121</v>
      </c>
      <c r="M143" s="37">
        <v>98.424003601074205</v>
      </c>
      <c r="N143" s="37">
        <v>98.443000793457003</v>
      </c>
      <c r="O143" s="37">
        <v>98.433502197265597</v>
      </c>
      <c r="P143" s="37">
        <v>98.424003601074205</v>
      </c>
      <c r="Q143" s="50">
        <v>0</v>
      </c>
      <c r="R143" s="25"/>
      <c r="S143" s="25"/>
      <c r="T143" s="25"/>
      <c r="U143" s="25"/>
      <c r="V143" s="25"/>
      <c r="W143" s="25"/>
      <c r="X143" s="25"/>
      <c r="Y143" s="25"/>
      <c r="Z143" s="25"/>
      <c r="AA143" s="1"/>
      <c r="AB143" s="1"/>
      <c r="AC143" s="1"/>
      <c r="AD143" s="1"/>
      <c r="AE143" s="1"/>
      <c r="AF143" s="1"/>
      <c r="AG143" s="1"/>
      <c r="AH143" s="1"/>
      <c r="AI143" s="1"/>
      <c r="AJ143" s="1"/>
      <c r="AK143" s="6"/>
    </row>
    <row r="144" spans="1:37" x14ac:dyDescent="0.35">
      <c r="A144" s="1"/>
      <c r="B144" s="5"/>
      <c r="C144" s="25" t="s">
        <v>694</v>
      </c>
      <c r="D144" s="25" t="s">
        <v>799</v>
      </c>
      <c r="E144" s="25" t="s">
        <v>901</v>
      </c>
      <c r="F144" s="25" t="s">
        <v>1004</v>
      </c>
      <c r="G144" s="50">
        <v>355.11709999999999</v>
      </c>
      <c r="H144" s="50">
        <v>1</v>
      </c>
      <c r="I144" s="37">
        <v>12.6000003814697</v>
      </c>
      <c r="J144" s="37">
        <v>12.6000003814697</v>
      </c>
      <c r="K144" s="37">
        <v>12.6000003814697</v>
      </c>
      <c r="L144" s="37">
        <v>12.6000003814697</v>
      </c>
      <c r="M144" s="37">
        <v>102.63500213623</v>
      </c>
      <c r="N144" s="37">
        <v>102.63500213623</v>
      </c>
      <c r="O144" s="37">
        <v>102.63500213623</v>
      </c>
      <c r="P144" s="37">
        <v>102.63500213623</v>
      </c>
      <c r="Q144" s="50">
        <v>0</v>
      </c>
      <c r="R144" s="25"/>
      <c r="S144" s="25"/>
      <c r="T144" s="25"/>
      <c r="U144" s="25"/>
      <c r="V144" s="25"/>
      <c r="W144" s="25"/>
      <c r="X144" s="25"/>
      <c r="Y144" s="25"/>
      <c r="Z144" s="25"/>
      <c r="AA144" s="1"/>
      <c r="AB144" s="1"/>
      <c r="AC144" s="1"/>
      <c r="AD144" s="1"/>
      <c r="AE144" s="1"/>
      <c r="AF144" s="1"/>
      <c r="AG144" s="1"/>
      <c r="AH144" s="1"/>
      <c r="AI144" s="1"/>
      <c r="AJ144" s="1"/>
      <c r="AK144" s="6"/>
    </row>
    <row r="145" spans="1:37" x14ac:dyDescent="0.35">
      <c r="A145" s="1"/>
      <c r="B145" s="5"/>
      <c r="C145" s="25" t="s">
        <v>694</v>
      </c>
      <c r="D145" s="25" t="s">
        <v>799</v>
      </c>
      <c r="E145" s="25" t="s">
        <v>817</v>
      </c>
      <c r="F145" s="25" t="s">
        <v>818</v>
      </c>
      <c r="G145" s="50">
        <v>510.505</v>
      </c>
      <c r="H145" s="50">
        <v>1</v>
      </c>
      <c r="I145" s="37">
        <v>12.331999778747599</v>
      </c>
      <c r="J145" s="37">
        <v>12.331999778747599</v>
      </c>
      <c r="K145" s="37">
        <v>12.331999778747599</v>
      </c>
      <c r="L145" s="37">
        <v>12.331999778747599</v>
      </c>
      <c r="M145" s="37">
        <v>102.100997924805</v>
      </c>
      <c r="N145" s="37">
        <v>102.100997924805</v>
      </c>
      <c r="O145" s="37">
        <v>102.100997924805</v>
      </c>
      <c r="P145" s="37">
        <v>102.100997924805</v>
      </c>
      <c r="Q145" s="50">
        <v>0</v>
      </c>
      <c r="R145" s="25"/>
      <c r="S145" s="25"/>
      <c r="T145" s="25"/>
      <c r="U145" s="25"/>
      <c r="V145" s="25"/>
      <c r="W145" s="25"/>
      <c r="X145" s="25"/>
      <c r="Y145" s="25"/>
      <c r="Z145" s="25"/>
      <c r="AA145" s="1"/>
      <c r="AB145" s="1"/>
      <c r="AC145" s="1"/>
      <c r="AD145" s="1"/>
      <c r="AE145" s="1"/>
      <c r="AF145" s="1"/>
      <c r="AG145" s="1"/>
      <c r="AH145" s="1"/>
      <c r="AI145" s="1"/>
      <c r="AJ145" s="1"/>
      <c r="AK145" s="6"/>
    </row>
    <row r="146" spans="1:37" x14ac:dyDescent="0.35">
      <c r="A146" s="1"/>
      <c r="B146" s="5"/>
      <c r="C146" s="25" t="s">
        <v>694</v>
      </c>
      <c r="D146" s="25" t="s">
        <v>799</v>
      </c>
      <c r="E146" s="25" t="s">
        <v>506</v>
      </c>
      <c r="F146" s="25" t="s">
        <v>819</v>
      </c>
      <c r="G146" s="50">
        <v>910.59699999999998</v>
      </c>
      <c r="H146" s="50">
        <v>2</v>
      </c>
      <c r="I146" s="37">
        <v>12.8999996185303</v>
      </c>
      <c r="J146" s="37">
        <v>13.1499996185303</v>
      </c>
      <c r="K146" s="37">
        <v>13.0388885074192</v>
      </c>
      <c r="L146" s="37">
        <v>12.8999996185303</v>
      </c>
      <c r="M146" s="37">
        <v>101.009002685547</v>
      </c>
      <c r="N146" s="37">
        <v>101.38800048828099</v>
      </c>
      <c r="O146" s="37">
        <v>101.177446153429</v>
      </c>
      <c r="P146" s="37">
        <v>101.38800048828099</v>
      </c>
      <c r="Q146" s="50">
        <v>0</v>
      </c>
      <c r="R146" s="25"/>
      <c r="S146" s="25"/>
      <c r="T146" s="25"/>
      <c r="U146" s="25"/>
      <c r="V146" s="25"/>
      <c r="W146" s="25"/>
      <c r="X146" s="25"/>
      <c r="Y146" s="25"/>
      <c r="Z146" s="25"/>
      <c r="AA146" s="1"/>
      <c r="AB146" s="1"/>
      <c r="AC146" s="1"/>
      <c r="AD146" s="1"/>
      <c r="AE146" s="1"/>
      <c r="AF146" s="1"/>
      <c r="AG146" s="1"/>
      <c r="AH146" s="1"/>
      <c r="AI146" s="1"/>
      <c r="AJ146" s="1"/>
      <c r="AK146" s="6"/>
    </row>
    <row r="147" spans="1:37" x14ac:dyDescent="0.35">
      <c r="A147" s="1"/>
      <c r="B147" s="5"/>
      <c r="C147" s="25" t="s">
        <v>694</v>
      </c>
      <c r="D147" s="25" t="s">
        <v>799</v>
      </c>
      <c r="E147" s="25" t="s">
        <v>516</v>
      </c>
      <c r="F147" s="25" t="s">
        <v>701</v>
      </c>
      <c r="G147" s="50">
        <v>3982.90553</v>
      </c>
      <c r="H147" s="50">
        <v>14</v>
      </c>
      <c r="I147" s="37">
        <v>12.199999809265099</v>
      </c>
      <c r="J147" s="37">
        <v>13.0620002746582</v>
      </c>
      <c r="K147" s="37">
        <v>12.907520008446999</v>
      </c>
      <c r="L147" s="37">
        <v>12.199999809265099</v>
      </c>
      <c r="M147" s="37">
        <v>100</v>
      </c>
      <c r="N147" s="37">
        <v>101.072998046875</v>
      </c>
      <c r="O147" s="37">
        <v>100.198880793733</v>
      </c>
      <c r="P147" s="37">
        <v>101.072998046875</v>
      </c>
      <c r="Q147" s="50">
        <v>0</v>
      </c>
      <c r="R147" s="25"/>
      <c r="S147" s="25"/>
      <c r="T147" s="25"/>
      <c r="U147" s="25"/>
      <c r="V147" s="25"/>
      <c r="W147" s="25"/>
      <c r="X147" s="25"/>
      <c r="Y147" s="25"/>
      <c r="Z147" s="25"/>
      <c r="AA147" s="1"/>
      <c r="AB147" s="1"/>
      <c r="AC147" s="1"/>
      <c r="AD147" s="1"/>
      <c r="AE147" s="1"/>
      <c r="AF147" s="1"/>
      <c r="AG147" s="1"/>
      <c r="AH147" s="1"/>
      <c r="AI147" s="1"/>
      <c r="AJ147" s="1"/>
      <c r="AK147" s="6"/>
    </row>
    <row r="148" spans="1:37" x14ac:dyDescent="0.35">
      <c r="A148" s="1"/>
      <c r="B148" s="5"/>
      <c r="C148" s="25" t="s">
        <v>694</v>
      </c>
      <c r="D148" s="25" t="s">
        <v>799</v>
      </c>
      <c r="E148" s="25" t="s">
        <v>516</v>
      </c>
      <c r="F148" s="25" t="s">
        <v>702</v>
      </c>
      <c r="G148" s="50">
        <v>8524.4256600000008</v>
      </c>
      <c r="H148" s="50">
        <v>9</v>
      </c>
      <c r="I148" s="37">
        <v>12.699999809265099</v>
      </c>
      <c r="J148" s="37">
        <v>13.0900001525879</v>
      </c>
      <c r="K148" s="37">
        <v>12.983335532092999</v>
      </c>
      <c r="L148" s="37">
        <v>12.8500003814697</v>
      </c>
      <c r="M148" s="37">
        <v>100.01100158691401</v>
      </c>
      <c r="N148" s="37">
        <v>100.63500213623</v>
      </c>
      <c r="O148" s="37">
        <v>100.181285722315</v>
      </c>
      <c r="P148" s="37">
        <v>100.393997192383</v>
      </c>
      <c r="Q148" s="50">
        <v>0</v>
      </c>
      <c r="R148" s="25"/>
      <c r="S148" s="25"/>
      <c r="T148" s="25"/>
      <c r="U148" s="25"/>
      <c r="V148" s="25"/>
      <c r="W148" s="25"/>
      <c r="X148" s="25"/>
      <c r="Y148" s="25"/>
      <c r="Z148" s="25"/>
      <c r="AA148" s="1"/>
      <c r="AB148" s="1"/>
      <c r="AC148" s="1"/>
      <c r="AD148" s="1"/>
      <c r="AE148" s="1"/>
      <c r="AF148" s="1"/>
      <c r="AG148" s="1"/>
      <c r="AH148" s="1"/>
      <c r="AI148" s="1"/>
      <c r="AJ148" s="1"/>
      <c r="AK148" s="6"/>
    </row>
    <row r="149" spans="1:37" x14ac:dyDescent="0.35">
      <c r="A149" s="1"/>
      <c r="B149" s="5"/>
      <c r="C149" s="25" t="s">
        <v>821</v>
      </c>
      <c r="D149" s="25" t="s">
        <v>799</v>
      </c>
      <c r="E149" s="25" t="s">
        <v>822</v>
      </c>
      <c r="F149" s="25" t="s">
        <v>823</v>
      </c>
      <c r="G149" s="50">
        <v>517.01499999999999</v>
      </c>
      <c r="H149" s="50">
        <v>1</v>
      </c>
      <c r="I149" s="37">
        <v>13.1450004577637</v>
      </c>
      <c r="J149" s="37">
        <v>13.1450004577637</v>
      </c>
      <c r="K149" s="37">
        <v>13.1450004577637</v>
      </c>
      <c r="L149" s="37">
        <v>13.1450004577637</v>
      </c>
      <c r="M149" s="37">
        <v>103.40299987793</v>
      </c>
      <c r="N149" s="37">
        <v>103.40299987793</v>
      </c>
      <c r="O149" s="37">
        <v>103.40299987793</v>
      </c>
      <c r="P149" s="37">
        <v>103.40299987793</v>
      </c>
      <c r="Q149" s="50">
        <v>0</v>
      </c>
      <c r="R149" s="25"/>
      <c r="S149" s="25"/>
      <c r="T149" s="25"/>
      <c r="U149" s="25"/>
      <c r="V149" s="25"/>
      <c r="W149" s="25"/>
      <c r="X149" s="25"/>
      <c r="Y149" s="25"/>
      <c r="Z149" s="25"/>
      <c r="AA149" s="1"/>
      <c r="AB149" s="1"/>
      <c r="AC149" s="1"/>
      <c r="AD149" s="1"/>
      <c r="AE149" s="1"/>
      <c r="AF149" s="1"/>
      <c r="AG149" s="1"/>
      <c r="AH149" s="1"/>
      <c r="AI149" s="1"/>
      <c r="AJ149" s="1"/>
      <c r="AK149" s="6"/>
    </row>
    <row r="150" spans="1:37" x14ac:dyDescent="0.35">
      <c r="A150" s="1"/>
      <c r="B150" s="5"/>
      <c r="C150" s="25" t="s">
        <v>821</v>
      </c>
      <c r="D150" s="25" t="s">
        <v>799</v>
      </c>
      <c r="E150" s="25" t="s">
        <v>824</v>
      </c>
      <c r="F150" s="25" t="s">
        <v>825</v>
      </c>
      <c r="G150" s="50">
        <v>557.64499999999998</v>
      </c>
      <c r="H150" s="50">
        <v>1</v>
      </c>
      <c r="I150" s="37">
        <v>12.9329996109009</v>
      </c>
      <c r="J150" s="37">
        <v>12.9329996109009</v>
      </c>
      <c r="K150" s="37">
        <v>12.9329996109009</v>
      </c>
      <c r="L150" s="37">
        <v>12.9329996109009</v>
      </c>
      <c r="M150" s="37">
        <v>111.528999328613</v>
      </c>
      <c r="N150" s="37">
        <v>111.528999328613</v>
      </c>
      <c r="O150" s="37">
        <v>111.528999328613</v>
      </c>
      <c r="P150" s="37">
        <v>111.528999328613</v>
      </c>
      <c r="Q150" s="50">
        <v>0</v>
      </c>
      <c r="R150" s="25"/>
      <c r="S150" s="25"/>
      <c r="T150" s="25"/>
      <c r="U150" s="25"/>
      <c r="V150" s="25"/>
      <c r="W150" s="25"/>
      <c r="X150" s="25"/>
      <c r="Y150" s="25"/>
      <c r="Z150" s="25"/>
      <c r="AA150" s="1"/>
      <c r="AB150" s="1"/>
      <c r="AC150" s="1"/>
      <c r="AD150" s="1"/>
      <c r="AE150" s="1"/>
      <c r="AF150" s="1"/>
      <c r="AG150" s="1"/>
      <c r="AH150" s="1"/>
      <c r="AI150" s="1"/>
      <c r="AJ150" s="1"/>
      <c r="AK150" s="6"/>
    </row>
    <row r="151" spans="1:37" x14ac:dyDescent="0.35">
      <c r="A151" s="1"/>
      <c r="B151" s="5"/>
      <c r="C151" s="25" t="s">
        <v>826</v>
      </c>
      <c r="D151" s="25" t="s">
        <v>799</v>
      </c>
      <c r="E151" s="25" t="s">
        <v>1005</v>
      </c>
      <c r="F151" s="25" t="s">
        <v>1006</v>
      </c>
      <c r="G151" s="50">
        <v>227.86940000000001</v>
      </c>
      <c r="H151" s="50">
        <v>2</v>
      </c>
      <c r="I151" s="37">
        <v>12.5</v>
      </c>
      <c r="J151" s="37">
        <v>12.5</v>
      </c>
      <c r="K151" s="37">
        <v>12.5</v>
      </c>
      <c r="L151" s="37">
        <v>12.5</v>
      </c>
      <c r="M151" s="37">
        <v>103.57700347900401</v>
      </c>
      <c r="N151" s="37">
        <v>103.57700347900401</v>
      </c>
      <c r="O151" s="37">
        <v>103.57700347900401</v>
      </c>
      <c r="P151" s="37">
        <v>103.57700347900401</v>
      </c>
      <c r="Q151" s="50">
        <v>0</v>
      </c>
      <c r="R151" s="25"/>
      <c r="S151" s="25"/>
      <c r="T151" s="25"/>
      <c r="U151" s="25"/>
      <c r="V151" s="25"/>
      <c r="W151" s="25"/>
      <c r="X151" s="25"/>
      <c r="Y151" s="25"/>
      <c r="Z151" s="25"/>
      <c r="AA151" s="1"/>
      <c r="AB151" s="1"/>
      <c r="AC151" s="1"/>
      <c r="AD151" s="1"/>
      <c r="AE151" s="1"/>
      <c r="AF151" s="1"/>
      <c r="AG151" s="1"/>
      <c r="AH151" s="1"/>
      <c r="AI151" s="1"/>
      <c r="AJ151" s="1"/>
      <c r="AK151" s="6"/>
    </row>
    <row r="152" spans="1:37" x14ac:dyDescent="0.35">
      <c r="A152" s="1"/>
      <c r="B152" s="5"/>
      <c r="C152" s="25" t="s">
        <v>826</v>
      </c>
      <c r="D152" s="25" t="s">
        <v>799</v>
      </c>
      <c r="E152" s="25" t="s">
        <v>1007</v>
      </c>
      <c r="F152" s="25" t="s">
        <v>1008</v>
      </c>
      <c r="G152" s="50">
        <v>9.9124999999999996</v>
      </c>
      <c r="H152" s="50">
        <v>1</v>
      </c>
      <c r="I152" s="37">
        <v>17</v>
      </c>
      <c r="J152" s="37">
        <v>17</v>
      </c>
      <c r="K152" s="37">
        <v>17</v>
      </c>
      <c r="L152" s="37">
        <v>17</v>
      </c>
      <c r="M152" s="37">
        <v>99.125</v>
      </c>
      <c r="N152" s="37">
        <v>99.125</v>
      </c>
      <c r="O152" s="37">
        <v>99.125</v>
      </c>
      <c r="P152" s="37">
        <v>99.125</v>
      </c>
      <c r="Q152" s="50">
        <v>0</v>
      </c>
      <c r="R152" s="25"/>
      <c r="S152" s="25"/>
      <c r="T152" s="25"/>
      <c r="U152" s="25"/>
      <c r="V152" s="25"/>
      <c r="W152" s="25"/>
      <c r="X152" s="25"/>
      <c r="Y152" s="25"/>
      <c r="Z152" s="25"/>
      <c r="AA152" s="1"/>
      <c r="AB152" s="1"/>
      <c r="AC152" s="1"/>
      <c r="AD152" s="1"/>
      <c r="AE152" s="1"/>
      <c r="AF152" s="1"/>
      <c r="AG152" s="1"/>
      <c r="AH152" s="1"/>
      <c r="AI152" s="1"/>
      <c r="AJ152" s="1"/>
      <c r="AK152" s="6"/>
    </row>
    <row r="153" spans="1:37" x14ac:dyDescent="0.35">
      <c r="A153" s="1"/>
      <c r="B153" s="5"/>
      <c r="C153" s="25" t="s">
        <v>826</v>
      </c>
      <c r="D153" s="25" t="s">
        <v>799</v>
      </c>
      <c r="E153" s="25" t="s">
        <v>1009</v>
      </c>
      <c r="F153" s="25" t="s">
        <v>890</v>
      </c>
      <c r="G153" s="50">
        <v>145.97913299999999</v>
      </c>
      <c r="H153" s="50">
        <v>1</v>
      </c>
      <c r="I153" s="37">
        <v>13.5</v>
      </c>
      <c r="J153" s="37">
        <v>13.5</v>
      </c>
      <c r="K153" s="37">
        <v>13.5</v>
      </c>
      <c r="L153" s="37">
        <v>13.5</v>
      </c>
      <c r="M153" s="37">
        <v>97.805999755859403</v>
      </c>
      <c r="N153" s="37">
        <v>97.805999755859403</v>
      </c>
      <c r="O153" s="37">
        <v>97.805999755859403</v>
      </c>
      <c r="P153" s="37">
        <v>97.805999755859403</v>
      </c>
      <c r="Q153" s="50">
        <v>0</v>
      </c>
      <c r="R153" s="25"/>
      <c r="S153" s="25"/>
      <c r="T153" s="25"/>
      <c r="U153" s="25"/>
      <c r="V153" s="25"/>
      <c r="W153" s="25"/>
      <c r="X153" s="25"/>
      <c r="Y153" s="25"/>
      <c r="Z153" s="25"/>
      <c r="AA153" s="1"/>
      <c r="AB153" s="1"/>
      <c r="AC153" s="1"/>
      <c r="AD153" s="1"/>
      <c r="AE153" s="1"/>
      <c r="AF153" s="1"/>
      <c r="AG153" s="1"/>
      <c r="AH153" s="1"/>
      <c r="AI153" s="1"/>
      <c r="AJ153" s="1"/>
      <c r="AK153" s="6"/>
    </row>
    <row r="154" spans="1:37" x14ac:dyDescent="0.35">
      <c r="A154" s="1"/>
      <c r="B154" s="5"/>
      <c r="C154" s="25" t="s">
        <v>1010</v>
      </c>
      <c r="D154" s="25" t="s">
        <v>799</v>
      </c>
      <c r="E154" s="25" t="s">
        <v>1011</v>
      </c>
      <c r="F154" s="25" t="s">
        <v>1012</v>
      </c>
      <c r="G154" s="50">
        <v>1000.64</v>
      </c>
      <c r="H154" s="50">
        <v>1</v>
      </c>
      <c r="I154" s="37">
        <v>12.402000427246101</v>
      </c>
      <c r="J154" s="37">
        <v>12.402000427246101</v>
      </c>
      <c r="K154" s="37">
        <v>12.402000427246101</v>
      </c>
      <c r="L154" s="37">
        <v>12.402000427246101</v>
      </c>
      <c r="M154" s="37">
        <v>100.064002990723</v>
      </c>
      <c r="N154" s="37">
        <v>100.064002990723</v>
      </c>
      <c r="O154" s="37">
        <v>100.064002990723</v>
      </c>
      <c r="P154" s="37">
        <v>100.064002990723</v>
      </c>
      <c r="Q154" s="50">
        <v>0</v>
      </c>
      <c r="R154" s="25"/>
      <c r="S154" s="25"/>
      <c r="T154" s="25"/>
      <c r="U154" s="25"/>
      <c r="V154" s="25"/>
      <c r="W154" s="25"/>
      <c r="X154" s="25"/>
      <c r="Y154" s="25"/>
      <c r="Z154" s="25"/>
      <c r="AA154" s="1"/>
      <c r="AB154" s="1"/>
      <c r="AC154" s="1"/>
      <c r="AD154" s="1"/>
      <c r="AE154" s="1"/>
      <c r="AF154" s="1"/>
      <c r="AG154" s="1"/>
      <c r="AH154" s="1"/>
      <c r="AI154" s="1"/>
      <c r="AJ154" s="1"/>
      <c r="AK154" s="6"/>
    </row>
    <row r="155" spans="1:37" x14ac:dyDescent="0.35">
      <c r="A155" s="1"/>
      <c r="B155" s="5"/>
      <c r="C155" s="25" t="s">
        <v>707</v>
      </c>
      <c r="D155" s="25" t="s">
        <v>799</v>
      </c>
      <c r="E155" s="25" t="s">
        <v>839</v>
      </c>
      <c r="F155" s="25" t="s">
        <v>840</v>
      </c>
      <c r="G155" s="50">
        <v>1897.85</v>
      </c>
      <c r="H155" s="50">
        <v>2</v>
      </c>
      <c r="I155" s="37">
        <v>13.050000190734901</v>
      </c>
      <c r="J155" s="37">
        <v>13.079999923706101</v>
      </c>
      <c r="K155" s="37">
        <v>13.0650000572205</v>
      </c>
      <c r="L155" s="37">
        <v>13.050000190734901</v>
      </c>
      <c r="M155" s="37">
        <v>94.877998352050795</v>
      </c>
      <c r="N155" s="37">
        <v>94.906997680664105</v>
      </c>
      <c r="O155" s="37">
        <v>94.892498016357393</v>
      </c>
      <c r="P155" s="37">
        <v>94.906997680664105</v>
      </c>
      <c r="Q155" s="50">
        <v>0</v>
      </c>
      <c r="R155" s="25"/>
      <c r="S155" s="25"/>
      <c r="T155" s="25"/>
      <c r="U155" s="25"/>
      <c r="V155" s="25"/>
      <c r="W155" s="25"/>
      <c r="X155" s="25"/>
      <c r="Y155" s="25"/>
      <c r="Z155" s="25"/>
      <c r="AA155" s="1"/>
      <c r="AB155" s="1"/>
      <c r="AC155" s="1"/>
      <c r="AD155" s="1"/>
      <c r="AE155" s="1"/>
      <c r="AF155" s="1"/>
      <c r="AG155" s="1"/>
      <c r="AH155" s="1"/>
      <c r="AI155" s="1"/>
      <c r="AJ155" s="1"/>
      <c r="AK155" s="6"/>
    </row>
    <row r="156" spans="1:37" x14ac:dyDescent="0.35">
      <c r="A156" s="1"/>
      <c r="B156" s="5"/>
      <c r="C156" s="25" t="s">
        <v>707</v>
      </c>
      <c r="D156" s="25" t="s">
        <v>799</v>
      </c>
      <c r="E156" s="25" t="s">
        <v>1013</v>
      </c>
      <c r="F156" s="25" t="s">
        <v>1014</v>
      </c>
      <c r="G156" s="50">
        <v>72.685900000000004</v>
      </c>
      <c r="H156" s="50">
        <v>1</v>
      </c>
      <c r="I156" s="37">
        <v>12.3999996185303</v>
      </c>
      <c r="J156" s="37">
        <v>12.3999996185303</v>
      </c>
      <c r="K156" s="37">
        <v>12.3999996185303</v>
      </c>
      <c r="L156" s="37">
        <v>12.3999996185303</v>
      </c>
      <c r="M156" s="37">
        <v>103.83699798584</v>
      </c>
      <c r="N156" s="37">
        <v>103.83699798584</v>
      </c>
      <c r="O156" s="37">
        <v>103.83699798584</v>
      </c>
      <c r="P156" s="37">
        <v>103.83699798584</v>
      </c>
      <c r="Q156" s="50">
        <v>0</v>
      </c>
      <c r="R156" s="25"/>
      <c r="S156" s="25"/>
      <c r="T156" s="25"/>
      <c r="U156" s="25"/>
      <c r="V156" s="25"/>
      <c r="W156" s="25"/>
      <c r="X156" s="25"/>
      <c r="Y156" s="25"/>
      <c r="Z156" s="25"/>
      <c r="AA156" s="1"/>
      <c r="AB156" s="1"/>
      <c r="AC156" s="1"/>
      <c r="AD156" s="1"/>
      <c r="AE156" s="1"/>
      <c r="AF156" s="1"/>
      <c r="AG156" s="1"/>
      <c r="AH156" s="1"/>
      <c r="AI156" s="1"/>
      <c r="AJ156" s="1"/>
      <c r="AK156" s="6"/>
    </row>
    <row r="157" spans="1:37" x14ac:dyDescent="0.35">
      <c r="A157" s="1"/>
      <c r="B157" s="5"/>
      <c r="C157" s="25" t="s">
        <v>707</v>
      </c>
      <c r="D157" s="25" t="s">
        <v>799</v>
      </c>
      <c r="E157" s="25" t="s">
        <v>846</v>
      </c>
      <c r="F157" s="25" t="s">
        <v>847</v>
      </c>
      <c r="G157" s="50">
        <v>506.9</v>
      </c>
      <c r="H157" s="50">
        <v>1</v>
      </c>
      <c r="I157" s="37">
        <v>13.4280004501343</v>
      </c>
      <c r="J157" s="37">
        <v>13.4280004501343</v>
      </c>
      <c r="K157" s="37">
        <v>13.4280004501343</v>
      </c>
      <c r="L157" s="37">
        <v>13.4280004501343</v>
      </c>
      <c r="M157" s="37">
        <v>101.379997253418</v>
      </c>
      <c r="N157" s="37">
        <v>101.379997253418</v>
      </c>
      <c r="O157" s="37">
        <v>101.379997253418</v>
      </c>
      <c r="P157" s="37">
        <v>101.379997253418</v>
      </c>
      <c r="Q157" s="50">
        <v>0</v>
      </c>
      <c r="R157" s="25"/>
      <c r="S157" s="25"/>
      <c r="T157" s="25"/>
      <c r="U157" s="25"/>
      <c r="V157" s="25"/>
      <c r="W157" s="25"/>
      <c r="X157" s="25"/>
      <c r="Y157" s="25"/>
      <c r="Z157" s="25"/>
      <c r="AA157" s="1"/>
      <c r="AB157" s="1"/>
      <c r="AC157" s="1"/>
      <c r="AD157" s="1"/>
      <c r="AE157" s="1"/>
      <c r="AF157" s="1"/>
      <c r="AG157" s="1"/>
      <c r="AH157" s="1"/>
      <c r="AI157" s="1"/>
      <c r="AJ157" s="1"/>
      <c r="AK157" s="6"/>
    </row>
    <row r="158" spans="1:37" x14ac:dyDescent="0.35">
      <c r="A158" s="1"/>
      <c r="B158" s="5"/>
      <c r="C158" s="25" t="s">
        <v>707</v>
      </c>
      <c r="D158" s="25" t="s">
        <v>799</v>
      </c>
      <c r="E158" s="25" t="s">
        <v>852</v>
      </c>
      <c r="F158" s="25" t="s">
        <v>854</v>
      </c>
      <c r="G158" s="50">
        <v>3863.42</v>
      </c>
      <c r="H158" s="50">
        <v>2</v>
      </c>
      <c r="I158" s="37">
        <v>12.939999580383301</v>
      </c>
      <c r="J158" s="37">
        <v>12.9700002670288</v>
      </c>
      <c r="K158" s="37">
        <v>12.954999923706101</v>
      </c>
      <c r="L158" s="37">
        <v>12.9700002670288</v>
      </c>
      <c r="M158" s="37">
        <v>96.558998107910199</v>
      </c>
      <c r="N158" s="37">
        <v>96.611999511718807</v>
      </c>
      <c r="O158" s="37">
        <v>96.585498809814496</v>
      </c>
      <c r="P158" s="37">
        <v>96.558998107910199</v>
      </c>
      <c r="Q158" s="50">
        <v>0</v>
      </c>
      <c r="R158" s="25"/>
      <c r="S158" s="25"/>
      <c r="T158" s="25"/>
      <c r="U158" s="25"/>
      <c r="V158" s="25"/>
      <c r="W158" s="25"/>
      <c r="X158" s="25"/>
      <c r="Y158" s="25"/>
      <c r="Z158" s="25"/>
      <c r="AA158" s="1"/>
      <c r="AB158" s="1"/>
      <c r="AC158" s="1"/>
      <c r="AD158" s="1"/>
      <c r="AE158" s="1"/>
      <c r="AF158" s="1"/>
      <c r="AG158" s="1"/>
      <c r="AH158" s="1"/>
      <c r="AI158" s="1"/>
      <c r="AJ158" s="1"/>
      <c r="AK158" s="6"/>
    </row>
    <row r="159" spans="1:37" x14ac:dyDescent="0.35">
      <c r="A159" s="1"/>
      <c r="B159" s="5"/>
      <c r="C159" s="25" t="s">
        <v>707</v>
      </c>
      <c r="D159" s="25" t="s">
        <v>799</v>
      </c>
      <c r="E159" s="25" t="s">
        <v>855</v>
      </c>
      <c r="F159" s="25" t="s">
        <v>856</v>
      </c>
      <c r="G159" s="50">
        <v>483.125</v>
      </c>
      <c r="H159" s="50">
        <v>1</v>
      </c>
      <c r="I159" s="37">
        <v>12.878999710083001</v>
      </c>
      <c r="J159" s="37">
        <v>12.878999710083001</v>
      </c>
      <c r="K159" s="37">
        <v>12.878999710083001</v>
      </c>
      <c r="L159" s="37">
        <v>12.878999710083001</v>
      </c>
      <c r="M159" s="37">
        <v>96.625</v>
      </c>
      <c r="N159" s="37">
        <v>96.625</v>
      </c>
      <c r="O159" s="37">
        <v>96.625</v>
      </c>
      <c r="P159" s="37">
        <v>96.625</v>
      </c>
      <c r="Q159" s="50">
        <v>0</v>
      </c>
      <c r="R159" s="25"/>
      <c r="S159" s="25"/>
      <c r="T159" s="25"/>
      <c r="U159" s="25"/>
      <c r="V159" s="25"/>
      <c r="W159" s="25"/>
      <c r="X159" s="25"/>
      <c r="Y159" s="25"/>
      <c r="Z159" s="25"/>
      <c r="AA159" s="1"/>
      <c r="AB159" s="1"/>
      <c r="AC159" s="1"/>
      <c r="AD159" s="1"/>
      <c r="AE159" s="1"/>
      <c r="AF159" s="1"/>
      <c r="AG159" s="1"/>
      <c r="AH159" s="1"/>
      <c r="AI159" s="1"/>
      <c r="AJ159" s="1"/>
      <c r="AK159" s="6"/>
    </row>
    <row r="160" spans="1:37" x14ac:dyDescent="0.35">
      <c r="A160" s="1"/>
      <c r="B160" s="5"/>
      <c r="C160" s="25" t="s">
        <v>707</v>
      </c>
      <c r="D160" s="25" t="s">
        <v>799</v>
      </c>
      <c r="E160" s="25" t="s">
        <v>1015</v>
      </c>
      <c r="F160" s="25" t="s">
        <v>1016</v>
      </c>
      <c r="G160" s="50">
        <v>99.918999999999997</v>
      </c>
      <c r="H160" s="50">
        <v>1</v>
      </c>
      <c r="I160" s="37">
        <v>12.3999996185303</v>
      </c>
      <c r="J160" s="37">
        <v>12.3999996185303</v>
      </c>
      <c r="K160" s="37">
        <v>12.3999996185303</v>
      </c>
      <c r="L160" s="37">
        <v>12.3999996185303</v>
      </c>
      <c r="M160" s="37">
        <v>99.918998718261705</v>
      </c>
      <c r="N160" s="37">
        <v>99.918998718261705</v>
      </c>
      <c r="O160" s="37">
        <v>99.918998718261705</v>
      </c>
      <c r="P160" s="37">
        <v>99.918998718261705</v>
      </c>
      <c r="Q160" s="50">
        <v>0</v>
      </c>
      <c r="R160" s="25"/>
      <c r="S160" s="25"/>
      <c r="T160" s="25"/>
      <c r="U160" s="25"/>
      <c r="V160" s="25"/>
      <c r="W160" s="25"/>
      <c r="X160" s="25"/>
      <c r="Y160" s="25"/>
      <c r="Z160" s="25"/>
      <c r="AA160" s="1"/>
      <c r="AB160" s="1"/>
      <c r="AC160" s="1"/>
      <c r="AD160" s="1"/>
      <c r="AE160" s="1"/>
      <c r="AF160" s="1"/>
      <c r="AG160" s="1"/>
      <c r="AH160" s="1"/>
      <c r="AI160" s="1"/>
      <c r="AJ160" s="1"/>
      <c r="AK160" s="6"/>
    </row>
    <row r="161" spans="1:37" x14ac:dyDescent="0.35">
      <c r="A161" s="1"/>
      <c r="B161" s="5"/>
      <c r="C161" s="25" t="s">
        <v>707</v>
      </c>
      <c r="D161" s="25" t="s">
        <v>799</v>
      </c>
      <c r="E161" s="25" t="s">
        <v>861</v>
      </c>
      <c r="F161" s="25" t="s">
        <v>862</v>
      </c>
      <c r="G161" s="50">
        <v>429.72820000000002</v>
      </c>
      <c r="H161" s="50">
        <v>2</v>
      </c>
      <c r="I161" s="37">
        <v>12.800000190734901</v>
      </c>
      <c r="J161" s="37">
        <v>13.5</v>
      </c>
      <c r="K161" s="37">
        <v>13.1500000953674</v>
      </c>
      <c r="L161" s="37">
        <v>12.800000190734901</v>
      </c>
      <c r="M161" s="37">
        <v>97.315002441406307</v>
      </c>
      <c r="N161" s="37">
        <v>98.015998840332003</v>
      </c>
      <c r="O161" s="37">
        <v>97.665500640869098</v>
      </c>
      <c r="P161" s="37">
        <v>98.015998840332003</v>
      </c>
      <c r="Q161" s="50">
        <v>0</v>
      </c>
      <c r="R161" s="25"/>
      <c r="S161" s="25"/>
      <c r="T161" s="25"/>
      <c r="U161" s="25"/>
      <c r="V161" s="25"/>
      <c r="W161" s="25"/>
      <c r="X161" s="25"/>
      <c r="Y161" s="25"/>
      <c r="Z161" s="25"/>
      <c r="AA161" s="1"/>
      <c r="AB161" s="1"/>
      <c r="AC161" s="1"/>
      <c r="AD161" s="1"/>
      <c r="AE161" s="1"/>
      <c r="AF161" s="1"/>
      <c r="AG161" s="1"/>
      <c r="AH161" s="1"/>
      <c r="AI161" s="1"/>
      <c r="AJ161" s="1"/>
      <c r="AK161" s="6"/>
    </row>
    <row r="162" spans="1:37" x14ac:dyDescent="0.35">
      <c r="A162" s="1"/>
      <c r="B162" s="5"/>
      <c r="C162" s="25" t="s">
        <v>714</v>
      </c>
      <c r="D162" s="25" t="s">
        <v>799</v>
      </c>
      <c r="E162" s="25" t="s">
        <v>1017</v>
      </c>
      <c r="F162" s="25" t="s">
        <v>1018</v>
      </c>
      <c r="G162" s="50">
        <v>2117.59</v>
      </c>
      <c r="H162" s="50">
        <v>2</v>
      </c>
      <c r="I162" s="37">
        <v>12.699999809265099</v>
      </c>
      <c r="J162" s="37">
        <v>13.060000419616699</v>
      </c>
      <c r="K162" s="37">
        <v>12.8800001144409</v>
      </c>
      <c r="L162" s="37">
        <v>13.060000419616699</v>
      </c>
      <c r="M162" s="37">
        <v>105.79799652099599</v>
      </c>
      <c r="N162" s="37">
        <v>105.96099853515599</v>
      </c>
      <c r="O162" s="37">
        <v>105.879497528076</v>
      </c>
      <c r="P162" s="37">
        <v>105.79799652099599</v>
      </c>
      <c r="Q162" s="50">
        <v>0</v>
      </c>
      <c r="R162" s="25"/>
      <c r="S162" s="25"/>
      <c r="T162" s="25"/>
      <c r="U162" s="25"/>
      <c r="V162" s="25"/>
      <c r="W162" s="25"/>
      <c r="X162" s="25"/>
      <c r="Y162" s="25"/>
      <c r="Z162" s="25"/>
      <c r="AA162" s="1"/>
      <c r="AB162" s="1"/>
      <c r="AC162" s="1"/>
      <c r="AD162" s="1"/>
      <c r="AE162" s="1"/>
      <c r="AF162" s="1"/>
      <c r="AG162" s="1"/>
      <c r="AH162" s="1"/>
      <c r="AI162" s="1"/>
      <c r="AJ162" s="1"/>
      <c r="AK162" s="6"/>
    </row>
    <row r="163" spans="1:37" x14ac:dyDescent="0.35">
      <c r="A163" s="1"/>
      <c r="B163" s="5"/>
      <c r="C163" s="25" t="s">
        <v>714</v>
      </c>
      <c r="D163" s="25" t="s">
        <v>799</v>
      </c>
      <c r="E163" s="25" t="s">
        <v>1019</v>
      </c>
      <c r="F163" s="25" t="s">
        <v>938</v>
      </c>
      <c r="G163" s="50">
        <v>10330.9</v>
      </c>
      <c r="H163" s="50">
        <v>2</v>
      </c>
      <c r="I163" s="37">
        <v>12.8699998855591</v>
      </c>
      <c r="J163" s="37">
        <v>12.8999996185303</v>
      </c>
      <c r="K163" s="37">
        <v>12.884999752044701</v>
      </c>
      <c r="L163" s="37">
        <v>12.8999996185303</v>
      </c>
      <c r="M163" s="37">
        <v>103.29900360107401</v>
      </c>
      <c r="N163" s="37">
        <v>103.31900024414099</v>
      </c>
      <c r="O163" s="37">
        <v>103.309001922607</v>
      </c>
      <c r="P163" s="37">
        <v>103.29900360107401</v>
      </c>
      <c r="Q163" s="50">
        <v>0</v>
      </c>
      <c r="R163" s="25"/>
      <c r="S163" s="25"/>
      <c r="T163" s="25"/>
      <c r="U163" s="25"/>
      <c r="V163" s="25"/>
      <c r="W163" s="25"/>
      <c r="X163" s="25"/>
      <c r="Y163" s="25"/>
      <c r="Z163" s="25"/>
      <c r="AA163" s="1"/>
      <c r="AB163" s="1"/>
      <c r="AC163" s="1"/>
      <c r="AD163" s="1"/>
      <c r="AE163" s="1"/>
      <c r="AF163" s="1"/>
      <c r="AG163" s="1"/>
      <c r="AH163" s="1"/>
      <c r="AI163" s="1"/>
      <c r="AJ163" s="1"/>
      <c r="AK163" s="6"/>
    </row>
    <row r="164" spans="1:37" x14ac:dyDescent="0.35">
      <c r="A164" s="1"/>
      <c r="B164" s="5"/>
      <c r="C164" s="25" t="s">
        <v>716</v>
      </c>
      <c r="D164" s="25" t="s">
        <v>799</v>
      </c>
      <c r="E164" s="25" t="s">
        <v>1020</v>
      </c>
      <c r="F164" s="25" t="s">
        <v>1021</v>
      </c>
      <c r="G164" s="50">
        <v>33.105415000000001</v>
      </c>
      <c r="H164" s="50">
        <v>1</v>
      </c>
      <c r="I164" s="37">
        <v>20.079999923706101</v>
      </c>
      <c r="J164" s="37">
        <v>20.079999923706101</v>
      </c>
      <c r="K164" s="37">
        <v>20.079999923706101</v>
      </c>
      <c r="L164" s="37">
        <v>20.079999923706101</v>
      </c>
      <c r="M164" s="37">
        <v>102.64199829101599</v>
      </c>
      <c r="N164" s="37">
        <v>102.64199829101599</v>
      </c>
      <c r="O164" s="37">
        <v>102.64199829101599</v>
      </c>
      <c r="P164" s="37">
        <v>102.64199829101599</v>
      </c>
      <c r="Q164" s="50">
        <v>0</v>
      </c>
      <c r="R164" s="25"/>
      <c r="S164" s="25"/>
      <c r="T164" s="25"/>
      <c r="U164" s="25"/>
      <c r="V164" s="25"/>
      <c r="W164" s="25"/>
      <c r="X164" s="25"/>
      <c r="Y164" s="25"/>
      <c r="Z164" s="25"/>
      <c r="AA164" s="1"/>
      <c r="AB164" s="1"/>
      <c r="AC164" s="1"/>
      <c r="AD164" s="1"/>
      <c r="AE164" s="1"/>
      <c r="AF164" s="1"/>
      <c r="AG164" s="1"/>
      <c r="AH164" s="1"/>
      <c r="AI164" s="1"/>
      <c r="AJ164" s="1"/>
      <c r="AK164" s="6"/>
    </row>
    <row r="165" spans="1:37" x14ac:dyDescent="0.35">
      <c r="A165" s="1"/>
      <c r="B165" s="5"/>
      <c r="C165" s="25" t="s">
        <v>716</v>
      </c>
      <c r="D165" s="25" t="s">
        <v>799</v>
      </c>
      <c r="E165" s="25" t="s">
        <v>516</v>
      </c>
      <c r="F165" s="25" t="s">
        <v>711</v>
      </c>
      <c r="G165" s="50">
        <v>2500</v>
      </c>
      <c r="H165" s="50">
        <v>2</v>
      </c>
      <c r="I165" s="37">
        <v>11.8950004577637</v>
      </c>
      <c r="J165" s="37">
        <v>11.8950004577637</v>
      </c>
      <c r="K165" s="37">
        <v>11.8950004577637</v>
      </c>
      <c r="L165" s="37">
        <v>0</v>
      </c>
      <c r="M165" s="37">
        <v>100</v>
      </c>
      <c r="N165" s="37">
        <v>100</v>
      </c>
      <c r="O165" s="37">
        <v>100</v>
      </c>
      <c r="P165" s="37">
        <v>100</v>
      </c>
      <c r="Q165" s="50">
        <v>0</v>
      </c>
      <c r="R165" s="25"/>
      <c r="S165" s="25"/>
      <c r="T165" s="25"/>
      <c r="U165" s="25"/>
      <c r="V165" s="25"/>
      <c r="W165" s="25"/>
      <c r="X165" s="25"/>
      <c r="Y165" s="25"/>
      <c r="Z165" s="25"/>
      <c r="AA165" s="1"/>
      <c r="AB165" s="1"/>
      <c r="AC165" s="1"/>
      <c r="AD165" s="1"/>
      <c r="AE165" s="1"/>
      <c r="AF165" s="1"/>
      <c r="AG165" s="1"/>
      <c r="AH165" s="1"/>
      <c r="AI165" s="1"/>
      <c r="AJ165" s="1"/>
      <c r="AK165" s="6"/>
    </row>
    <row r="166" spans="1:37" x14ac:dyDescent="0.35">
      <c r="A166" s="1"/>
      <c r="B166" s="5"/>
      <c r="C166" s="25" t="s">
        <v>716</v>
      </c>
      <c r="D166" s="25" t="s">
        <v>799</v>
      </c>
      <c r="E166" s="25" t="s">
        <v>516</v>
      </c>
      <c r="F166" s="25" t="s">
        <v>706</v>
      </c>
      <c r="G166" s="50">
        <v>3005</v>
      </c>
      <c r="H166" s="50">
        <v>3</v>
      </c>
      <c r="I166" s="37">
        <v>12.8999996185303</v>
      </c>
      <c r="J166" s="37">
        <v>12.8999996185303</v>
      </c>
      <c r="K166" s="37">
        <v>12.8999996185303</v>
      </c>
      <c r="L166" s="37">
        <v>0</v>
      </c>
      <c r="M166" s="37">
        <v>100</v>
      </c>
      <c r="N166" s="37">
        <v>100</v>
      </c>
      <c r="O166" s="37">
        <v>100</v>
      </c>
      <c r="P166" s="37">
        <v>100</v>
      </c>
      <c r="Q166" s="50">
        <v>0</v>
      </c>
      <c r="R166" s="25"/>
      <c r="S166" s="25"/>
      <c r="T166" s="25"/>
      <c r="U166" s="25"/>
      <c r="V166" s="25"/>
      <c r="W166" s="25"/>
      <c r="X166" s="25"/>
      <c r="Y166" s="25"/>
      <c r="Z166" s="25"/>
      <c r="AA166" s="1"/>
      <c r="AB166" s="1"/>
      <c r="AC166" s="1"/>
      <c r="AD166" s="1"/>
      <c r="AE166" s="1"/>
      <c r="AF166" s="1"/>
      <c r="AG166" s="1"/>
      <c r="AH166" s="1"/>
      <c r="AI166" s="1"/>
      <c r="AJ166" s="1"/>
      <c r="AK166" s="6"/>
    </row>
    <row r="167" spans="1:37" x14ac:dyDescent="0.35">
      <c r="A167" s="1"/>
      <c r="B167" s="5"/>
      <c r="C167" s="25" t="s">
        <v>1022</v>
      </c>
      <c r="D167" s="25" t="s">
        <v>799</v>
      </c>
      <c r="E167" s="25" t="s">
        <v>1023</v>
      </c>
      <c r="F167" s="25" t="s">
        <v>1024</v>
      </c>
      <c r="G167" s="50">
        <v>1014.05</v>
      </c>
      <c r="H167" s="50">
        <v>2</v>
      </c>
      <c r="I167" s="37">
        <v>13.2700004577637</v>
      </c>
      <c r="J167" s="37">
        <v>13.319999694824199</v>
      </c>
      <c r="K167" s="37">
        <v>13.295000076293899</v>
      </c>
      <c r="L167" s="37">
        <v>13.319999694824199</v>
      </c>
      <c r="M167" s="37">
        <v>101.384002685547</v>
      </c>
      <c r="N167" s="37">
        <v>101.42600250244099</v>
      </c>
      <c r="O167" s="37">
        <v>101.405002593994</v>
      </c>
      <c r="P167" s="37">
        <v>101.384002685547</v>
      </c>
      <c r="Q167" s="50">
        <v>0</v>
      </c>
      <c r="R167" s="25"/>
      <c r="S167" s="25"/>
      <c r="T167" s="25"/>
      <c r="U167" s="25"/>
      <c r="V167" s="25"/>
      <c r="W167" s="25"/>
      <c r="X167" s="25"/>
      <c r="Y167" s="25"/>
      <c r="Z167" s="25"/>
      <c r="AA167" s="1"/>
      <c r="AB167" s="1"/>
      <c r="AC167" s="1"/>
      <c r="AD167" s="1"/>
      <c r="AE167" s="1"/>
      <c r="AF167" s="1"/>
      <c r="AG167" s="1"/>
      <c r="AH167" s="1"/>
      <c r="AI167" s="1"/>
      <c r="AJ167" s="1"/>
      <c r="AK167" s="6"/>
    </row>
    <row r="168" spans="1:37" x14ac:dyDescent="0.35">
      <c r="A168" s="1"/>
      <c r="B168" s="5"/>
      <c r="C168" s="25" t="s">
        <v>1025</v>
      </c>
      <c r="D168" s="25" t="s">
        <v>799</v>
      </c>
      <c r="E168" s="25" t="s">
        <v>1026</v>
      </c>
      <c r="F168" s="25" t="s">
        <v>1027</v>
      </c>
      <c r="G168" s="50">
        <v>3048.4349999999999</v>
      </c>
      <c r="H168" s="50">
        <v>3</v>
      </c>
      <c r="I168" s="37">
        <v>13.2700004577637</v>
      </c>
      <c r="J168" s="37">
        <v>13.289999961853001</v>
      </c>
      <c r="K168" s="37">
        <v>13.2800002098083</v>
      </c>
      <c r="L168" s="37">
        <v>13.289999961853001</v>
      </c>
      <c r="M168" s="37">
        <v>101.606002807617</v>
      </c>
      <c r="N168" s="37">
        <v>101.623001098633</v>
      </c>
      <c r="O168" s="37">
        <v>101.614501953125</v>
      </c>
      <c r="P168" s="37">
        <v>101.606002807617</v>
      </c>
      <c r="Q168" s="50">
        <v>0</v>
      </c>
      <c r="R168" s="25"/>
      <c r="S168" s="25"/>
      <c r="T168" s="25"/>
      <c r="U168" s="25"/>
      <c r="V168" s="25"/>
      <c r="W168" s="25"/>
      <c r="X168" s="25"/>
      <c r="Y168" s="25"/>
      <c r="Z168" s="25"/>
      <c r="AA168" s="1"/>
      <c r="AB168" s="1"/>
      <c r="AC168" s="1"/>
      <c r="AD168" s="1"/>
      <c r="AE168" s="1"/>
      <c r="AF168" s="1"/>
      <c r="AG168" s="1"/>
      <c r="AH168" s="1"/>
      <c r="AI168" s="1"/>
      <c r="AJ168" s="1"/>
      <c r="AK168" s="6"/>
    </row>
    <row r="169" spans="1:37" x14ac:dyDescent="0.35">
      <c r="A169" s="1"/>
      <c r="B169" s="5"/>
      <c r="C169" s="25" t="s">
        <v>1025</v>
      </c>
      <c r="D169" s="25" t="s">
        <v>799</v>
      </c>
      <c r="E169" s="25" t="s">
        <v>1023</v>
      </c>
      <c r="F169" s="25" t="s">
        <v>1028</v>
      </c>
      <c r="G169" s="50">
        <v>2027.83</v>
      </c>
      <c r="H169" s="50">
        <v>2</v>
      </c>
      <c r="I169" s="37">
        <v>13.1400003433228</v>
      </c>
      <c r="J169" s="37">
        <v>13.1599998474121</v>
      </c>
      <c r="K169" s="37">
        <v>13.1500000953674</v>
      </c>
      <c r="L169" s="37">
        <v>13.1599998474121</v>
      </c>
      <c r="M169" s="37">
        <v>101.38500213623</v>
      </c>
      <c r="N169" s="37">
        <v>101.398002624512</v>
      </c>
      <c r="O169" s="37">
        <v>101.39150238037099</v>
      </c>
      <c r="P169" s="37">
        <v>101.38500213623</v>
      </c>
      <c r="Q169" s="50">
        <v>0</v>
      </c>
      <c r="R169" s="25"/>
      <c r="S169" s="25"/>
      <c r="T169" s="25"/>
      <c r="U169" s="25"/>
      <c r="V169" s="25"/>
      <c r="W169" s="25"/>
      <c r="X169" s="25"/>
      <c r="Y169" s="25"/>
      <c r="Z169" s="25"/>
      <c r="AA169" s="1"/>
      <c r="AB169" s="1"/>
      <c r="AC169" s="1"/>
      <c r="AD169" s="1"/>
      <c r="AE169" s="1"/>
      <c r="AF169" s="1"/>
      <c r="AG169" s="1"/>
      <c r="AH169" s="1"/>
      <c r="AI169" s="1"/>
      <c r="AJ169" s="1"/>
      <c r="AK169" s="6"/>
    </row>
    <row r="170" spans="1:37" x14ac:dyDescent="0.35">
      <c r="A170" s="1"/>
      <c r="B170" s="5"/>
      <c r="C170" s="25" t="s">
        <v>1025</v>
      </c>
      <c r="D170" s="25" t="s">
        <v>799</v>
      </c>
      <c r="E170" s="25" t="s">
        <v>1029</v>
      </c>
      <c r="F170" s="25" t="s">
        <v>1030</v>
      </c>
      <c r="G170" s="50">
        <v>4050.83</v>
      </c>
      <c r="H170" s="50">
        <v>5</v>
      </c>
      <c r="I170" s="37">
        <v>12.2799997329712</v>
      </c>
      <c r="J170" s="37">
        <v>12.7799997329712</v>
      </c>
      <c r="K170" s="37">
        <v>12.647499799728401</v>
      </c>
      <c r="L170" s="37">
        <v>12.75</v>
      </c>
      <c r="M170" s="37">
        <v>101.21099853515599</v>
      </c>
      <c r="N170" s="37">
        <v>101.43699645996099</v>
      </c>
      <c r="O170" s="37">
        <v>101.270748138428</v>
      </c>
      <c r="P170" s="37">
        <v>101.223999023438</v>
      </c>
      <c r="Q170" s="50">
        <v>0</v>
      </c>
      <c r="R170" s="25"/>
      <c r="S170" s="25"/>
      <c r="T170" s="25"/>
      <c r="U170" s="25"/>
      <c r="V170" s="25"/>
      <c r="W170" s="25"/>
      <c r="X170" s="25"/>
      <c r="Y170" s="25"/>
      <c r="Z170" s="25"/>
      <c r="AA170" s="1"/>
      <c r="AB170" s="1"/>
      <c r="AC170" s="1"/>
      <c r="AD170" s="1"/>
      <c r="AE170" s="1"/>
      <c r="AF170" s="1"/>
      <c r="AG170" s="1"/>
      <c r="AH170" s="1"/>
      <c r="AI170" s="1"/>
      <c r="AJ170" s="1"/>
      <c r="AK170" s="6"/>
    </row>
    <row r="171" spans="1:37" x14ac:dyDescent="0.35">
      <c r="A171" s="1"/>
      <c r="B171" s="5"/>
      <c r="C171" s="25" t="s">
        <v>1025</v>
      </c>
      <c r="D171" s="25" t="s">
        <v>799</v>
      </c>
      <c r="E171" s="25" t="s">
        <v>1031</v>
      </c>
      <c r="F171" s="25" t="s">
        <v>878</v>
      </c>
      <c r="G171" s="50">
        <v>4048.78</v>
      </c>
      <c r="H171" s="50">
        <v>2</v>
      </c>
      <c r="I171" s="37">
        <v>13.1400003433228</v>
      </c>
      <c r="J171" s="37">
        <v>13.1599998474121</v>
      </c>
      <c r="K171" s="37">
        <v>13.1500000953674</v>
      </c>
      <c r="L171" s="37">
        <v>13.1599998474121</v>
      </c>
      <c r="M171" s="37">
        <v>101.212997436523</v>
      </c>
      <c r="N171" s="37">
        <v>101.225997924805</v>
      </c>
      <c r="O171" s="37">
        <v>101.21949768066401</v>
      </c>
      <c r="P171" s="37">
        <v>101.212997436523</v>
      </c>
      <c r="Q171" s="50">
        <v>0</v>
      </c>
      <c r="R171" s="25"/>
      <c r="S171" s="25"/>
      <c r="T171" s="25"/>
      <c r="U171" s="25"/>
      <c r="V171" s="25"/>
      <c r="W171" s="25"/>
      <c r="X171" s="25"/>
      <c r="Y171" s="25"/>
      <c r="Z171" s="25"/>
      <c r="AA171" s="1"/>
      <c r="AB171" s="1"/>
      <c r="AC171" s="1"/>
      <c r="AD171" s="1"/>
      <c r="AE171" s="1"/>
      <c r="AF171" s="1"/>
      <c r="AG171" s="1"/>
      <c r="AH171" s="1"/>
      <c r="AI171" s="1"/>
      <c r="AJ171" s="1"/>
      <c r="AK171" s="6"/>
    </row>
    <row r="172" spans="1:37" x14ac:dyDescent="0.35">
      <c r="A172" s="1"/>
      <c r="B172" s="5"/>
      <c r="C172" s="25" t="s">
        <v>1025</v>
      </c>
      <c r="D172" s="25" t="s">
        <v>799</v>
      </c>
      <c r="E172" s="25" t="s">
        <v>1032</v>
      </c>
      <c r="F172" s="25" t="s">
        <v>1033</v>
      </c>
      <c r="G172" s="50">
        <v>2020.69</v>
      </c>
      <c r="H172" s="50">
        <v>2</v>
      </c>
      <c r="I172" s="37">
        <v>13.1400003433228</v>
      </c>
      <c r="J172" s="37">
        <v>13.1599998474121</v>
      </c>
      <c r="K172" s="37">
        <v>13.1500000953674</v>
      </c>
      <c r="L172" s="37">
        <v>13.1599998474121</v>
      </c>
      <c r="M172" s="37">
        <v>101.02799987793</v>
      </c>
      <c r="N172" s="37">
        <v>101.04100036621099</v>
      </c>
      <c r="O172" s="37">
        <v>101.03450012207</v>
      </c>
      <c r="P172" s="37">
        <v>101.02799987793</v>
      </c>
      <c r="Q172" s="50">
        <v>0</v>
      </c>
      <c r="R172" s="25"/>
      <c r="S172" s="25"/>
      <c r="T172" s="25"/>
      <c r="U172" s="25"/>
      <c r="V172" s="25"/>
      <c r="W172" s="25"/>
      <c r="X172" s="25"/>
      <c r="Y172" s="25"/>
      <c r="Z172" s="25"/>
      <c r="AA172" s="1"/>
      <c r="AB172" s="1"/>
      <c r="AC172" s="1"/>
      <c r="AD172" s="1"/>
      <c r="AE172" s="1"/>
      <c r="AF172" s="1"/>
      <c r="AG172" s="1"/>
      <c r="AH172" s="1"/>
      <c r="AI172" s="1"/>
      <c r="AJ172" s="1"/>
      <c r="AK172" s="6"/>
    </row>
    <row r="173" spans="1:37" x14ac:dyDescent="0.35">
      <c r="A173" s="1"/>
      <c r="B173" s="5"/>
      <c r="C173" s="25" t="s">
        <v>726</v>
      </c>
      <c r="D173" s="25" t="s">
        <v>799</v>
      </c>
      <c r="E173" s="25" t="s">
        <v>1034</v>
      </c>
      <c r="F173" s="25" t="s">
        <v>1035</v>
      </c>
      <c r="G173" s="50">
        <v>491.565</v>
      </c>
      <c r="H173" s="50">
        <v>1</v>
      </c>
      <c r="I173" s="37">
        <v>13.5900001525879</v>
      </c>
      <c r="J173" s="37">
        <v>13.5900001525879</v>
      </c>
      <c r="K173" s="37">
        <v>13.5900001525879</v>
      </c>
      <c r="L173" s="37">
        <v>13.5900001525879</v>
      </c>
      <c r="M173" s="37">
        <v>98.313003540039105</v>
      </c>
      <c r="N173" s="37">
        <v>98.313003540039105</v>
      </c>
      <c r="O173" s="37">
        <v>98.313003540039105</v>
      </c>
      <c r="P173" s="37">
        <v>98.313003540039105</v>
      </c>
      <c r="Q173" s="50">
        <v>0</v>
      </c>
      <c r="R173" s="25"/>
      <c r="S173" s="25"/>
      <c r="T173" s="25"/>
      <c r="U173" s="25"/>
      <c r="V173" s="25"/>
      <c r="W173" s="25"/>
      <c r="X173" s="25"/>
      <c r="Y173" s="25"/>
      <c r="Z173" s="25"/>
      <c r="AA173" s="1"/>
      <c r="AB173" s="1"/>
      <c r="AC173" s="1"/>
      <c r="AD173" s="1"/>
      <c r="AE173" s="1"/>
      <c r="AF173" s="1"/>
      <c r="AG173" s="1"/>
      <c r="AH173" s="1"/>
      <c r="AI173" s="1"/>
      <c r="AJ173" s="1"/>
      <c r="AK173" s="6"/>
    </row>
    <row r="174" spans="1:37" x14ac:dyDescent="0.35">
      <c r="A174" s="1"/>
      <c r="B174" s="5"/>
      <c r="C174" s="25" t="s">
        <v>726</v>
      </c>
      <c r="D174" s="25" t="s">
        <v>799</v>
      </c>
      <c r="E174" s="25" t="s">
        <v>1036</v>
      </c>
      <c r="F174" s="25" t="s">
        <v>1037</v>
      </c>
      <c r="G174" s="50">
        <v>25.632619999999999</v>
      </c>
      <c r="H174" s="50">
        <v>1</v>
      </c>
      <c r="I174" s="37">
        <v>13.8999996185303</v>
      </c>
      <c r="J174" s="37">
        <v>13.8999996185303</v>
      </c>
      <c r="K174" s="37">
        <v>13.8999996185303</v>
      </c>
      <c r="L174" s="37">
        <v>13.8999996185303</v>
      </c>
      <c r="M174" s="37">
        <v>98.586997985839801</v>
      </c>
      <c r="N174" s="37">
        <v>98.586997985839801</v>
      </c>
      <c r="O174" s="37">
        <v>98.586997985839801</v>
      </c>
      <c r="P174" s="37">
        <v>98.586997985839801</v>
      </c>
      <c r="Q174" s="50">
        <v>0</v>
      </c>
      <c r="R174" s="25"/>
      <c r="S174" s="25"/>
      <c r="T174" s="25"/>
      <c r="U174" s="25"/>
      <c r="V174" s="25"/>
      <c r="W174" s="25"/>
      <c r="X174" s="25"/>
      <c r="Y174" s="25"/>
      <c r="Z174" s="25"/>
      <c r="AA174" s="1"/>
      <c r="AB174" s="1"/>
      <c r="AC174" s="1"/>
      <c r="AD174" s="1"/>
      <c r="AE174" s="1"/>
      <c r="AF174" s="1"/>
      <c r="AG174" s="1"/>
      <c r="AH174" s="1"/>
      <c r="AI174" s="1"/>
      <c r="AJ174" s="1"/>
      <c r="AK174" s="6"/>
    </row>
    <row r="175" spans="1:37" x14ac:dyDescent="0.35">
      <c r="A175" s="1"/>
      <c r="B175" s="5"/>
      <c r="C175" s="25" t="s">
        <v>728</v>
      </c>
      <c r="D175" s="25" t="s">
        <v>1038</v>
      </c>
      <c r="E175" s="25" t="s">
        <v>516</v>
      </c>
      <c r="F175" s="25" t="s">
        <v>711</v>
      </c>
      <c r="G175" s="50">
        <v>697.7</v>
      </c>
      <c r="H175" s="50">
        <v>3</v>
      </c>
      <c r="I175" s="37">
        <v>12.3900003433228</v>
      </c>
      <c r="J175" s="37">
        <v>12.3900003433228</v>
      </c>
      <c r="K175" s="37">
        <v>12.3900003433228</v>
      </c>
      <c r="L175" s="37">
        <v>0</v>
      </c>
      <c r="M175" s="37">
        <v>100</v>
      </c>
      <c r="N175" s="37">
        <v>100</v>
      </c>
      <c r="O175" s="37">
        <v>100</v>
      </c>
      <c r="P175" s="37">
        <v>100</v>
      </c>
      <c r="Q175" s="50">
        <v>0</v>
      </c>
      <c r="R175" s="25"/>
      <c r="S175" s="25"/>
      <c r="T175" s="25"/>
      <c r="U175" s="25"/>
      <c r="V175" s="25"/>
      <c r="W175" s="25"/>
      <c r="X175" s="25"/>
      <c r="Y175" s="25"/>
      <c r="Z175" s="25"/>
      <c r="AA175" s="1"/>
      <c r="AB175" s="1"/>
      <c r="AC175" s="1"/>
      <c r="AD175" s="1"/>
      <c r="AE175" s="1"/>
      <c r="AF175" s="1"/>
      <c r="AG175" s="1"/>
      <c r="AH175" s="1"/>
      <c r="AI175" s="1"/>
      <c r="AJ175" s="1"/>
      <c r="AK175" s="6"/>
    </row>
    <row r="176" spans="1:37" x14ac:dyDescent="0.35">
      <c r="A176" s="1"/>
      <c r="B176" s="5"/>
      <c r="C176" s="25" t="s">
        <v>1039</v>
      </c>
      <c r="D176" s="25" t="s">
        <v>799</v>
      </c>
      <c r="E176" s="25" t="s">
        <v>1040</v>
      </c>
      <c r="F176" s="25" t="s">
        <v>1041</v>
      </c>
      <c r="G176" s="50">
        <v>1013.125</v>
      </c>
      <c r="H176" s="50">
        <v>2</v>
      </c>
      <c r="I176" s="37">
        <v>13.2799997329712</v>
      </c>
      <c r="J176" s="37">
        <v>13.300000190734901</v>
      </c>
      <c r="K176" s="37">
        <v>13.289999961853001</v>
      </c>
      <c r="L176" s="37">
        <v>13.300000190734901</v>
      </c>
      <c r="M176" s="37">
        <v>101.30300140380901</v>
      </c>
      <c r="N176" s="37">
        <v>101.32199859619099</v>
      </c>
      <c r="O176" s="37">
        <v>101.3125</v>
      </c>
      <c r="P176" s="37">
        <v>101.30300140380901</v>
      </c>
      <c r="Q176" s="50">
        <v>0</v>
      </c>
      <c r="R176" s="25"/>
      <c r="S176" s="25"/>
      <c r="T176" s="25"/>
      <c r="U176" s="25"/>
      <c r="V176" s="25"/>
      <c r="W176" s="25"/>
      <c r="X176" s="25"/>
      <c r="Y176" s="25"/>
      <c r="Z176" s="25"/>
      <c r="AA176" s="1"/>
      <c r="AB176" s="1"/>
      <c r="AC176" s="1"/>
      <c r="AD176" s="1"/>
      <c r="AE176" s="1"/>
      <c r="AF176" s="1"/>
      <c r="AG176" s="1"/>
      <c r="AH176" s="1"/>
      <c r="AI176" s="1"/>
      <c r="AJ176" s="1"/>
      <c r="AK176" s="6"/>
    </row>
    <row r="177" spans="1:37" x14ac:dyDescent="0.35">
      <c r="A177" s="1"/>
      <c r="B177" s="5"/>
      <c r="C177" s="25" t="s">
        <v>730</v>
      </c>
      <c r="D177" s="25" t="s">
        <v>799</v>
      </c>
      <c r="E177" s="25" t="s">
        <v>1042</v>
      </c>
      <c r="F177" s="25" t="s">
        <v>1043</v>
      </c>
      <c r="G177" s="50">
        <v>1008.99</v>
      </c>
      <c r="H177" s="50">
        <v>1</v>
      </c>
      <c r="I177" s="37">
        <v>12.2959995269775</v>
      </c>
      <c r="J177" s="37">
        <v>12.2959995269775</v>
      </c>
      <c r="K177" s="37">
        <v>12.2959995269775</v>
      </c>
      <c r="L177" s="37">
        <v>12.2959995269775</v>
      </c>
      <c r="M177" s="37">
        <v>100.899002075195</v>
      </c>
      <c r="N177" s="37">
        <v>100.899002075195</v>
      </c>
      <c r="O177" s="37">
        <v>100.899002075195</v>
      </c>
      <c r="P177" s="37">
        <v>100.899002075195</v>
      </c>
      <c r="Q177" s="50">
        <v>0</v>
      </c>
      <c r="R177" s="25"/>
      <c r="S177" s="25"/>
      <c r="T177" s="25"/>
      <c r="U177" s="25"/>
      <c r="V177" s="25"/>
      <c r="W177" s="25"/>
      <c r="X177" s="25"/>
      <c r="Y177" s="25"/>
      <c r="Z177" s="25"/>
      <c r="AA177" s="1"/>
      <c r="AB177" s="1"/>
      <c r="AC177" s="1"/>
      <c r="AD177" s="1"/>
      <c r="AE177" s="1"/>
      <c r="AF177" s="1"/>
      <c r="AG177" s="1"/>
      <c r="AH177" s="1"/>
      <c r="AI177" s="1"/>
      <c r="AJ177" s="1"/>
      <c r="AK177" s="6"/>
    </row>
    <row r="178" spans="1:37" x14ac:dyDescent="0.35">
      <c r="A178" s="1"/>
      <c r="B178" s="5"/>
      <c r="C178" s="25" t="s">
        <v>730</v>
      </c>
      <c r="D178" s="25" t="s">
        <v>799</v>
      </c>
      <c r="E178" s="25" t="s">
        <v>499</v>
      </c>
      <c r="F178" s="25" t="s">
        <v>1044</v>
      </c>
      <c r="G178" s="50">
        <v>10145.75</v>
      </c>
      <c r="H178" s="50">
        <v>5</v>
      </c>
      <c r="I178" s="37">
        <v>12.5080003738403</v>
      </c>
      <c r="J178" s="37">
        <v>12.5299997329712</v>
      </c>
      <c r="K178" s="37">
        <v>12.519000053405801</v>
      </c>
      <c r="L178" s="37">
        <v>12.5080003738403</v>
      </c>
      <c r="M178" s="37">
        <v>101.44899749755901</v>
      </c>
      <c r="N178" s="37">
        <v>101.46600341796901</v>
      </c>
      <c r="O178" s="37">
        <v>101.457500457764</v>
      </c>
      <c r="P178" s="37">
        <v>101.46600341796901</v>
      </c>
      <c r="Q178" s="50">
        <v>0</v>
      </c>
      <c r="R178" s="25"/>
      <c r="S178" s="25"/>
      <c r="T178" s="25"/>
      <c r="U178" s="25"/>
      <c r="V178" s="25"/>
      <c r="W178" s="25"/>
      <c r="X178" s="25"/>
      <c r="Y178" s="25"/>
      <c r="Z178" s="25"/>
      <c r="AA178" s="1"/>
      <c r="AB178" s="1"/>
      <c r="AC178" s="1"/>
      <c r="AD178" s="1"/>
      <c r="AE178" s="1"/>
      <c r="AF178" s="1"/>
      <c r="AG178" s="1"/>
      <c r="AH178" s="1"/>
      <c r="AI178" s="1"/>
      <c r="AJ178" s="1"/>
      <c r="AK178" s="6"/>
    </row>
    <row r="179" spans="1:37" x14ac:dyDescent="0.35">
      <c r="A179" s="1"/>
      <c r="B179" s="5"/>
      <c r="C179" s="25" t="s">
        <v>730</v>
      </c>
      <c r="D179" s="25" t="s">
        <v>799</v>
      </c>
      <c r="E179" s="25" t="s">
        <v>499</v>
      </c>
      <c r="F179" s="25" t="s">
        <v>1045</v>
      </c>
      <c r="G179" s="50">
        <v>5123.5</v>
      </c>
      <c r="H179" s="50">
        <v>2</v>
      </c>
      <c r="I179" s="37">
        <v>12.180000305175801</v>
      </c>
      <c r="J179" s="37">
        <v>12.774000167846699</v>
      </c>
      <c r="K179" s="37">
        <v>12.4770002365112</v>
      </c>
      <c r="L179" s="37">
        <v>12.180000305175801</v>
      </c>
      <c r="M179" s="37">
        <v>102.00399780273401</v>
      </c>
      <c r="N179" s="37">
        <v>102.935997009277</v>
      </c>
      <c r="O179" s="37">
        <v>102.469997406006</v>
      </c>
      <c r="P179" s="37">
        <v>102.935997009277</v>
      </c>
      <c r="Q179" s="50">
        <v>0</v>
      </c>
      <c r="R179" s="25"/>
      <c r="S179" s="25"/>
      <c r="T179" s="25"/>
      <c r="U179" s="25"/>
      <c r="V179" s="25"/>
      <c r="W179" s="25"/>
      <c r="X179" s="25"/>
      <c r="Y179" s="25"/>
      <c r="Z179" s="25"/>
      <c r="AA179" s="1"/>
      <c r="AB179" s="1"/>
      <c r="AC179" s="1"/>
      <c r="AD179" s="1"/>
      <c r="AE179" s="1"/>
      <c r="AF179" s="1"/>
      <c r="AG179" s="1"/>
      <c r="AH179" s="1"/>
      <c r="AI179" s="1"/>
      <c r="AJ179" s="1"/>
      <c r="AK179" s="6"/>
    </row>
    <row r="180" spans="1:37" x14ac:dyDescent="0.35">
      <c r="A180" s="1"/>
      <c r="B180" s="5"/>
      <c r="C180" s="25" t="s">
        <v>731</v>
      </c>
      <c r="D180" s="25" t="s">
        <v>799</v>
      </c>
      <c r="E180" s="25" t="s">
        <v>1046</v>
      </c>
      <c r="F180" s="25" t="s">
        <v>1047</v>
      </c>
      <c r="G180" s="50">
        <v>1027.3699999999999</v>
      </c>
      <c r="H180" s="50">
        <v>1</v>
      </c>
      <c r="I180" s="37">
        <v>13.5200004577637</v>
      </c>
      <c r="J180" s="37">
        <v>13.5200004577637</v>
      </c>
      <c r="K180" s="37">
        <v>13.5200004577637</v>
      </c>
      <c r="L180" s="37">
        <v>13.5200004577637</v>
      </c>
      <c r="M180" s="37">
        <v>102.73699951171901</v>
      </c>
      <c r="N180" s="37">
        <v>102.73699951171901</v>
      </c>
      <c r="O180" s="37">
        <v>102.73699951171901</v>
      </c>
      <c r="P180" s="37">
        <v>102.73699951171901</v>
      </c>
      <c r="Q180" s="50">
        <v>0</v>
      </c>
      <c r="R180" s="25"/>
      <c r="S180" s="25"/>
      <c r="T180" s="25"/>
      <c r="U180" s="25"/>
      <c r="V180" s="25"/>
      <c r="W180" s="25"/>
      <c r="X180" s="25"/>
      <c r="Y180" s="25"/>
      <c r="Z180" s="25"/>
      <c r="AA180" s="1"/>
      <c r="AB180" s="1"/>
      <c r="AC180" s="1"/>
      <c r="AD180" s="1"/>
      <c r="AE180" s="1"/>
      <c r="AF180" s="1"/>
      <c r="AG180" s="1"/>
      <c r="AH180" s="1"/>
      <c r="AI180" s="1"/>
      <c r="AJ180" s="1"/>
      <c r="AK180" s="6"/>
    </row>
    <row r="181" spans="1:37" x14ac:dyDescent="0.35">
      <c r="A181" s="1"/>
      <c r="B181" s="5"/>
      <c r="C181" s="25" t="s">
        <v>731</v>
      </c>
      <c r="D181" s="25" t="s">
        <v>799</v>
      </c>
      <c r="E181" s="25" t="s">
        <v>1048</v>
      </c>
      <c r="F181" s="25" t="s">
        <v>1049</v>
      </c>
      <c r="G181" s="50">
        <v>497.755</v>
      </c>
      <c r="H181" s="50">
        <v>2</v>
      </c>
      <c r="I181" s="37">
        <v>13.6000003814697</v>
      </c>
      <c r="J181" s="37">
        <v>13.6000003814697</v>
      </c>
      <c r="K181" s="37">
        <v>13.6000003814697</v>
      </c>
      <c r="L181" s="37">
        <v>13.6000003814697</v>
      </c>
      <c r="M181" s="37">
        <v>99.551002502441406</v>
      </c>
      <c r="N181" s="37">
        <v>99.551002502441406</v>
      </c>
      <c r="O181" s="37">
        <v>99.551002502441406</v>
      </c>
      <c r="P181" s="37">
        <v>99.551002502441406</v>
      </c>
      <c r="Q181" s="50">
        <v>0</v>
      </c>
      <c r="R181" s="25"/>
      <c r="S181" s="25"/>
      <c r="T181" s="25"/>
      <c r="U181" s="25"/>
      <c r="V181" s="25"/>
      <c r="W181" s="25"/>
      <c r="X181" s="25"/>
      <c r="Y181" s="25"/>
      <c r="Z181" s="25"/>
      <c r="AA181" s="1"/>
      <c r="AB181" s="1"/>
      <c r="AC181" s="1"/>
      <c r="AD181" s="1"/>
      <c r="AE181" s="1"/>
      <c r="AF181" s="1"/>
      <c r="AG181" s="1"/>
      <c r="AH181" s="1"/>
      <c r="AI181" s="1"/>
      <c r="AJ181" s="1"/>
      <c r="AK181" s="6"/>
    </row>
    <row r="182" spans="1:37" x14ac:dyDescent="0.35">
      <c r="A182" s="1"/>
      <c r="B182" s="5"/>
      <c r="C182" s="25" t="s">
        <v>731</v>
      </c>
      <c r="D182" s="25" t="s">
        <v>799</v>
      </c>
      <c r="E182" s="25" t="s">
        <v>1050</v>
      </c>
      <c r="F182" s="25" t="s">
        <v>1051</v>
      </c>
      <c r="G182" s="50">
        <v>2518.625</v>
      </c>
      <c r="H182" s="50">
        <v>1</v>
      </c>
      <c r="I182" s="37">
        <v>12</v>
      </c>
      <c r="J182" s="37">
        <v>12</v>
      </c>
      <c r="K182" s="37">
        <v>12</v>
      </c>
      <c r="L182" s="37">
        <v>12</v>
      </c>
      <c r="M182" s="37">
        <v>100.745002746582</v>
      </c>
      <c r="N182" s="37">
        <v>100.745002746582</v>
      </c>
      <c r="O182" s="37">
        <v>100.745002746582</v>
      </c>
      <c r="P182" s="37">
        <v>100.745002746582</v>
      </c>
      <c r="Q182" s="50">
        <v>0</v>
      </c>
      <c r="R182" s="25"/>
      <c r="S182" s="25"/>
      <c r="T182" s="25"/>
      <c r="U182" s="25"/>
      <c r="V182" s="25"/>
      <c r="W182" s="25"/>
      <c r="X182" s="25"/>
      <c r="Y182" s="25"/>
      <c r="Z182" s="25"/>
      <c r="AA182" s="1"/>
      <c r="AB182" s="1"/>
      <c r="AC182" s="1"/>
      <c r="AD182" s="1"/>
      <c r="AE182" s="1"/>
      <c r="AF182" s="1"/>
      <c r="AG182" s="1"/>
      <c r="AH182" s="1"/>
      <c r="AI182" s="1"/>
      <c r="AJ182" s="1"/>
      <c r="AK182" s="6"/>
    </row>
    <row r="183" spans="1:37" x14ac:dyDescent="0.35">
      <c r="A183" s="1"/>
      <c r="B183" s="5"/>
      <c r="C183" s="25" t="s">
        <v>731</v>
      </c>
      <c r="D183" s="25" t="s">
        <v>799</v>
      </c>
      <c r="E183" s="25" t="s">
        <v>1052</v>
      </c>
      <c r="F183" s="25" t="s">
        <v>1053</v>
      </c>
      <c r="G183" s="50">
        <v>202.41</v>
      </c>
      <c r="H183" s="50">
        <v>1</v>
      </c>
      <c r="I183" s="37">
        <v>11.5</v>
      </c>
      <c r="J183" s="37">
        <v>11.5</v>
      </c>
      <c r="K183" s="37">
        <v>11.5</v>
      </c>
      <c r="L183" s="37">
        <v>11.5</v>
      </c>
      <c r="M183" s="37">
        <v>101.205001831055</v>
      </c>
      <c r="N183" s="37">
        <v>101.205001831055</v>
      </c>
      <c r="O183" s="37">
        <v>101.205001831055</v>
      </c>
      <c r="P183" s="37">
        <v>101.205001831055</v>
      </c>
      <c r="Q183" s="50">
        <v>0</v>
      </c>
      <c r="R183" s="25"/>
      <c r="S183" s="25"/>
      <c r="T183" s="25"/>
      <c r="U183" s="25"/>
      <c r="V183" s="25"/>
      <c r="W183" s="25"/>
      <c r="X183" s="25"/>
      <c r="Y183" s="25"/>
      <c r="Z183" s="25"/>
      <c r="AA183" s="1"/>
      <c r="AB183" s="1"/>
      <c r="AC183" s="1"/>
      <c r="AD183" s="1"/>
      <c r="AE183" s="1"/>
      <c r="AF183" s="1"/>
      <c r="AG183" s="1"/>
      <c r="AH183" s="1"/>
      <c r="AI183" s="1"/>
      <c r="AJ183" s="1"/>
      <c r="AK183" s="6"/>
    </row>
    <row r="184" spans="1:37" x14ac:dyDescent="0.35">
      <c r="A184" s="1"/>
      <c r="B184" s="5"/>
      <c r="C184" s="25" t="s">
        <v>731</v>
      </c>
      <c r="D184" s="25" t="s">
        <v>799</v>
      </c>
      <c r="E184" s="25" t="s">
        <v>502</v>
      </c>
      <c r="F184" s="25" t="s">
        <v>1054</v>
      </c>
      <c r="G184" s="50">
        <v>834.16425000000004</v>
      </c>
      <c r="H184" s="50">
        <v>3</v>
      </c>
      <c r="I184" s="37">
        <v>12.435000419616699</v>
      </c>
      <c r="J184" s="37">
        <v>12.699999809265099</v>
      </c>
      <c r="K184" s="37">
        <v>12.603811283077</v>
      </c>
      <c r="L184" s="37">
        <v>12.699999809265099</v>
      </c>
      <c r="M184" s="37">
        <v>100.84999847412099</v>
      </c>
      <c r="N184" s="37">
        <v>101.06300354003901</v>
      </c>
      <c r="O184" s="37">
        <v>100.927314287521</v>
      </c>
      <c r="P184" s="37">
        <v>100.84999847412099</v>
      </c>
      <c r="Q184" s="50">
        <v>0</v>
      </c>
      <c r="R184" s="25"/>
      <c r="S184" s="25"/>
      <c r="T184" s="25"/>
      <c r="U184" s="25"/>
      <c r="V184" s="25"/>
      <c r="W184" s="25"/>
      <c r="X184" s="25"/>
      <c r="Y184" s="25"/>
      <c r="Z184" s="25"/>
      <c r="AA184" s="1"/>
      <c r="AB184" s="1"/>
      <c r="AC184" s="1"/>
      <c r="AD184" s="1"/>
      <c r="AE184" s="1"/>
      <c r="AF184" s="1"/>
      <c r="AG184" s="1"/>
      <c r="AH184" s="1"/>
      <c r="AI184" s="1"/>
      <c r="AJ184" s="1"/>
      <c r="AK184" s="6"/>
    </row>
    <row r="185" spans="1:37" x14ac:dyDescent="0.35">
      <c r="A185" s="1"/>
      <c r="B185" s="5"/>
      <c r="C185" s="25" t="s">
        <v>731</v>
      </c>
      <c r="D185" s="25" t="s">
        <v>799</v>
      </c>
      <c r="E185" s="25" t="s">
        <v>504</v>
      </c>
      <c r="F185" s="25" t="s">
        <v>984</v>
      </c>
      <c r="G185" s="50">
        <v>101.937</v>
      </c>
      <c r="H185" s="50">
        <v>1</v>
      </c>
      <c r="I185" s="37">
        <v>12.5</v>
      </c>
      <c r="J185" s="37">
        <v>12.5</v>
      </c>
      <c r="K185" s="37">
        <v>12.5</v>
      </c>
      <c r="L185" s="37">
        <v>12.5</v>
      </c>
      <c r="M185" s="37">
        <v>101.93699645996099</v>
      </c>
      <c r="N185" s="37">
        <v>101.93699645996099</v>
      </c>
      <c r="O185" s="37">
        <v>101.93699645996099</v>
      </c>
      <c r="P185" s="37">
        <v>101.93699645996099</v>
      </c>
      <c r="Q185" s="50">
        <v>0</v>
      </c>
      <c r="R185" s="25"/>
      <c r="S185" s="25"/>
      <c r="T185" s="25"/>
      <c r="U185" s="25"/>
      <c r="V185" s="25"/>
      <c r="W185" s="25"/>
      <c r="X185" s="25"/>
      <c r="Y185" s="25"/>
      <c r="Z185" s="25"/>
      <c r="AA185" s="1"/>
      <c r="AB185" s="1"/>
      <c r="AC185" s="1"/>
      <c r="AD185" s="1"/>
      <c r="AE185" s="1"/>
      <c r="AF185" s="1"/>
      <c r="AG185" s="1"/>
      <c r="AH185" s="1"/>
      <c r="AI185" s="1"/>
      <c r="AJ185" s="1"/>
      <c r="AK185" s="6"/>
    </row>
    <row r="186" spans="1:37" x14ac:dyDescent="0.35">
      <c r="A186" s="1"/>
      <c r="B186" s="5"/>
      <c r="C186" s="25" t="s">
        <v>731</v>
      </c>
      <c r="D186" s="25" t="s">
        <v>799</v>
      </c>
      <c r="E186" s="25" t="s">
        <v>514</v>
      </c>
      <c r="F186" s="25" t="s">
        <v>1055</v>
      </c>
      <c r="G186" s="50">
        <v>361.12675999999999</v>
      </c>
      <c r="H186" s="50">
        <v>2</v>
      </c>
      <c r="I186" s="37">
        <v>12</v>
      </c>
      <c r="J186" s="37">
        <v>12.1000003814697</v>
      </c>
      <c r="K186" s="37">
        <v>12.0656512199677</v>
      </c>
      <c r="L186" s="37">
        <v>12</v>
      </c>
      <c r="M186" s="37">
        <v>100.01999664306599</v>
      </c>
      <c r="N186" s="37">
        <v>100.064002990723</v>
      </c>
      <c r="O186" s="37">
        <v>100.03511239683201</v>
      </c>
      <c r="P186" s="37">
        <v>100.064002990723</v>
      </c>
      <c r="Q186" s="50">
        <v>0</v>
      </c>
      <c r="R186" s="25"/>
      <c r="S186" s="25"/>
      <c r="T186" s="25"/>
      <c r="U186" s="25"/>
      <c r="V186" s="25"/>
      <c r="W186" s="25"/>
      <c r="X186" s="25"/>
      <c r="Y186" s="25"/>
      <c r="Z186" s="25"/>
      <c r="AA186" s="1"/>
      <c r="AB186" s="1"/>
      <c r="AC186" s="1"/>
      <c r="AD186" s="1"/>
      <c r="AE186" s="1"/>
      <c r="AF186" s="1"/>
      <c r="AG186" s="1"/>
      <c r="AH186" s="1"/>
      <c r="AI186" s="1"/>
      <c r="AJ186" s="1"/>
      <c r="AK186" s="6"/>
    </row>
    <row r="187" spans="1:37" x14ac:dyDescent="0.35">
      <c r="A187" s="1"/>
      <c r="B187" s="5"/>
      <c r="C187" s="25" t="s">
        <v>731</v>
      </c>
      <c r="D187" s="25" t="s">
        <v>799</v>
      </c>
      <c r="E187" s="25" t="s">
        <v>514</v>
      </c>
      <c r="F187" s="25" t="s">
        <v>1056</v>
      </c>
      <c r="G187" s="50">
        <v>889.85599999999999</v>
      </c>
      <c r="H187" s="50">
        <v>4</v>
      </c>
      <c r="I187" s="37">
        <v>12.5</v>
      </c>
      <c r="J187" s="37">
        <v>12.5</v>
      </c>
      <c r="K187" s="37">
        <v>12.5</v>
      </c>
      <c r="L187" s="37">
        <v>12.5</v>
      </c>
      <c r="M187" s="37">
        <v>101.120002746582</v>
      </c>
      <c r="N187" s="37">
        <v>101.120002746582</v>
      </c>
      <c r="O187" s="37">
        <v>101.120002746582</v>
      </c>
      <c r="P187" s="37">
        <v>101.120002746582</v>
      </c>
      <c r="Q187" s="50">
        <v>0</v>
      </c>
      <c r="R187" s="25"/>
      <c r="S187" s="25"/>
      <c r="T187" s="25"/>
      <c r="U187" s="25"/>
      <c r="V187" s="25"/>
      <c r="W187" s="25"/>
      <c r="X187" s="25"/>
      <c r="Y187" s="25"/>
      <c r="Z187" s="25"/>
      <c r="AA187" s="1"/>
      <c r="AB187" s="1"/>
      <c r="AC187" s="1"/>
      <c r="AD187" s="1"/>
      <c r="AE187" s="1"/>
      <c r="AF187" s="1"/>
      <c r="AG187" s="1"/>
      <c r="AH187" s="1"/>
      <c r="AI187" s="1"/>
      <c r="AJ187" s="1"/>
      <c r="AK187" s="6"/>
    </row>
    <row r="188" spans="1:37" x14ac:dyDescent="0.35">
      <c r="A188" s="1"/>
      <c r="B188" s="5"/>
      <c r="C188" s="25" t="s">
        <v>731</v>
      </c>
      <c r="D188" s="25" t="s">
        <v>799</v>
      </c>
      <c r="E188" s="25" t="s">
        <v>516</v>
      </c>
      <c r="F188" s="25" t="s">
        <v>702</v>
      </c>
      <c r="G188" s="50">
        <v>542.69460000000004</v>
      </c>
      <c r="H188" s="50">
        <v>1</v>
      </c>
      <c r="I188" s="37">
        <v>12.685000419616699</v>
      </c>
      <c r="J188" s="37">
        <v>12.685000419616699</v>
      </c>
      <c r="K188" s="37">
        <v>12.685000419616699</v>
      </c>
      <c r="L188" s="37">
        <v>0</v>
      </c>
      <c r="M188" s="37">
        <v>100.49900054931599</v>
      </c>
      <c r="N188" s="37">
        <v>100.49900054931599</v>
      </c>
      <c r="O188" s="37">
        <v>100.49900054931599</v>
      </c>
      <c r="P188" s="37">
        <v>100</v>
      </c>
      <c r="Q188" s="50">
        <v>0</v>
      </c>
      <c r="R188" s="25"/>
      <c r="S188" s="25"/>
      <c r="T188" s="25"/>
      <c r="U188" s="25"/>
      <c r="V188" s="25"/>
      <c r="W188" s="25"/>
      <c r="X188" s="25"/>
      <c r="Y188" s="25"/>
      <c r="Z188" s="25"/>
      <c r="AA188" s="1"/>
      <c r="AB188" s="1"/>
      <c r="AC188" s="1"/>
      <c r="AD188" s="1"/>
      <c r="AE188" s="1"/>
      <c r="AF188" s="1"/>
      <c r="AG188" s="1"/>
      <c r="AH188" s="1"/>
      <c r="AI188" s="1"/>
      <c r="AJ188" s="1"/>
      <c r="AK188" s="6"/>
    </row>
    <row r="189" spans="1:37" x14ac:dyDescent="0.35">
      <c r="A189" s="1"/>
      <c r="B189" s="5"/>
      <c r="C189" s="25" t="s">
        <v>1057</v>
      </c>
      <c r="D189" s="25" t="s">
        <v>905</v>
      </c>
      <c r="E189" s="25" t="s">
        <v>514</v>
      </c>
      <c r="F189" s="25" t="s">
        <v>1056</v>
      </c>
      <c r="G189" s="50">
        <v>20047.2</v>
      </c>
      <c r="H189" s="50">
        <v>1</v>
      </c>
      <c r="I189" s="37">
        <v>13.237999916076699</v>
      </c>
      <c r="J189" s="37">
        <v>13.237999916076699</v>
      </c>
      <c r="K189" s="37">
        <v>13.237999916076699</v>
      </c>
      <c r="L189" s="37">
        <v>13.237999916076699</v>
      </c>
      <c r="M189" s="37">
        <v>100.236000061035</v>
      </c>
      <c r="N189" s="37">
        <v>100.236000061035</v>
      </c>
      <c r="O189" s="37">
        <v>100.236000061035</v>
      </c>
      <c r="P189" s="37">
        <v>100.236000061035</v>
      </c>
      <c r="Q189" s="50">
        <v>0</v>
      </c>
      <c r="R189" s="25"/>
      <c r="S189" s="25"/>
      <c r="T189" s="25"/>
      <c r="U189" s="25"/>
      <c r="V189" s="25"/>
      <c r="W189" s="25"/>
      <c r="X189" s="25"/>
      <c r="Y189" s="25"/>
      <c r="Z189" s="25"/>
      <c r="AA189" s="1"/>
      <c r="AB189" s="1"/>
      <c r="AC189" s="1"/>
      <c r="AD189" s="1"/>
      <c r="AE189" s="1"/>
      <c r="AF189" s="1"/>
      <c r="AG189" s="1"/>
      <c r="AH189" s="1"/>
      <c r="AI189" s="1"/>
      <c r="AJ189" s="1"/>
      <c r="AK189" s="6"/>
    </row>
    <row r="190" spans="1:37" x14ac:dyDescent="0.35">
      <c r="A190" s="1"/>
      <c r="B190" s="5"/>
      <c r="C190" s="25" t="s">
        <v>904</v>
      </c>
      <c r="D190" s="25" t="s">
        <v>905</v>
      </c>
      <c r="E190" s="25" t="s">
        <v>1058</v>
      </c>
      <c r="F190" s="25" t="s">
        <v>1059</v>
      </c>
      <c r="G190" s="50">
        <v>3040.9349999999999</v>
      </c>
      <c r="H190" s="50">
        <v>3</v>
      </c>
      <c r="I190" s="37">
        <v>13.1400003433228</v>
      </c>
      <c r="J190" s="37">
        <v>13.1599998474121</v>
      </c>
      <c r="K190" s="37">
        <v>13.1500000953674</v>
      </c>
      <c r="L190" s="37">
        <v>13.1599998474121</v>
      </c>
      <c r="M190" s="37">
        <v>101.35800170898401</v>
      </c>
      <c r="N190" s="37">
        <v>101.37100219726599</v>
      </c>
      <c r="O190" s="37">
        <v>101.364501953125</v>
      </c>
      <c r="P190" s="37">
        <v>101.35800170898401</v>
      </c>
      <c r="Q190" s="50">
        <v>0</v>
      </c>
      <c r="R190" s="25"/>
      <c r="S190" s="25"/>
      <c r="T190" s="25"/>
      <c r="U190" s="25"/>
      <c r="V190" s="25"/>
      <c r="W190" s="25"/>
      <c r="X190" s="25"/>
      <c r="Y190" s="25"/>
      <c r="Z190" s="25"/>
      <c r="AA190" s="1"/>
      <c r="AB190" s="1"/>
      <c r="AC190" s="1"/>
      <c r="AD190" s="1"/>
      <c r="AE190" s="1"/>
      <c r="AF190" s="1"/>
      <c r="AG190" s="1"/>
      <c r="AH190" s="1"/>
      <c r="AI190" s="1"/>
      <c r="AJ190" s="1"/>
      <c r="AK190" s="6"/>
    </row>
    <row r="191" spans="1:37" x14ac:dyDescent="0.35">
      <c r="A191" s="1"/>
      <c r="B191" s="5"/>
      <c r="C191" s="25" t="s">
        <v>904</v>
      </c>
      <c r="D191" s="25" t="s">
        <v>905</v>
      </c>
      <c r="E191" s="25" t="s">
        <v>1060</v>
      </c>
      <c r="F191" s="25" t="s">
        <v>1061</v>
      </c>
      <c r="G191" s="50">
        <v>1012.7</v>
      </c>
      <c r="H191" s="50">
        <v>2</v>
      </c>
      <c r="I191" s="37">
        <v>13.2299995422363</v>
      </c>
      <c r="J191" s="37">
        <v>13.2600002288818</v>
      </c>
      <c r="K191" s="37">
        <v>13.2449998855591</v>
      </c>
      <c r="L191" s="37">
        <v>13.2600002288818</v>
      </c>
      <c r="M191" s="37">
        <v>101.258003234863</v>
      </c>
      <c r="N191" s="37">
        <v>101.28199768066401</v>
      </c>
      <c r="O191" s="37">
        <v>101.270000457764</v>
      </c>
      <c r="P191" s="37">
        <v>101.258003234863</v>
      </c>
      <c r="Q191" s="50">
        <v>0</v>
      </c>
      <c r="R191" s="25"/>
      <c r="S191" s="25"/>
      <c r="T191" s="25"/>
      <c r="U191" s="25"/>
      <c r="V191" s="25"/>
      <c r="W191" s="25"/>
      <c r="X191" s="25"/>
      <c r="Y191" s="25"/>
      <c r="Z191" s="25"/>
      <c r="AA191" s="1"/>
      <c r="AB191" s="1"/>
      <c r="AC191" s="1"/>
      <c r="AD191" s="1"/>
      <c r="AE191" s="1"/>
      <c r="AF191" s="1"/>
      <c r="AG191" s="1"/>
      <c r="AH191" s="1"/>
      <c r="AI191" s="1"/>
      <c r="AJ191" s="1"/>
      <c r="AK191" s="6"/>
    </row>
    <row r="192" spans="1:37" x14ac:dyDescent="0.35">
      <c r="A192" s="1"/>
      <c r="B192" s="5"/>
      <c r="C192" s="25" t="s">
        <v>904</v>
      </c>
      <c r="D192" s="25" t="s">
        <v>905</v>
      </c>
      <c r="E192" s="25" t="s">
        <v>1062</v>
      </c>
      <c r="F192" s="25" t="s">
        <v>1063</v>
      </c>
      <c r="G192" s="50">
        <v>1012.68</v>
      </c>
      <c r="H192" s="50">
        <v>2</v>
      </c>
      <c r="I192" s="37">
        <v>13.2299995422363</v>
      </c>
      <c r="J192" s="37">
        <v>13.2600002288818</v>
      </c>
      <c r="K192" s="37">
        <v>13.2449998855591</v>
      </c>
      <c r="L192" s="37">
        <v>13.2600002288818</v>
      </c>
      <c r="M192" s="37">
        <v>101.255996704102</v>
      </c>
      <c r="N192" s="37">
        <v>101.279998779297</v>
      </c>
      <c r="O192" s="37">
        <v>101.26799774169901</v>
      </c>
      <c r="P192" s="37">
        <v>101.255996704102</v>
      </c>
      <c r="Q192" s="50">
        <v>0</v>
      </c>
      <c r="R192" s="25"/>
      <c r="S192" s="25"/>
      <c r="T192" s="25"/>
      <c r="U192" s="25"/>
      <c r="V192" s="25"/>
      <c r="W192" s="25"/>
      <c r="X192" s="25"/>
      <c r="Y192" s="25"/>
      <c r="Z192" s="25"/>
      <c r="AA192" s="1"/>
      <c r="AB192" s="1"/>
      <c r="AC192" s="1"/>
      <c r="AD192" s="1"/>
      <c r="AE192" s="1"/>
      <c r="AF192" s="1"/>
      <c r="AG192" s="1"/>
      <c r="AH192" s="1"/>
      <c r="AI192" s="1"/>
      <c r="AJ192" s="1"/>
      <c r="AK192" s="6"/>
    </row>
    <row r="193" spans="1:37" x14ac:dyDescent="0.35">
      <c r="A193" s="1"/>
      <c r="B193" s="5"/>
      <c r="C193" s="25" t="s">
        <v>904</v>
      </c>
      <c r="D193" s="25" t="s">
        <v>905</v>
      </c>
      <c r="E193" s="25" t="s">
        <v>1020</v>
      </c>
      <c r="F193" s="25" t="s">
        <v>1064</v>
      </c>
      <c r="G193" s="50">
        <v>6086.67</v>
      </c>
      <c r="H193" s="50">
        <v>2</v>
      </c>
      <c r="I193" s="37">
        <v>13.2799997329712</v>
      </c>
      <c r="J193" s="37">
        <v>13.319999694824199</v>
      </c>
      <c r="K193" s="37">
        <v>13.2999997138977</v>
      </c>
      <c r="L193" s="37">
        <v>13.2799997329712</v>
      </c>
      <c r="M193" s="37">
        <v>101.42600250244099</v>
      </c>
      <c r="N193" s="37">
        <v>101.462997436523</v>
      </c>
      <c r="O193" s="37">
        <v>101.444499969482</v>
      </c>
      <c r="P193" s="37">
        <v>101.462997436523</v>
      </c>
      <c r="Q193" s="50">
        <v>0</v>
      </c>
      <c r="R193" s="25"/>
      <c r="S193" s="25"/>
      <c r="T193" s="25"/>
      <c r="U193" s="25"/>
      <c r="V193" s="25"/>
      <c r="W193" s="25"/>
      <c r="X193" s="25"/>
      <c r="Y193" s="25"/>
      <c r="Z193" s="25"/>
      <c r="AA193" s="1"/>
      <c r="AB193" s="1"/>
      <c r="AC193" s="1"/>
      <c r="AD193" s="1"/>
      <c r="AE193" s="1"/>
      <c r="AF193" s="1"/>
      <c r="AG193" s="1"/>
      <c r="AH193" s="1"/>
      <c r="AI193" s="1"/>
      <c r="AJ193" s="1"/>
      <c r="AK193" s="6"/>
    </row>
    <row r="194" spans="1:37" x14ac:dyDescent="0.35">
      <c r="A194" s="1"/>
      <c r="B194" s="5"/>
      <c r="C194" s="25" t="s">
        <v>733</v>
      </c>
      <c r="D194" s="25" t="s">
        <v>905</v>
      </c>
      <c r="E194" s="25" t="s">
        <v>509</v>
      </c>
      <c r="F194" s="25" t="s">
        <v>820</v>
      </c>
      <c r="G194" s="50">
        <v>10068.299999999999</v>
      </c>
      <c r="H194" s="50">
        <v>2</v>
      </c>
      <c r="I194" s="37">
        <v>12.800000190734901</v>
      </c>
      <c r="J194" s="37">
        <v>12.8269996643066</v>
      </c>
      <c r="K194" s="37">
        <v>12.8134999275208</v>
      </c>
      <c r="L194" s="37">
        <v>12.800000190734901</v>
      </c>
      <c r="M194" s="37">
        <v>100.662002563477</v>
      </c>
      <c r="N194" s="37">
        <v>100.70400238037099</v>
      </c>
      <c r="O194" s="37">
        <v>100.683002471924</v>
      </c>
      <c r="P194" s="37">
        <v>100.70400238037099</v>
      </c>
      <c r="Q194" s="50">
        <v>0</v>
      </c>
      <c r="R194" s="25"/>
      <c r="S194" s="25"/>
      <c r="T194" s="25"/>
      <c r="U194" s="25"/>
      <c r="V194" s="25"/>
      <c r="W194" s="25"/>
      <c r="X194" s="25"/>
      <c r="Y194" s="25"/>
      <c r="Z194" s="25"/>
      <c r="AA194" s="1"/>
      <c r="AB194" s="1"/>
      <c r="AC194" s="1"/>
      <c r="AD194" s="1"/>
      <c r="AE194" s="1"/>
      <c r="AF194" s="1"/>
      <c r="AG194" s="1"/>
      <c r="AH194" s="1"/>
      <c r="AI194" s="1"/>
      <c r="AJ194" s="1"/>
      <c r="AK194" s="6"/>
    </row>
    <row r="195" spans="1:37" x14ac:dyDescent="0.35">
      <c r="A195" s="1"/>
      <c r="B195" s="5"/>
      <c r="C195" s="25" t="s">
        <v>733</v>
      </c>
      <c r="D195" s="25" t="s">
        <v>905</v>
      </c>
      <c r="E195" s="25" t="s">
        <v>513</v>
      </c>
      <c r="F195" s="25" t="s">
        <v>927</v>
      </c>
      <c r="G195" s="50">
        <v>2012.02</v>
      </c>
      <c r="H195" s="50">
        <v>2</v>
      </c>
      <c r="I195" s="37">
        <v>12.911999702453601</v>
      </c>
      <c r="J195" s="37">
        <v>12.911999702453601</v>
      </c>
      <c r="K195" s="37">
        <v>12.911999702453601</v>
      </c>
      <c r="L195" s="37">
        <v>12.911999702453601</v>
      </c>
      <c r="M195" s="37">
        <v>100.600997924805</v>
      </c>
      <c r="N195" s="37">
        <v>100.600997924805</v>
      </c>
      <c r="O195" s="37">
        <v>100.600997924805</v>
      </c>
      <c r="P195" s="37">
        <v>100.600997924805</v>
      </c>
      <c r="Q195" s="50">
        <v>0</v>
      </c>
      <c r="R195" s="25"/>
      <c r="S195" s="25"/>
      <c r="T195" s="25"/>
      <c r="U195" s="25"/>
      <c r="V195" s="25"/>
      <c r="W195" s="25"/>
      <c r="X195" s="25"/>
      <c r="Y195" s="25"/>
      <c r="Z195" s="25"/>
      <c r="AA195" s="1"/>
      <c r="AB195" s="1"/>
      <c r="AC195" s="1"/>
      <c r="AD195" s="1"/>
      <c r="AE195" s="1"/>
      <c r="AF195" s="1"/>
      <c r="AG195" s="1"/>
      <c r="AH195" s="1"/>
      <c r="AI195" s="1"/>
      <c r="AJ195" s="1"/>
      <c r="AK195" s="6"/>
    </row>
    <row r="196" spans="1:37" x14ac:dyDescent="0.35">
      <c r="A196" s="1"/>
      <c r="B196" s="5"/>
      <c r="C196" s="25" t="s">
        <v>733</v>
      </c>
      <c r="D196" s="25" t="s">
        <v>905</v>
      </c>
      <c r="E196" s="25" t="s">
        <v>514</v>
      </c>
      <c r="F196" s="25" t="s">
        <v>1065</v>
      </c>
      <c r="G196" s="50">
        <v>10059.1</v>
      </c>
      <c r="H196" s="50">
        <v>2</v>
      </c>
      <c r="I196" s="37">
        <v>12.8909997940063</v>
      </c>
      <c r="J196" s="37">
        <v>12.911999702453601</v>
      </c>
      <c r="K196" s="37">
        <v>12.90149974823</v>
      </c>
      <c r="L196" s="37">
        <v>12.8909997940063</v>
      </c>
      <c r="M196" s="37">
        <v>100.567001342773</v>
      </c>
      <c r="N196" s="37">
        <v>100.61499786377</v>
      </c>
      <c r="O196" s="37">
        <v>100.590999603271</v>
      </c>
      <c r="P196" s="37">
        <v>100.61499786377</v>
      </c>
      <c r="Q196" s="50">
        <v>0</v>
      </c>
      <c r="R196" s="25"/>
      <c r="S196" s="25"/>
      <c r="T196" s="25"/>
      <c r="U196" s="25"/>
      <c r="V196" s="25"/>
      <c r="W196" s="25"/>
      <c r="X196" s="25"/>
      <c r="Y196" s="25"/>
      <c r="Z196" s="25"/>
      <c r="AA196" s="1"/>
      <c r="AB196" s="1"/>
      <c r="AC196" s="1"/>
      <c r="AD196" s="1"/>
      <c r="AE196" s="1"/>
      <c r="AF196" s="1"/>
      <c r="AG196" s="1"/>
      <c r="AH196" s="1"/>
      <c r="AI196" s="1"/>
      <c r="AJ196" s="1"/>
      <c r="AK196" s="6"/>
    </row>
    <row r="197" spans="1:37" x14ac:dyDescent="0.35">
      <c r="A197" s="1"/>
      <c r="B197" s="5"/>
      <c r="C197" s="25" t="s">
        <v>918</v>
      </c>
      <c r="D197" s="25" t="s">
        <v>905</v>
      </c>
      <c r="E197" s="25" t="s">
        <v>1066</v>
      </c>
      <c r="F197" s="25" t="s">
        <v>1067</v>
      </c>
      <c r="G197" s="50">
        <v>1999.8</v>
      </c>
      <c r="H197" s="50">
        <v>4</v>
      </c>
      <c r="I197" s="37">
        <v>12.550000190734901</v>
      </c>
      <c r="J197" s="37">
        <v>12.9899997711182</v>
      </c>
      <c r="K197" s="37">
        <v>12.769999980926499</v>
      </c>
      <c r="L197" s="37">
        <v>12.550000190734901</v>
      </c>
      <c r="M197" s="37">
        <v>99.836997985839801</v>
      </c>
      <c r="N197" s="37">
        <v>100.14299774169901</v>
      </c>
      <c r="O197" s="37">
        <v>99.989997863769503</v>
      </c>
      <c r="P197" s="37">
        <v>100.14299774169901</v>
      </c>
      <c r="Q197" s="50">
        <v>0</v>
      </c>
      <c r="R197" s="25"/>
      <c r="S197" s="25"/>
      <c r="T197" s="25"/>
      <c r="U197" s="25"/>
      <c r="V197" s="25"/>
      <c r="W197" s="25"/>
      <c r="X197" s="25"/>
      <c r="Y197" s="25"/>
      <c r="Z197" s="25"/>
      <c r="AA197" s="1"/>
      <c r="AB197" s="1"/>
      <c r="AC197" s="1"/>
      <c r="AD197" s="1"/>
      <c r="AE197" s="1"/>
      <c r="AF197" s="1"/>
      <c r="AG197" s="1"/>
      <c r="AH197" s="1"/>
      <c r="AI197" s="1"/>
      <c r="AJ197" s="1"/>
      <c r="AK197" s="6"/>
    </row>
    <row r="198" spans="1:37" x14ac:dyDescent="0.35">
      <c r="A198" s="1"/>
      <c r="B198" s="5"/>
      <c r="C198" s="25" t="s">
        <v>918</v>
      </c>
      <c r="D198" s="25" t="s">
        <v>905</v>
      </c>
      <c r="E198" s="25" t="s">
        <v>919</v>
      </c>
      <c r="F198" s="25" t="s">
        <v>920</v>
      </c>
      <c r="G198" s="50">
        <v>21510.375</v>
      </c>
      <c r="H198" s="50">
        <v>4</v>
      </c>
      <c r="I198" s="37">
        <v>13.079999923706101</v>
      </c>
      <c r="J198" s="37">
        <v>13.1000003814697</v>
      </c>
      <c r="K198" s="37">
        <v>13.0900001525879</v>
      </c>
      <c r="L198" s="37">
        <v>13.1000003814697</v>
      </c>
      <c r="M198" s="37">
        <v>102.324996948242</v>
      </c>
      <c r="N198" s="37">
        <v>102.48300170898401</v>
      </c>
      <c r="O198" s="37">
        <v>102.430356706892</v>
      </c>
      <c r="P198" s="37">
        <v>102.447998046875</v>
      </c>
      <c r="Q198" s="50">
        <v>0</v>
      </c>
      <c r="R198" s="25"/>
      <c r="S198" s="25"/>
      <c r="T198" s="25"/>
      <c r="U198" s="25"/>
      <c r="V198" s="25"/>
      <c r="W198" s="25"/>
      <c r="X198" s="25"/>
      <c r="Y198" s="25"/>
      <c r="Z198" s="25"/>
      <c r="AA198" s="1"/>
      <c r="AB198" s="1"/>
      <c r="AC198" s="1"/>
      <c r="AD198" s="1"/>
      <c r="AE198" s="1"/>
      <c r="AF198" s="1"/>
      <c r="AG198" s="1"/>
      <c r="AH198" s="1"/>
      <c r="AI198" s="1"/>
      <c r="AJ198" s="1"/>
      <c r="AK198" s="6"/>
    </row>
    <row r="199" spans="1:37" x14ac:dyDescent="0.35">
      <c r="A199" s="1"/>
      <c r="B199" s="5"/>
      <c r="C199" s="25" t="s">
        <v>918</v>
      </c>
      <c r="D199" s="25" t="s">
        <v>905</v>
      </c>
      <c r="E199" s="25" t="s">
        <v>1068</v>
      </c>
      <c r="F199" s="25" t="s">
        <v>1069</v>
      </c>
      <c r="G199" s="50">
        <v>24579.48</v>
      </c>
      <c r="H199" s="50">
        <v>2</v>
      </c>
      <c r="I199" s="37">
        <v>13.060000419616699</v>
      </c>
      <c r="J199" s="37">
        <v>13.1000003814697</v>
      </c>
      <c r="K199" s="37">
        <v>13.0800004005432</v>
      </c>
      <c r="L199" s="37">
        <v>13.060000419616699</v>
      </c>
      <c r="M199" s="37">
        <v>102.37899780273401</v>
      </c>
      <c r="N199" s="37">
        <v>102.449996948242</v>
      </c>
      <c r="O199" s="37">
        <v>102.414497375488</v>
      </c>
      <c r="P199" s="37">
        <v>102.449996948242</v>
      </c>
      <c r="Q199" s="50">
        <v>0</v>
      </c>
      <c r="R199" s="25"/>
      <c r="S199" s="25"/>
      <c r="T199" s="25"/>
      <c r="U199" s="25"/>
      <c r="V199" s="25"/>
      <c r="W199" s="25"/>
      <c r="X199" s="25"/>
      <c r="Y199" s="25"/>
      <c r="Z199" s="25"/>
      <c r="AA199" s="1"/>
      <c r="AB199" s="1"/>
      <c r="AC199" s="1"/>
      <c r="AD199" s="1"/>
      <c r="AE199" s="1"/>
      <c r="AF199" s="1"/>
      <c r="AG199" s="1"/>
      <c r="AH199" s="1"/>
      <c r="AI199" s="1"/>
      <c r="AJ199" s="1"/>
      <c r="AK199" s="6"/>
    </row>
    <row r="200" spans="1:37" x14ac:dyDescent="0.35">
      <c r="A200" s="1"/>
      <c r="B200" s="5"/>
      <c r="C200" s="25" t="s">
        <v>735</v>
      </c>
      <c r="D200" s="25" t="s">
        <v>1038</v>
      </c>
      <c r="E200" s="25" t="s">
        <v>516</v>
      </c>
      <c r="F200" s="25" t="s">
        <v>706</v>
      </c>
      <c r="G200" s="50">
        <v>1000</v>
      </c>
      <c r="H200" s="50">
        <v>1</v>
      </c>
      <c r="I200" s="37">
        <v>13.001000404357899</v>
      </c>
      <c r="J200" s="37">
        <v>13.001000404357899</v>
      </c>
      <c r="K200" s="37">
        <v>13.001000404357899</v>
      </c>
      <c r="L200" s="37">
        <v>13.001000404357899</v>
      </c>
      <c r="M200" s="37">
        <v>100</v>
      </c>
      <c r="N200" s="37">
        <v>100</v>
      </c>
      <c r="O200" s="37">
        <v>100</v>
      </c>
      <c r="P200" s="37">
        <v>100</v>
      </c>
      <c r="Q200" s="50">
        <v>0</v>
      </c>
      <c r="R200" s="25"/>
      <c r="S200" s="25"/>
      <c r="T200" s="25"/>
      <c r="U200" s="25"/>
      <c r="V200" s="25"/>
      <c r="W200" s="25"/>
      <c r="X200" s="25"/>
      <c r="Y200" s="25"/>
      <c r="Z200" s="25"/>
      <c r="AA200" s="1"/>
      <c r="AB200" s="1"/>
      <c r="AC200" s="1"/>
      <c r="AD200" s="1"/>
      <c r="AE200" s="1"/>
      <c r="AF200" s="1"/>
      <c r="AG200" s="1"/>
      <c r="AH200" s="1"/>
      <c r="AI200" s="1"/>
      <c r="AJ200" s="1"/>
      <c r="AK200" s="6"/>
    </row>
    <row r="201" spans="1:37" x14ac:dyDescent="0.35">
      <c r="A201" s="1"/>
      <c r="B201" s="5"/>
      <c r="C201" s="25" t="s">
        <v>735</v>
      </c>
      <c r="D201" s="25" t="s">
        <v>1038</v>
      </c>
      <c r="E201" s="25" t="s">
        <v>516</v>
      </c>
      <c r="F201" s="25" t="s">
        <v>701</v>
      </c>
      <c r="G201" s="50">
        <v>500</v>
      </c>
      <c r="H201" s="50">
        <v>1</v>
      </c>
      <c r="I201" s="37">
        <v>13.451000213623001</v>
      </c>
      <c r="J201" s="37">
        <v>13.451000213623001</v>
      </c>
      <c r="K201" s="37">
        <v>13.451000213623001</v>
      </c>
      <c r="L201" s="37">
        <v>13.451000213623001</v>
      </c>
      <c r="M201" s="37">
        <v>100</v>
      </c>
      <c r="N201" s="37">
        <v>100</v>
      </c>
      <c r="O201" s="37">
        <v>100</v>
      </c>
      <c r="P201" s="37">
        <v>100</v>
      </c>
      <c r="Q201" s="50">
        <v>0</v>
      </c>
      <c r="R201" s="25"/>
      <c r="S201" s="25"/>
      <c r="T201" s="25"/>
      <c r="U201" s="25"/>
      <c r="V201" s="25"/>
      <c r="W201" s="25"/>
      <c r="X201" s="25"/>
      <c r="Y201" s="25"/>
      <c r="Z201" s="25"/>
      <c r="AA201" s="1"/>
      <c r="AB201" s="1"/>
      <c r="AC201" s="1"/>
      <c r="AD201" s="1"/>
      <c r="AE201" s="1"/>
      <c r="AF201" s="1"/>
      <c r="AG201" s="1"/>
      <c r="AH201" s="1"/>
      <c r="AI201" s="1"/>
      <c r="AJ201" s="1"/>
      <c r="AK201" s="6"/>
    </row>
    <row r="202" spans="1:37" x14ac:dyDescent="0.35">
      <c r="A202" s="1"/>
      <c r="B202" s="5"/>
      <c r="C202" s="25" t="s">
        <v>737</v>
      </c>
      <c r="D202" s="25" t="s">
        <v>1038</v>
      </c>
      <c r="E202" s="25" t="s">
        <v>516</v>
      </c>
      <c r="F202" s="25" t="s">
        <v>706</v>
      </c>
      <c r="G202" s="50">
        <v>6001.02</v>
      </c>
      <c r="H202" s="50">
        <v>2</v>
      </c>
      <c r="I202" s="37">
        <v>13.576000213623001</v>
      </c>
      <c r="J202" s="37">
        <v>13.576000213623001</v>
      </c>
      <c r="K202" s="37">
        <v>13.576000213623001</v>
      </c>
      <c r="L202" s="37">
        <v>13.576000213623001</v>
      </c>
      <c r="M202" s="37">
        <v>100.01699829101599</v>
      </c>
      <c r="N202" s="37">
        <v>100.01699829101599</v>
      </c>
      <c r="O202" s="37">
        <v>100.01699829101599</v>
      </c>
      <c r="P202" s="37">
        <v>100.01699829101599</v>
      </c>
      <c r="Q202" s="50">
        <v>0</v>
      </c>
      <c r="R202" s="25"/>
      <c r="S202" s="25"/>
      <c r="T202" s="25"/>
      <c r="U202" s="25"/>
      <c r="V202" s="25"/>
      <c r="W202" s="25"/>
      <c r="X202" s="25"/>
      <c r="Y202" s="25"/>
      <c r="Z202" s="25"/>
      <c r="AA202" s="1"/>
      <c r="AB202" s="1"/>
      <c r="AC202" s="1"/>
      <c r="AD202" s="1"/>
      <c r="AE202" s="1"/>
      <c r="AF202" s="1"/>
      <c r="AG202" s="1"/>
      <c r="AH202" s="1"/>
      <c r="AI202" s="1"/>
      <c r="AJ202" s="1"/>
      <c r="AK202" s="6"/>
    </row>
    <row r="203" spans="1:37" x14ac:dyDescent="0.35">
      <c r="A203" s="1"/>
      <c r="B203" s="5"/>
      <c r="C203" s="25" t="s">
        <v>739</v>
      </c>
      <c r="D203" s="25" t="s">
        <v>799</v>
      </c>
      <c r="E203" s="25" t="s">
        <v>502</v>
      </c>
      <c r="F203" s="25" t="s">
        <v>922</v>
      </c>
      <c r="G203" s="50">
        <v>2031.54</v>
      </c>
      <c r="H203" s="50">
        <v>1</v>
      </c>
      <c r="I203" s="37">
        <v>12.699999809265099</v>
      </c>
      <c r="J203" s="37">
        <v>12.699999809265099</v>
      </c>
      <c r="K203" s="37">
        <v>12.699999809265099</v>
      </c>
      <c r="L203" s="37">
        <v>12.699999809265099</v>
      </c>
      <c r="M203" s="37">
        <v>101.57700347900401</v>
      </c>
      <c r="N203" s="37">
        <v>101.57700347900401</v>
      </c>
      <c r="O203" s="37">
        <v>101.57700347900401</v>
      </c>
      <c r="P203" s="37">
        <v>101.57700347900401</v>
      </c>
      <c r="Q203" s="50">
        <v>0</v>
      </c>
      <c r="R203" s="25"/>
      <c r="S203" s="25"/>
      <c r="T203" s="25"/>
      <c r="U203" s="25"/>
      <c r="V203" s="25"/>
      <c r="W203" s="25"/>
      <c r="X203" s="25"/>
      <c r="Y203" s="25"/>
      <c r="Z203" s="25"/>
      <c r="AA203" s="1"/>
      <c r="AB203" s="1"/>
      <c r="AC203" s="1"/>
      <c r="AD203" s="1"/>
      <c r="AE203" s="1"/>
      <c r="AF203" s="1"/>
      <c r="AG203" s="1"/>
      <c r="AH203" s="1"/>
      <c r="AI203" s="1"/>
      <c r="AJ203" s="1"/>
      <c r="AK203" s="6"/>
    </row>
    <row r="204" spans="1:37" x14ac:dyDescent="0.35">
      <c r="A204" s="1"/>
      <c r="B204" s="5"/>
      <c r="C204" s="25" t="s">
        <v>739</v>
      </c>
      <c r="D204" s="25" t="s">
        <v>799</v>
      </c>
      <c r="E204" s="25" t="s">
        <v>515</v>
      </c>
      <c r="F204" s="25" t="s">
        <v>809</v>
      </c>
      <c r="G204" s="50">
        <v>1141.0627999999999</v>
      </c>
      <c r="H204" s="50">
        <v>4</v>
      </c>
      <c r="I204" s="37">
        <v>12.536999702453601</v>
      </c>
      <c r="J204" s="37">
        <v>12.829999923706101</v>
      </c>
      <c r="K204" s="37">
        <v>12.726260400154199</v>
      </c>
      <c r="L204" s="37">
        <v>12.829999923706101</v>
      </c>
      <c r="M204" s="37">
        <v>100.35800170898401</v>
      </c>
      <c r="N204" s="37">
        <v>100.60500335693401</v>
      </c>
      <c r="O204" s="37">
        <v>100.445671242727</v>
      </c>
      <c r="P204" s="37">
        <v>100.35800170898401</v>
      </c>
      <c r="Q204" s="50">
        <v>0</v>
      </c>
      <c r="R204" s="25"/>
      <c r="S204" s="25"/>
      <c r="T204" s="25"/>
      <c r="U204" s="25"/>
      <c r="V204" s="25"/>
      <c r="W204" s="25"/>
      <c r="X204" s="25"/>
      <c r="Y204" s="25"/>
      <c r="Z204" s="25"/>
      <c r="AA204" s="1"/>
      <c r="AB204" s="1"/>
      <c r="AC204" s="1"/>
      <c r="AD204" s="1"/>
      <c r="AE204" s="1"/>
      <c r="AF204" s="1"/>
      <c r="AG204" s="1"/>
      <c r="AH204" s="1"/>
      <c r="AI204" s="1"/>
      <c r="AJ204" s="1"/>
      <c r="AK204" s="6"/>
    </row>
    <row r="205" spans="1:37" x14ac:dyDescent="0.35">
      <c r="A205" s="1"/>
      <c r="B205" s="5"/>
      <c r="C205" s="25" t="s">
        <v>739</v>
      </c>
      <c r="D205" s="25" t="s">
        <v>799</v>
      </c>
      <c r="E205" s="25" t="s">
        <v>516</v>
      </c>
      <c r="F205" s="25" t="s">
        <v>706</v>
      </c>
      <c r="G205" s="50">
        <v>6655.6364000000003</v>
      </c>
      <c r="H205" s="50">
        <v>9</v>
      </c>
      <c r="I205" s="37">
        <v>12.3999996185303</v>
      </c>
      <c r="J205" s="37">
        <v>12.796999931335399</v>
      </c>
      <c r="K205" s="37">
        <v>12.6671473896747</v>
      </c>
      <c r="L205" s="37">
        <v>0</v>
      </c>
      <c r="M205" s="37">
        <v>100</v>
      </c>
      <c r="N205" s="37">
        <v>100.337997436523</v>
      </c>
      <c r="O205" s="37">
        <v>100.11486882050301</v>
      </c>
      <c r="P205" s="37">
        <v>100</v>
      </c>
      <c r="Q205" s="50">
        <v>0</v>
      </c>
      <c r="R205" s="25"/>
      <c r="S205" s="25"/>
      <c r="T205" s="25"/>
      <c r="U205" s="25"/>
      <c r="V205" s="25"/>
      <c r="W205" s="25"/>
      <c r="X205" s="25"/>
      <c r="Y205" s="25"/>
      <c r="Z205" s="25"/>
      <c r="AA205" s="1"/>
      <c r="AB205" s="1"/>
      <c r="AC205" s="1"/>
      <c r="AD205" s="1"/>
      <c r="AE205" s="1"/>
      <c r="AF205" s="1"/>
      <c r="AG205" s="1"/>
      <c r="AH205" s="1"/>
      <c r="AI205" s="1"/>
      <c r="AJ205" s="1"/>
      <c r="AK205" s="6"/>
    </row>
    <row r="206" spans="1:37" x14ac:dyDescent="0.35">
      <c r="A206" s="1"/>
      <c r="B206" s="5"/>
      <c r="C206" s="25" t="s">
        <v>923</v>
      </c>
      <c r="D206" s="25" t="s">
        <v>799</v>
      </c>
      <c r="E206" s="25" t="s">
        <v>506</v>
      </c>
      <c r="F206" s="25" t="s">
        <v>819</v>
      </c>
      <c r="G206" s="50">
        <v>507.96300000000002</v>
      </c>
      <c r="H206" s="50">
        <v>3</v>
      </c>
      <c r="I206" s="37">
        <v>12.670000076293899</v>
      </c>
      <c r="J206" s="37">
        <v>12.699999809265099</v>
      </c>
      <c r="K206" s="37">
        <v>12.6760000228882</v>
      </c>
      <c r="L206" s="37">
        <v>12.670000076293899</v>
      </c>
      <c r="M206" s="37">
        <v>101.55500030517599</v>
      </c>
      <c r="N206" s="37">
        <v>101.601997375488</v>
      </c>
      <c r="O206" s="37">
        <v>101.59259796142599</v>
      </c>
      <c r="P206" s="37">
        <v>101.601997375488</v>
      </c>
      <c r="Q206" s="50">
        <v>0</v>
      </c>
      <c r="R206" s="25"/>
      <c r="S206" s="25"/>
      <c r="T206" s="25"/>
      <c r="U206" s="25"/>
      <c r="V206" s="25"/>
      <c r="W206" s="25"/>
      <c r="X206" s="25"/>
      <c r="Y206" s="25"/>
      <c r="Z206" s="25"/>
      <c r="AA206" s="1"/>
      <c r="AB206" s="1"/>
      <c r="AC206" s="1"/>
      <c r="AD206" s="1"/>
      <c r="AE206" s="1"/>
      <c r="AF206" s="1"/>
      <c r="AG206" s="1"/>
      <c r="AH206" s="1"/>
      <c r="AI206" s="1"/>
      <c r="AJ206" s="1"/>
      <c r="AK206" s="6"/>
    </row>
    <row r="207" spans="1:37" x14ac:dyDescent="0.35">
      <c r="A207" s="1"/>
      <c r="B207" s="5"/>
      <c r="C207" s="25" t="s">
        <v>923</v>
      </c>
      <c r="D207" s="25" t="s">
        <v>799</v>
      </c>
      <c r="E207" s="25" t="s">
        <v>513</v>
      </c>
      <c r="F207" s="25" t="s">
        <v>927</v>
      </c>
      <c r="G207" s="50">
        <v>504.97500000000002</v>
      </c>
      <c r="H207" s="50">
        <v>1</v>
      </c>
      <c r="I207" s="37">
        <v>12.6599998474121</v>
      </c>
      <c r="J207" s="37">
        <v>12.6599998474121</v>
      </c>
      <c r="K207" s="37">
        <v>12.6599998474121</v>
      </c>
      <c r="L207" s="37">
        <v>12.6599998474121</v>
      </c>
      <c r="M207" s="37">
        <v>100.995002746582</v>
      </c>
      <c r="N207" s="37">
        <v>100.995002746582</v>
      </c>
      <c r="O207" s="37">
        <v>100.995002746582</v>
      </c>
      <c r="P207" s="37">
        <v>100.995002746582</v>
      </c>
      <c r="Q207" s="50">
        <v>0</v>
      </c>
      <c r="R207" s="25"/>
      <c r="S207" s="25"/>
      <c r="T207" s="25"/>
      <c r="U207" s="25"/>
      <c r="V207" s="25"/>
      <c r="W207" s="25"/>
      <c r="X207" s="25"/>
      <c r="Y207" s="25"/>
      <c r="Z207" s="25"/>
      <c r="AA207" s="1"/>
      <c r="AB207" s="1"/>
      <c r="AC207" s="1"/>
      <c r="AD207" s="1"/>
      <c r="AE207" s="1"/>
      <c r="AF207" s="1"/>
      <c r="AG207" s="1"/>
      <c r="AH207" s="1"/>
      <c r="AI207" s="1"/>
      <c r="AJ207" s="1"/>
      <c r="AK207" s="6"/>
    </row>
    <row r="208" spans="1:37" x14ac:dyDescent="0.35">
      <c r="A208" s="1"/>
      <c r="B208" s="5"/>
      <c r="C208" s="25" t="s">
        <v>923</v>
      </c>
      <c r="D208" s="25" t="s">
        <v>799</v>
      </c>
      <c r="E208" s="25" t="s">
        <v>514</v>
      </c>
      <c r="F208" s="25" t="s">
        <v>1065</v>
      </c>
      <c r="G208" s="50">
        <v>2016.78</v>
      </c>
      <c r="H208" s="50">
        <v>1</v>
      </c>
      <c r="I208" s="37">
        <v>12.699999809265099</v>
      </c>
      <c r="J208" s="37">
        <v>12.699999809265099</v>
      </c>
      <c r="K208" s="37">
        <v>12.699999809265099</v>
      </c>
      <c r="L208" s="37">
        <v>12.699999809265099</v>
      </c>
      <c r="M208" s="37">
        <v>100.838996887207</v>
      </c>
      <c r="N208" s="37">
        <v>100.838996887207</v>
      </c>
      <c r="O208" s="37">
        <v>100.838996887207</v>
      </c>
      <c r="P208" s="37">
        <v>100.838996887207</v>
      </c>
      <c r="Q208" s="50">
        <v>0</v>
      </c>
      <c r="R208" s="25"/>
      <c r="S208" s="25"/>
      <c r="T208" s="25"/>
      <c r="U208" s="25"/>
      <c r="V208" s="25"/>
      <c r="W208" s="25"/>
      <c r="X208" s="25"/>
      <c r="Y208" s="25"/>
      <c r="Z208" s="25"/>
      <c r="AA208" s="1"/>
      <c r="AB208" s="1"/>
      <c r="AC208" s="1"/>
      <c r="AD208" s="1"/>
      <c r="AE208" s="1"/>
      <c r="AF208" s="1"/>
      <c r="AG208" s="1"/>
      <c r="AH208" s="1"/>
      <c r="AI208" s="1"/>
      <c r="AJ208" s="1"/>
      <c r="AK208" s="6"/>
    </row>
    <row r="209" spans="1:37" x14ac:dyDescent="0.35">
      <c r="A209" s="1"/>
      <c r="B209" s="5"/>
      <c r="C209" s="25" t="s">
        <v>744</v>
      </c>
      <c r="D209" s="25" t="s">
        <v>1038</v>
      </c>
      <c r="E209" s="25" t="s">
        <v>516</v>
      </c>
      <c r="F209" s="25" t="s">
        <v>702</v>
      </c>
      <c r="G209" s="50">
        <v>1100.7149999999999</v>
      </c>
      <c r="H209" s="50">
        <v>1</v>
      </c>
      <c r="I209" s="37">
        <v>13.699999809265099</v>
      </c>
      <c r="J209" s="37">
        <v>13.699999809265099</v>
      </c>
      <c r="K209" s="37">
        <v>13.699999809265099</v>
      </c>
      <c r="L209" s="37">
        <v>13.699999809265099</v>
      </c>
      <c r="M209" s="37">
        <v>100.06500244140599</v>
      </c>
      <c r="N209" s="37">
        <v>100.06500244140599</v>
      </c>
      <c r="O209" s="37">
        <v>100.06500244140599</v>
      </c>
      <c r="P209" s="37">
        <v>100.06500244140599</v>
      </c>
      <c r="Q209" s="50">
        <v>0</v>
      </c>
      <c r="R209" s="25"/>
      <c r="S209" s="25"/>
      <c r="T209" s="25"/>
      <c r="U209" s="25"/>
      <c r="V209" s="25"/>
      <c r="W209" s="25"/>
      <c r="X209" s="25"/>
      <c r="Y209" s="25"/>
      <c r="Z209" s="25"/>
      <c r="AA209" s="1"/>
      <c r="AB209" s="1"/>
      <c r="AC209" s="1"/>
      <c r="AD209" s="1"/>
      <c r="AE209" s="1"/>
      <c r="AF209" s="1"/>
      <c r="AG209" s="1"/>
      <c r="AH209" s="1"/>
      <c r="AI209" s="1"/>
      <c r="AJ209" s="1"/>
      <c r="AK209" s="6"/>
    </row>
    <row r="210" spans="1:37" x14ac:dyDescent="0.35">
      <c r="A210" s="1"/>
      <c r="B210" s="5"/>
      <c r="C210" s="25" t="s">
        <v>746</v>
      </c>
      <c r="D210" s="25" t="s">
        <v>1038</v>
      </c>
      <c r="E210" s="25" t="s">
        <v>497</v>
      </c>
      <c r="F210" s="25" t="s">
        <v>1070</v>
      </c>
      <c r="G210" s="50">
        <v>201.30600000000001</v>
      </c>
      <c r="H210" s="50">
        <v>1</v>
      </c>
      <c r="I210" s="37">
        <v>13.300000190734901</v>
      </c>
      <c r="J210" s="37">
        <v>13.300000190734901</v>
      </c>
      <c r="K210" s="37">
        <v>13.300000190734901</v>
      </c>
      <c r="L210" s="37">
        <v>13.300000190734901</v>
      </c>
      <c r="M210" s="37">
        <v>100.65299987793</v>
      </c>
      <c r="N210" s="37">
        <v>100.65299987793</v>
      </c>
      <c r="O210" s="37">
        <v>100.65299987793</v>
      </c>
      <c r="P210" s="37">
        <v>100.65299987793</v>
      </c>
      <c r="Q210" s="50">
        <v>0</v>
      </c>
      <c r="R210" s="25"/>
      <c r="S210" s="25"/>
      <c r="T210" s="25"/>
      <c r="U210" s="25"/>
      <c r="V210" s="25"/>
      <c r="W210" s="25"/>
      <c r="X210" s="25"/>
      <c r="Y210" s="25"/>
      <c r="Z210" s="25"/>
      <c r="AA210" s="1"/>
      <c r="AB210" s="1"/>
      <c r="AC210" s="1"/>
      <c r="AD210" s="1"/>
      <c r="AE210" s="1"/>
      <c r="AF210" s="1"/>
      <c r="AG210" s="1"/>
      <c r="AH210" s="1"/>
      <c r="AI210" s="1"/>
      <c r="AJ210" s="1"/>
      <c r="AK210" s="6"/>
    </row>
    <row r="211" spans="1:37" x14ac:dyDescent="0.35">
      <c r="A211" s="1"/>
      <c r="B211" s="5"/>
      <c r="C211" s="25" t="s">
        <v>1071</v>
      </c>
      <c r="D211" s="25" t="s">
        <v>933</v>
      </c>
      <c r="E211" s="25" t="s">
        <v>516</v>
      </c>
      <c r="F211" s="25" t="s">
        <v>752</v>
      </c>
      <c r="G211" s="50">
        <v>140031.158</v>
      </c>
      <c r="H211" s="50">
        <v>9</v>
      </c>
      <c r="I211" s="37">
        <v>12.869000434875501</v>
      </c>
      <c r="J211" s="37">
        <v>12.871000289916999</v>
      </c>
      <c r="K211" s="37">
        <v>12.8694814126703</v>
      </c>
      <c r="L211" s="37">
        <v>12.869000434875501</v>
      </c>
      <c r="M211" s="37">
        <v>88.625999450683594</v>
      </c>
      <c r="N211" s="37">
        <v>88.626998901367202</v>
      </c>
      <c r="O211" s="37">
        <v>88.626758527152106</v>
      </c>
      <c r="P211" s="37">
        <v>88.626998901367202</v>
      </c>
      <c r="Q211" s="50">
        <v>0</v>
      </c>
      <c r="R211" s="25"/>
      <c r="S211" s="25"/>
      <c r="T211" s="25"/>
      <c r="U211" s="25"/>
      <c r="V211" s="25"/>
      <c r="W211" s="25"/>
      <c r="X211" s="25"/>
      <c r="Y211" s="25"/>
      <c r="Z211" s="25"/>
      <c r="AA211" s="1"/>
      <c r="AB211" s="1"/>
      <c r="AC211" s="1"/>
      <c r="AD211" s="1"/>
      <c r="AE211" s="1"/>
      <c r="AF211" s="1"/>
      <c r="AG211" s="1"/>
      <c r="AH211" s="1"/>
      <c r="AI211" s="1"/>
      <c r="AJ211" s="1"/>
      <c r="AK211" s="6"/>
    </row>
    <row r="212" spans="1:37" x14ac:dyDescent="0.35">
      <c r="A212" s="1"/>
      <c r="B212" s="5"/>
      <c r="C212" s="25" t="s">
        <v>939</v>
      </c>
      <c r="D212" s="25" t="s">
        <v>933</v>
      </c>
      <c r="E212" s="25" t="s">
        <v>940</v>
      </c>
      <c r="F212" s="25" t="s">
        <v>941</v>
      </c>
      <c r="G212" s="50">
        <v>0</v>
      </c>
      <c r="H212" s="25"/>
      <c r="I212" s="25"/>
      <c r="J212" s="25"/>
      <c r="K212" s="25"/>
      <c r="L212" s="25"/>
      <c r="M212" s="25"/>
      <c r="N212" s="25"/>
      <c r="O212" s="25"/>
      <c r="P212" s="25"/>
      <c r="Q212" s="50">
        <v>35891.11</v>
      </c>
      <c r="R212" s="50">
        <v>3</v>
      </c>
      <c r="S212" s="37">
        <v>11.6499996185303</v>
      </c>
      <c r="T212" s="37">
        <v>12</v>
      </c>
      <c r="U212" s="37">
        <v>11.7445943162248</v>
      </c>
      <c r="V212" s="37">
        <v>12</v>
      </c>
      <c r="W212" s="37">
        <v>97.002998352050795</v>
      </c>
      <c r="X212" s="37">
        <v>97.002998352050795</v>
      </c>
      <c r="Y212" s="37">
        <v>97.002998352050795</v>
      </c>
      <c r="Z212" s="37">
        <v>97.002998352050795</v>
      </c>
      <c r="AA212" s="1"/>
      <c r="AB212" s="1"/>
      <c r="AC212" s="1"/>
      <c r="AD212" s="1"/>
      <c r="AE212" s="1"/>
      <c r="AF212" s="1"/>
      <c r="AG212" s="1"/>
      <c r="AH212" s="1"/>
      <c r="AI212" s="1"/>
      <c r="AJ212" s="1"/>
      <c r="AK212" s="6"/>
    </row>
    <row r="213" spans="1:37" x14ac:dyDescent="0.35">
      <c r="A213" s="1"/>
      <c r="B213" s="5"/>
      <c r="C213" s="25" t="s">
        <v>942</v>
      </c>
      <c r="D213" s="25" t="s">
        <v>933</v>
      </c>
      <c r="E213" s="25" t="s">
        <v>943</v>
      </c>
      <c r="F213" s="25" t="s">
        <v>944</v>
      </c>
      <c r="G213" s="50">
        <v>42701.796000000002</v>
      </c>
      <c r="H213" s="50">
        <v>4</v>
      </c>
      <c r="I213" s="37">
        <v>12.539999961853001</v>
      </c>
      <c r="J213" s="37">
        <v>12.560000419616699</v>
      </c>
      <c r="K213" s="37">
        <v>12.546812990209601</v>
      </c>
      <c r="L213" s="37">
        <v>12.539999961853001</v>
      </c>
      <c r="M213" s="37">
        <v>93.844001770019503</v>
      </c>
      <c r="N213" s="37">
        <v>93.852996826171903</v>
      </c>
      <c r="O213" s="37">
        <v>93.849932576273801</v>
      </c>
      <c r="P213" s="37">
        <v>93.852996826171903</v>
      </c>
      <c r="Q213" s="50">
        <v>21106.89</v>
      </c>
      <c r="R213" s="50">
        <v>1</v>
      </c>
      <c r="S213" s="37">
        <v>12.050000190734901</v>
      </c>
      <c r="T213" s="37">
        <v>12.050000190734901</v>
      </c>
      <c r="U213" s="37">
        <v>12.050000190734901</v>
      </c>
      <c r="V213" s="37">
        <v>12.050000190734901</v>
      </c>
      <c r="W213" s="37">
        <v>93.807998657226605</v>
      </c>
      <c r="X213" s="37">
        <v>93.807998657226605</v>
      </c>
      <c r="Y213" s="37">
        <v>93.807998657226605</v>
      </c>
      <c r="Z213" s="37">
        <v>93.807998657226605</v>
      </c>
      <c r="AA213" s="1"/>
      <c r="AB213" s="1"/>
      <c r="AC213" s="1"/>
      <c r="AD213" s="1"/>
      <c r="AE213" s="1"/>
      <c r="AF213" s="1"/>
      <c r="AG213" s="1"/>
      <c r="AH213" s="1"/>
      <c r="AI213" s="1"/>
      <c r="AJ213" s="1"/>
      <c r="AK213" s="6"/>
    </row>
    <row r="214" spans="1:37" x14ac:dyDescent="0.35">
      <c r="A214" s="1"/>
      <c r="B214" s="5"/>
      <c r="C214" s="25" t="s">
        <v>333</v>
      </c>
      <c r="D214" s="25" t="s">
        <v>933</v>
      </c>
      <c r="E214" s="25" t="s">
        <v>945</v>
      </c>
      <c r="F214" s="25" t="s">
        <v>946</v>
      </c>
      <c r="G214" s="50">
        <v>97979.760500000004</v>
      </c>
      <c r="H214" s="50">
        <v>9</v>
      </c>
      <c r="I214" s="37">
        <v>12.079999923706101</v>
      </c>
      <c r="J214" s="37">
        <v>12.1199998855591</v>
      </c>
      <c r="K214" s="37">
        <v>12.0857265920587</v>
      </c>
      <c r="L214" s="37">
        <v>12.081999778747599</v>
      </c>
      <c r="M214" s="37">
        <v>106.998001098633</v>
      </c>
      <c r="N214" s="37">
        <v>107.095001220703</v>
      </c>
      <c r="O214" s="37">
        <v>107.08100474206501</v>
      </c>
      <c r="P214" s="37">
        <v>107.08999633789099</v>
      </c>
      <c r="Q214" s="50">
        <v>2347767.8398819999</v>
      </c>
      <c r="R214" s="50">
        <v>59</v>
      </c>
      <c r="S214" s="37">
        <v>8.75</v>
      </c>
      <c r="T214" s="37">
        <v>12.001000404357899</v>
      </c>
      <c r="U214" s="37">
        <v>11.9233278142488</v>
      </c>
      <c r="V214" s="37">
        <v>12</v>
      </c>
      <c r="W214" s="37">
        <v>107.050003051758</v>
      </c>
      <c r="X214" s="37">
        <v>107.217002868652</v>
      </c>
      <c r="Y214" s="37">
        <v>107.125241463279</v>
      </c>
      <c r="Z214" s="37">
        <v>107.15299987793</v>
      </c>
      <c r="AA214" s="1"/>
      <c r="AB214" s="1"/>
      <c r="AC214" s="1"/>
      <c r="AD214" s="1"/>
      <c r="AE214" s="1"/>
      <c r="AF214" s="1"/>
      <c r="AG214" s="1"/>
      <c r="AH214" s="1"/>
      <c r="AI214" s="1"/>
      <c r="AJ214" s="1"/>
      <c r="AK214" s="6"/>
    </row>
    <row r="215" spans="1:37" x14ac:dyDescent="0.35">
      <c r="A215" s="1"/>
      <c r="B215" s="5"/>
      <c r="C215" s="25" t="s">
        <v>337</v>
      </c>
      <c r="D215" s="25" t="s">
        <v>933</v>
      </c>
      <c r="E215" s="25" t="s">
        <v>947</v>
      </c>
      <c r="F215" s="25" t="s">
        <v>948</v>
      </c>
      <c r="G215" s="50">
        <v>225551.80368899999</v>
      </c>
      <c r="H215" s="50">
        <v>19</v>
      </c>
      <c r="I215" s="37">
        <v>12</v>
      </c>
      <c r="J215" s="37">
        <v>12.1499996185303</v>
      </c>
      <c r="K215" s="37">
        <v>12.126869478430001</v>
      </c>
      <c r="L215" s="37">
        <v>12.128999710083001</v>
      </c>
      <c r="M215" s="37">
        <v>105.50299835205099</v>
      </c>
      <c r="N215" s="37">
        <v>105.929000854492</v>
      </c>
      <c r="O215" s="37">
        <v>105.571750534957</v>
      </c>
      <c r="P215" s="37">
        <v>105.560997009277</v>
      </c>
      <c r="Q215" s="50">
        <v>209008.40400000001</v>
      </c>
      <c r="R215" s="50">
        <v>6</v>
      </c>
      <c r="S215" s="37">
        <v>11.8500003814697</v>
      </c>
      <c r="T215" s="37">
        <v>12.050000190734901</v>
      </c>
      <c r="U215" s="37">
        <v>11.9318184515443</v>
      </c>
      <c r="V215" s="37">
        <v>12</v>
      </c>
      <c r="W215" s="37">
        <v>105.55899810791</v>
      </c>
      <c r="X215" s="37">
        <v>105.55899810791</v>
      </c>
      <c r="Y215" s="37">
        <v>105.55899810791</v>
      </c>
      <c r="Z215" s="37">
        <v>105.55899810791</v>
      </c>
      <c r="AA215" s="1"/>
      <c r="AB215" s="1"/>
      <c r="AC215" s="1"/>
      <c r="AD215" s="1"/>
      <c r="AE215" s="1"/>
      <c r="AF215" s="1"/>
      <c r="AG215" s="1"/>
      <c r="AH215" s="1"/>
      <c r="AI215" s="1"/>
      <c r="AJ215" s="1"/>
      <c r="AK215" s="6"/>
    </row>
    <row r="216" spans="1:37" x14ac:dyDescent="0.35">
      <c r="A216" s="1"/>
      <c r="B216" s="5"/>
      <c r="C216" s="25" t="s">
        <v>341</v>
      </c>
      <c r="D216" s="25" t="s">
        <v>933</v>
      </c>
      <c r="E216" s="25" t="s">
        <v>949</v>
      </c>
      <c r="F216" s="25" t="s">
        <v>950</v>
      </c>
      <c r="G216" s="50">
        <v>46646.978622000002</v>
      </c>
      <c r="H216" s="50">
        <v>8</v>
      </c>
      <c r="I216" s="37">
        <v>11.9469995498657</v>
      </c>
      <c r="J216" s="37">
        <v>11.9820003509521</v>
      </c>
      <c r="K216" s="37">
        <v>11.968223287113499</v>
      </c>
      <c r="L216" s="37">
        <v>11.9720001220703</v>
      </c>
      <c r="M216" s="37">
        <v>96.766998291015597</v>
      </c>
      <c r="N216" s="37">
        <v>96.851997375488295</v>
      </c>
      <c r="O216" s="37">
        <v>96.794965384695502</v>
      </c>
      <c r="P216" s="37">
        <v>96.775001525878906</v>
      </c>
      <c r="Q216" s="50">
        <v>961078.47696</v>
      </c>
      <c r="R216" s="50">
        <v>35</v>
      </c>
      <c r="S216" s="37">
        <v>11.6499996185303</v>
      </c>
      <c r="T216" s="37">
        <v>12.1000003814697</v>
      </c>
      <c r="U216" s="37">
        <v>11.9853971866573</v>
      </c>
      <c r="V216" s="37">
        <v>12</v>
      </c>
      <c r="W216" s="37">
        <v>96.745002746582003</v>
      </c>
      <c r="X216" s="37">
        <v>96.808998107910199</v>
      </c>
      <c r="Y216" s="37">
        <v>96.788642207461294</v>
      </c>
      <c r="Z216" s="37">
        <v>96.777000427246094</v>
      </c>
      <c r="AA216" s="1"/>
      <c r="AB216" s="1"/>
      <c r="AC216" s="1"/>
      <c r="AD216" s="1"/>
      <c r="AE216" s="1"/>
      <c r="AF216" s="1"/>
      <c r="AG216" s="1"/>
      <c r="AH216" s="1"/>
      <c r="AI216" s="1"/>
      <c r="AJ216" s="1"/>
      <c r="AK216" s="6"/>
    </row>
    <row r="217" spans="1:37" x14ac:dyDescent="0.35">
      <c r="A217" s="1"/>
      <c r="B217" s="5"/>
      <c r="C217" s="25" t="s">
        <v>345</v>
      </c>
      <c r="D217" s="25" t="s">
        <v>933</v>
      </c>
      <c r="E217" s="25" t="s">
        <v>951</v>
      </c>
      <c r="F217" s="25" t="s">
        <v>952</v>
      </c>
      <c r="G217" s="50">
        <v>39369.843335999998</v>
      </c>
      <c r="H217" s="50">
        <v>4</v>
      </c>
      <c r="I217" s="37">
        <v>12.039999961853001</v>
      </c>
      <c r="J217" s="37">
        <v>12.069999694824199</v>
      </c>
      <c r="K217" s="37">
        <v>12.0603224418312</v>
      </c>
      <c r="L217" s="37">
        <v>12.045000076293899</v>
      </c>
      <c r="M217" s="37">
        <v>84.610000610351605</v>
      </c>
      <c r="N217" s="37">
        <v>84.738998413085895</v>
      </c>
      <c r="O217" s="37">
        <v>84.666667397851</v>
      </c>
      <c r="P217" s="37">
        <v>84.738998413085895</v>
      </c>
      <c r="Q217" s="50">
        <v>161676.55600000001</v>
      </c>
      <c r="R217" s="50">
        <v>4</v>
      </c>
      <c r="S217" s="37">
        <v>11.8500003814697</v>
      </c>
      <c r="T217" s="37">
        <v>12.0050001144409</v>
      </c>
      <c r="U217" s="37">
        <v>11.8900788142419</v>
      </c>
      <c r="V217" s="37">
        <v>12.0050001144409</v>
      </c>
      <c r="W217" s="37">
        <v>84.640998840332003</v>
      </c>
      <c r="X217" s="37">
        <v>84.700996398925795</v>
      </c>
      <c r="Y217" s="37">
        <v>84.646811320519603</v>
      </c>
      <c r="Z217" s="37">
        <v>84.640998840332003</v>
      </c>
      <c r="AA217" s="1"/>
      <c r="AB217" s="1"/>
      <c r="AC217" s="1"/>
      <c r="AD217" s="1"/>
      <c r="AE217" s="1"/>
      <c r="AF217" s="1"/>
      <c r="AG217" s="1"/>
      <c r="AH217" s="1"/>
      <c r="AI217" s="1"/>
      <c r="AJ217" s="1"/>
      <c r="AK217" s="6"/>
    </row>
    <row r="218" spans="1:37" x14ac:dyDescent="0.35">
      <c r="A218" s="1"/>
      <c r="B218" s="5"/>
      <c r="C218" s="25" t="s">
        <v>349</v>
      </c>
      <c r="D218" s="25" t="s">
        <v>933</v>
      </c>
      <c r="E218" s="25" t="s">
        <v>953</v>
      </c>
      <c r="F218" s="25" t="s">
        <v>954</v>
      </c>
      <c r="G218" s="50">
        <v>241725.36455</v>
      </c>
      <c r="H218" s="50">
        <v>15</v>
      </c>
      <c r="I218" s="37">
        <v>11.748999595642101</v>
      </c>
      <c r="J218" s="37">
        <v>12.022000312805201</v>
      </c>
      <c r="K218" s="37">
        <v>11.923596200781001</v>
      </c>
      <c r="L218" s="37">
        <v>11.9390001296997</v>
      </c>
      <c r="M218" s="37">
        <v>110.81500244140599</v>
      </c>
      <c r="N218" s="37">
        <v>112.13600158691401</v>
      </c>
      <c r="O218" s="37">
        <v>111.263704086308</v>
      </c>
      <c r="P218" s="37">
        <v>111.193000793457</v>
      </c>
      <c r="Q218" s="50">
        <v>116636.80785</v>
      </c>
      <c r="R218" s="50">
        <v>3</v>
      </c>
      <c r="S218" s="37">
        <v>12</v>
      </c>
      <c r="T218" s="37">
        <v>12.449999809265099</v>
      </c>
      <c r="U218" s="37">
        <v>12.006456238296501</v>
      </c>
      <c r="V218" s="37">
        <v>12</v>
      </c>
      <c r="W218" s="37">
        <v>111.55599975585901</v>
      </c>
      <c r="X218" s="37">
        <v>111.832000732422</v>
      </c>
      <c r="Y218" s="37">
        <v>111.560091592432</v>
      </c>
      <c r="Z218" s="37">
        <v>111.55599975585901</v>
      </c>
      <c r="AA218" s="1"/>
      <c r="AB218" s="1"/>
      <c r="AC218" s="1"/>
      <c r="AD218" s="1"/>
      <c r="AE218" s="1"/>
      <c r="AF218" s="1"/>
      <c r="AG218" s="1"/>
      <c r="AH218" s="1"/>
      <c r="AI218" s="1"/>
      <c r="AJ218" s="1"/>
      <c r="AK218" s="6"/>
    </row>
    <row r="219" spans="1:37" x14ac:dyDescent="0.35">
      <c r="A219" s="1"/>
      <c r="B219" s="5"/>
      <c r="C219" s="25" t="s">
        <v>353</v>
      </c>
      <c r="D219" s="25" t="s">
        <v>933</v>
      </c>
      <c r="E219" s="25" t="s">
        <v>955</v>
      </c>
      <c r="F219" s="25" t="s">
        <v>956</v>
      </c>
      <c r="G219" s="50">
        <v>333849.308242</v>
      </c>
      <c r="H219" s="50">
        <v>16</v>
      </c>
      <c r="I219" s="37">
        <v>11.770999908447299</v>
      </c>
      <c r="J219" s="37">
        <v>11.9099998474121</v>
      </c>
      <c r="K219" s="37">
        <v>11.8713124774997</v>
      </c>
      <c r="L219" s="37">
        <v>11.8579998016357</v>
      </c>
      <c r="M219" s="37">
        <v>104.51000213623</v>
      </c>
      <c r="N219" s="37">
        <v>105.29599761962901</v>
      </c>
      <c r="O219" s="37">
        <v>104.712000920031</v>
      </c>
      <c r="P219" s="37">
        <v>104.778999328613</v>
      </c>
      <c r="Q219" s="50">
        <v>161591.46100000001</v>
      </c>
      <c r="R219" s="50">
        <v>5</v>
      </c>
      <c r="S219" s="37">
        <v>10</v>
      </c>
      <c r="T219" s="37">
        <v>12</v>
      </c>
      <c r="U219" s="37">
        <v>11.469255663430401</v>
      </c>
      <c r="V219" s="37">
        <v>12</v>
      </c>
      <c r="W219" s="37">
        <v>104.046997070313</v>
      </c>
      <c r="X219" s="37">
        <v>105.02799987793</v>
      </c>
      <c r="Y219" s="37">
        <v>104.589138981594</v>
      </c>
      <c r="Z219" s="37">
        <v>104.768997192383</v>
      </c>
      <c r="AA219" s="1"/>
      <c r="AB219" s="1"/>
      <c r="AC219" s="1"/>
      <c r="AD219" s="1"/>
      <c r="AE219" s="1"/>
      <c r="AF219" s="1"/>
      <c r="AG219" s="1"/>
      <c r="AH219" s="1"/>
      <c r="AI219" s="1"/>
      <c r="AJ219" s="1"/>
      <c r="AK219" s="6"/>
    </row>
    <row r="220" spans="1:37" x14ac:dyDescent="0.35">
      <c r="A220" s="1"/>
      <c r="B220" s="5"/>
      <c r="C220" s="25" t="s">
        <v>1072</v>
      </c>
      <c r="D220" s="25" t="s">
        <v>933</v>
      </c>
      <c r="E220" s="25" t="s">
        <v>1073</v>
      </c>
      <c r="F220" s="25" t="s">
        <v>1074</v>
      </c>
      <c r="G220" s="50">
        <v>27766.903999999999</v>
      </c>
      <c r="H220" s="50">
        <v>3</v>
      </c>
      <c r="I220" s="37">
        <v>5.5139999389648402</v>
      </c>
      <c r="J220" s="37">
        <v>6.3299999237060502</v>
      </c>
      <c r="K220" s="37">
        <v>5.7376922460702797</v>
      </c>
      <c r="L220" s="37">
        <v>5.5139999389648402</v>
      </c>
      <c r="M220" s="37">
        <v>106.72499847412099</v>
      </c>
      <c r="N220" s="37">
        <v>106.82199859619099</v>
      </c>
      <c r="O220" s="37">
        <v>106.795382573054</v>
      </c>
      <c r="P220" s="37">
        <v>106.82199859619099</v>
      </c>
      <c r="Q220" s="50">
        <v>0</v>
      </c>
      <c r="R220" s="25"/>
      <c r="S220" s="25"/>
      <c r="T220" s="25"/>
      <c r="U220" s="25"/>
      <c r="V220" s="25"/>
      <c r="W220" s="25"/>
      <c r="X220" s="25"/>
      <c r="Y220" s="25"/>
      <c r="Z220" s="25"/>
      <c r="AA220" s="1"/>
      <c r="AB220" s="1"/>
      <c r="AC220" s="1"/>
      <c r="AD220" s="1"/>
      <c r="AE220" s="1"/>
      <c r="AF220" s="1"/>
      <c r="AG220" s="1"/>
      <c r="AH220" s="1"/>
      <c r="AI220" s="1"/>
      <c r="AJ220" s="1"/>
      <c r="AK220" s="6"/>
    </row>
    <row r="221" spans="1:37" x14ac:dyDescent="0.35">
      <c r="A221" s="1"/>
      <c r="B221" s="5"/>
      <c r="C221" s="25" t="s">
        <v>357</v>
      </c>
      <c r="D221" s="25" t="s">
        <v>933</v>
      </c>
      <c r="E221" s="25" t="s">
        <v>957</v>
      </c>
      <c r="F221" s="25" t="s">
        <v>958</v>
      </c>
      <c r="G221" s="50">
        <v>53044.425000000003</v>
      </c>
      <c r="H221" s="50">
        <v>5</v>
      </c>
      <c r="I221" s="37">
        <v>11.7849998474121</v>
      </c>
      <c r="J221" s="37">
        <v>11.8290004730225</v>
      </c>
      <c r="K221" s="37">
        <v>11.809516346839199</v>
      </c>
      <c r="L221" s="37">
        <v>11.810000419616699</v>
      </c>
      <c r="M221" s="37">
        <v>68.356002807617202</v>
      </c>
      <c r="N221" s="37">
        <v>68.552001953125</v>
      </c>
      <c r="O221" s="37">
        <v>68.443820731870602</v>
      </c>
      <c r="P221" s="37">
        <v>68.442001342773395</v>
      </c>
      <c r="Q221" s="50">
        <v>1499.7179980000001</v>
      </c>
      <c r="R221" s="50">
        <v>2</v>
      </c>
      <c r="S221" s="37">
        <v>11.5</v>
      </c>
      <c r="T221" s="37">
        <v>12.300000190734901</v>
      </c>
      <c r="U221" s="37">
        <v>11.567063689832599</v>
      </c>
      <c r="V221" s="37">
        <v>12.300000190734901</v>
      </c>
      <c r="W221" s="37">
        <v>68.486000061035199</v>
      </c>
      <c r="X221" s="37">
        <v>71.029998779296903</v>
      </c>
      <c r="Y221" s="37">
        <v>68.699262436409398</v>
      </c>
      <c r="Z221" s="37">
        <v>71.029998779296903</v>
      </c>
      <c r="AA221" s="1"/>
      <c r="AB221" s="1"/>
      <c r="AC221" s="1"/>
      <c r="AD221" s="1"/>
      <c r="AE221" s="1"/>
      <c r="AF221" s="1"/>
      <c r="AG221" s="1"/>
      <c r="AH221" s="1"/>
      <c r="AI221" s="1"/>
      <c r="AJ221" s="1"/>
      <c r="AK221" s="6"/>
    </row>
    <row r="222" spans="1:37" x14ac:dyDescent="0.35">
      <c r="A222" s="1"/>
      <c r="B222" s="5"/>
      <c r="C222" s="25" t="s">
        <v>361</v>
      </c>
      <c r="D222" s="25" t="s">
        <v>933</v>
      </c>
      <c r="E222" s="25" t="s">
        <v>1075</v>
      </c>
      <c r="F222" s="25" t="s">
        <v>1076</v>
      </c>
      <c r="G222" s="50">
        <v>140641.56439300001</v>
      </c>
      <c r="H222" s="50">
        <v>2</v>
      </c>
      <c r="I222" s="37">
        <v>12.046999931335399</v>
      </c>
      <c r="J222" s="37">
        <v>12.1000003814697</v>
      </c>
      <c r="K222" s="37">
        <v>12.0993633628706</v>
      </c>
      <c r="L222" s="37">
        <v>12.1000003814697</v>
      </c>
      <c r="M222" s="37">
        <v>92.630996704101605</v>
      </c>
      <c r="N222" s="37">
        <v>92.841003417968807</v>
      </c>
      <c r="O222" s="37">
        <v>92.633520799318305</v>
      </c>
      <c r="P222" s="37">
        <v>92.630996704101605</v>
      </c>
      <c r="Q222" s="50">
        <v>0</v>
      </c>
      <c r="R222" s="25"/>
      <c r="S222" s="25"/>
      <c r="T222" s="25"/>
      <c r="U222" s="25"/>
      <c r="V222" s="25"/>
      <c r="W222" s="25"/>
      <c r="X222" s="25"/>
      <c r="Y222" s="25"/>
      <c r="Z222" s="25"/>
      <c r="AA222" s="1"/>
      <c r="AB222" s="1"/>
      <c r="AC222" s="1"/>
      <c r="AD222" s="1"/>
      <c r="AE222" s="1"/>
      <c r="AF222" s="1"/>
      <c r="AG222" s="1"/>
      <c r="AH222" s="1"/>
      <c r="AI222" s="1"/>
      <c r="AJ222" s="1"/>
      <c r="AK222" s="6"/>
    </row>
    <row r="223" spans="1:37" x14ac:dyDescent="0.35">
      <c r="A223" s="1"/>
      <c r="B223" s="5"/>
      <c r="C223" s="25" t="s">
        <v>365</v>
      </c>
      <c r="D223" s="25" t="s">
        <v>933</v>
      </c>
      <c r="E223" s="25" t="s">
        <v>1077</v>
      </c>
      <c r="F223" s="25" t="s">
        <v>1078</v>
      </c>
      <c r="G223" s="50">
        <v>137042.76121999999</v>
      </c>
      <c r="H223" s="50">
        <v>7</v>
      </c>
      <c r="I223" s="37">
        <v>11.720999717712401</v>
      </c>
      <c r="J223" s="37">
        <v>11.8500003814697</v>
      </c>
      <c r="K223" s="37">
        <v>11.819306395684601</v>
      </c>
      <c r="L223" s="37">
        <v>11.8500003814697</v>
      </c>
      <c r="M223" s="37">
        <v>81.831001281738295</v>
      </c>
      <c r="N223" s="37">
        <v>82.432998657226605</v>
      </c>
      <c r="O223" s="37">
        <v>81.967120507283099</v>
      </c>
      <c r="P223" s="37">
        <v>81.831001281738295</v>
      </c>
      <c r="Q223" s="50">
        <v>32775.279999999999</v>
      </c>
      <c r="R223" s="50">
        <v>1</v>
      </c>
      <c r="S223" s="37">
        <v>11.8500003814697</v>
      </c>
      <c r="T223" s="37">
        <v>11.8500003814697</v>
      </c>
      <c r="U223" s="37">
        <v>11.8500003814697</v>
      </c>
      <c r="V223" s="37">
        <v>11.8500003814697</v>
      </c>
      <c r="W223" s="37">
        <v>81.938003540039105</v>
      </c>
      <c r="X223" s="37">
        <v>81.938003540039105</v>
      </c>
      <c r="Y223" s="37">
        <v>81.938003540039105</v>
      </c>
      <c r="Z223" s="37">
        <v>81.938003540039105</v>
      </c>
      <c r="AA223" s="1"/>
      <c r="AB223" s="1"/>
      <c r="AC223" s="1"/>
      <c r="AD223" s="1"/>
      <c r="AE223" s="1"/>
      <c r="AF223" s="1"/>
      <c r="AG223" s="1"/>
      <c r="AH223" s="1"/>
      <c r="AI223" s="1"/>
      <c r="AJ223" s="1"/>
      <c r="AK223" s="6"/>
    </row>
    <row r="224" spans="1:37" x14ac:dyDescent="0.35">
      <c r="A224" s="1"/>
      <c r="B224" s="5"/>
      <c r="C224" s="25" t="s">
        <v>369</v>
      </c>
      <c r="D224" s="25" t="s">
        <v>933</v>
      </c>
      <c r="E224" s="25" t="s">
        <v>959</v>
      </c>
      <c r="F224" s="25" t="s">
        <v>960</v>
      </c>
      <c r="G224" s="50">
        <v>128032.831517</v>
      </c>
      <c r="H224" s="50">
        <v>18</v>
      </c>
      <c r="I224" s="37">
        <v>12.2320003509521</v>
      </c>
      <c r="J224" s="37">
        <v>12.319999694824199</v>
      </c>
      <c r="K224" s="37">
        <v>12.276742389397601</v>
      </c>
      <c r="L224" s="37">
        <v>12.319999694824199</v>
      </c>
      <c r="M224" s="37">
        <v>91.579002380371094</v>
      </c>
      <c r="N224" s="37">
        <v>91.730003356933594</v>
      </c>
      <c r="O224" s="37">
        <v>91.651916803443598</v>
      </c>
      <c r="P224" s="37">
        <v>91.579002380371094</v>
      </c>
      <c r="Q224" s="50">
        <v>903312.42492000002</v>
      </c>
      <c r="R224" s="50">
        <v>29</v>
      </c>
      <c r="S224" s="37">
        <v>11.8999996185303</v>
      </c>
      <c r="T224" s="37">
        <v>12</v>
      </c>
      <c r="U224" s="37">
        <v>11.997865554785101</v>
      </c>
      <c r="V224" s="37">
        <v>12</v>
      </c>
      <c r="W224" s="37">
        <v>91.565002441406307</v>
      </c>
      <c r="X224" s="37">
        <v>92.019996643066406</v>
      </c>
      <c r="Y224" s="37">
        <v>91.637202738157896</v>
      </c>
      <c r="Z224" s="37">
        <v>91.565002441406307</v>
      </c>
      <c r="AA224" s="1"/>
      <c r="AB224" s="1"/>
      <c r="AC224" s="1"/>
      <c r="AD224" s="1"/>
      <c r="AE224" s="1"/>
      <c r="AF224" s="1"/>
      <c r="AG224" s="1"/>
      <c r="AH224" s="1"/>
      <c r="AI224" s="1"/>
      <c r="AJ224" s="1"/>
      <c r="AK224" s="6"/>
    </row>
    <row r="225" spans="1:37" x14ac:dyDescent="0.35">
      <c r="A225" s="1"/>
      <c r="B225" s="5"/>
      <c r="C225" s="25" t="s">
        <v>373</v>
      </c>
      <c r="D225" s="25" t="s">
        <v>933</v>
      </c>
      <c r="E225" s="25" t="s">
        <v>961</v>
      </c>
      <c r="F225" s="25" t="s">
        <v>962</v>
      </c>
      <c r="G225" s="50">
        <v>167335.77004599999</v>
      </c>
      <c r="H225" s="50">
        <v>5</v>
      </c>
      <c r="I225" s="37">
        <v>11.861000061035201</v>
      </c>
      <c r="J225" s="37">
        <v>11.9799995422363</v>
      </c>
      <c r="K225" s="37">
        <v>11.960560634139799</v>
      </c>
      <c r="L225" s="37">
        <v>11.960000038146999</v>
      </c>
      <c r="M225" s="37">
        <v>112.957000732422</v>
      </c>
      <c r="N225" s="37">
        <v>113.86399841308599</v>
      </c>
      <c r="O225" s="37">
        <v>113.095493997112</v>
      </c>
      <c r="P225" s="37">
        <v>113.09700012207</v>
      </c>
      <c r="Q225" s="50">
        <v>20422.952000000001</v>
      </c>
      <c r="R225" s="50">
        <v>3</v>
      </c>
      <c r="S225" s="37">
        <v>9</v>
      </c>
      <c r="T225" s="37">
        <v>12</v>
      </c>
      <c r="U225" s="37">
        <v>10.3055555555556</v>
      </c>
      <c r="V225" s="37">
        <v>10</v>
      </c>
      <c r="W225" s="37">
        <v>113.447998046875</v>
      </c>
      <c r="X225" s="37">
        <v>113.475997924805</v>
      </c>
      <c r="Y225" s="37">
        <v>113.46044243706601</v>
      </c>
      <c r="Z225" s="37">
        <v>113.475997924805</v>
      </c>
      <c r="AA225" s="1"/>
      <c r="AB225" s="1"/>
      <c r="AC225" s="1"/>
      <c r="AD225" s="1"/>
      <c r="AE225" s="1"/>
      <c r="AF225" s="1"/>
      <c r="AG225" s="1"/>
      <c r="AH225" s="1"/>
      <c r="AI225" s="1"/>
      <c r="AJ225" s="1"/>
      <c r="AK225" s="6"/>
    </row>
    <row r="226" spans="1:37" x14ac:dyDescent="0.35">
      <c r="A226" s="1"/>
      <c r="B226" s="5"/>
      <c r="C226" s="25" t="s">
        <v>377</v>
      </c>
      <c r="D226" s="25" t="s">
        <v>933</v>
      </c>
      <c r="E226" s="25" t="s">
        <v>963</v>
      </c>
      <c r="F226" s="25" t="s">
        <v>964</v>
      </c>
      <c r="G226" s="50">
        <v>24197.694692000001</v>
      </c>
      <c r="H226" s="50">
        <v>5</v>
      </c>
      <c r="I226" s="37">
        <v>11.779000282287599</v>
      </c>
      <c r="J226" s="37">
        <v>11.8850002288818</v>
      </c>
      <c r="K226" s="37">
        <v>11.843207700252099</v>
      </c>
      <c r="L226" s="37">
        <v>11.7799997329712</v>
      </c>
      <c r="M226" s="37">
        <v>80.193000793457003</v>
      </c>
      <c r="N226" s="37">
        <v>80.619003295898395</v>
      </c>
      <c r="O226" s="37">
        <v>80.386765365817794</v>
      </c>
      <c r="P226" s="37">
        <v>80.567001342773395</v>
      </c>
      <c r="Q226" s="50">
        <v>0</v>
      </c>
      <c r="R226" s="25"/>
      <c r="S226" s="25"/>
      <c r="T226" s="25"/>
      <c r="U226" s="25"/>
      <c r="V226" s="25"/>
      <c r="W226" s="25"/>
      <c r="X226" s="25"/>
      <c r="Y226" s="25"/>
      <c r="Z226" s="25"/>
      <c r="AA226" s="1"/>
      <c r="AB226" s="1"/>
      <c r="AC226" s="1"/>
      <c r="AD226" s="1"/>
      <c r="AE226" s="1"/>
      <c r="AF226" s="1"/>
      <c r="AG226" s="1"/>
      <c r="AH226" s="1"/>
      <c r="AI226" s="1"/>
      <c r="AJ226" s="1"/>
      <c r="AK226" s="6"/>
    </row>
    <row r="227" spans="1:37" x14ac:dyDescent="0.35">
      <c r="A227" s="1"/>
      <c r="B227" s="5"/>
      <c r="C227" s="25" t="s">
        <v>381</v>
      </c>
      <c r="D227" s="25" t="s">
        <v>933</v>
      </c>
      <c r="E227" s="25" t="s">
        <v>1079</v>
      </c>
      <c r="F227" s="25" t="s">
        <v>1080</v>
      </c>
      <c r="G227" s="50">
        <v>101182.38717099999</v>
      </c>
      <c r="H227" s="50">
        <v>6</v>
      </c>
      <c r="I227" s="37">
        <v>11.788999557495099</v>
      </c>
      <c r="J227" s="37">
        <v>11.939999580383301</v>
      </c>
      <c r="K227" s="37">
        <v>11.9175743806135</v>
      </c>
      <c r="L227" s="37">
        <v>11.939999580383301</v>
      </c>
      <c r="M227" s="37">
        <v>82.362998962402301</v>
      </c>
      <c r="N227" s="37">
        <v>83.319999694824205</v>
      </c>
      <c r="O227" s="37">
        <v>82.497480275654993</v>
      </c>
      <c r="P227" s="37">
        <v>82.362998962402301</v>
      </c>
      <c r="Q227" s="50">
        <v>70563.295499999993</v>
      </c>
      <c r="R227" s="50">
        <v>2</v>
      </c>
      <c r="S227" s="37">
        <v>12</v>
      </c>
      <c r="T227" s="37">
        <v>12</v>
      </c>
      <c r="U227" s="37">
        <v>12</v>
      </c>
      <c r="V227" s="37">
        <v>12</v>
      </c>
      <c r="W227" s="37">
        <v>82.529998779296903</v>
      </c>
      <c r="X227" s="37">
        <v>82.541999816894503</v>
      </c>
      <c r="Y227" s="37">
        <v>82.530068960803305</v>
      </c>
      <c r="Z227" s="37">
        <v>82.541999816894503</v>
      </c>
      <c r="AA227" s="1"/>
      <c r="AB227" s="1"/>
      <c r="AC227" s="1"/>
      <c r="AD227" s="1"/>
      <c r="AE227" s="1"/>
      <c r="AF227" s="1"/>
      <c r="AG227" s="1"/>
      <c r="AH227" s="1"/>
      <c r="AI227" s="1"/>
      <c r="AJ227" s="1"/>
      <c r="AK227" s="6"/>
    </row>
    <row r="228" spans="1:37" x14ac:dyDescent="0.35">
      <c r="A228" s="1"/>
      <c r="B228" s="5"/>
      <c r="C228" s="25" t="s">
        <v>385</v>
      </c>
      <c r="D228" s="25" t="s">
        <v>933</v>
      </c>
      <c r="E228" s="25" t="s">
        <v>846</v>
      </c>
      <c r="F228" s="25" t="s">
        <v>965</v>
      </c>
      <c r="G228" s="50">
        <v>120021.9222</v>
      </c>
      <c r="H228" s="50">
        <v>4</v>
      </c>
      <c r="I228" s="37">
        <v>11.8400001525879</v>
      </c>
      <c r="J228" s="37">
        <v>11.9650001525879</v>
      </c>
      <c r="K228" s="37">
        <v>11.879192306676901</v>
      </c>
      <c r="L228" s="37">
        <v>11.960000038146999</v>
      </c>
      <c r="M228" s="37">
        <v>107.65000152587901</v>
      </c>
      <c r="N228" s="37">
        <v>108.633003234863</v>
      </c>
      <c r="O228" s="37">
        <v>108.322637089753</v>
      </c>
      <c r="P228" s="37">
        <v>107.68699645996099</v>
      </c>
      <c r="Q228" s="50">
        <v>116494.39200000001</v>
      </c>
      <c r="R228" s="50">
        <v>3</v>
      </c>
      <c r="S228" s="37">
        <v>11.8500003814697</v>
      </c>
      <c r="T228" s="37">
        <v>12.050000190734901</v>
      </c>
      <c r="U228" s="37">
        <v>11.927778032090901</v>
      </c>
      <c r="V228" s="37">
        <v>12.050000190734901</v>
      </c>
      <c r="W228" s="37">
        <v>107.832000732422</v>
      </c>
      <c r="X228" s="37">
        <v>107.890998840332</v>
      </c>
      <c r="Y228" s="37">
        <v>107.864777459039</v>
      </c>
      <c r="Z228" s="37">
        <v>107.890998840332</v>
      </c>
      <c r="AA228" s="1"/>
      <c r="AB228" s="1"/>
      <c r="AC228" s="1"/>
      <c r="AD228" s="1"/>
      <c r="AE228" s="1"/>
      <c r="AF228" s="1"/>
      <c r="AG228" s="1"/>
      <c r="AH228" s="1"/>
      <c r="AI228" s="1"/>
      <c r="AJ228" s="1"/>
      <c r="AK228" s="6"/>
    </row>
    <row r="229" spans="1:37" x14ac:dyDescent="0.35">
      <c r="A229" s="1"/>
      <c r="B229" s="5"/>
      <c r="C229" s="25" t="s">
        <v>389</v>
      </c>
      <c r="D229" s="25" t="s">
        <v>933</v>
      </c>
      <c r="E229" s="25" t="s">
        <v>966</v>
      </c>
      <c r="F229" s="25" t="s">
        <v>967</v>
      </c>
      <c r="G229" s="50">
        <v>15147.105138000001</v>
      </c>
      <c r="H229" s="50">
        <v>3</v>
      </c>
      <c r="I229" s="37">
        <v>11.918000221252401</v>
      </c>
      <c r="J229" s="37">
        <v>11.9799995422363</v>
      </c>
      <c r="K229" s="37">
        <v>11.9238145168376</v>
      </c>
      <c r="L229" s="37">
        <v>11.9799995422363</v>
      </c>
      <c r="M229" s="37">
        <v>68.146003723144503</v>
      </c>
      <c r="N229" s="37">
        <v>68.517997741699205</v>
      </c>
      <c r="O229" s="37">
        <v>68.483138821463299</v>
      </c>
      <c r="P229" s="37">
        <v>68.146003723144503</v>
      </c>
      <c r="Q229" s="50">
        <v>0</v>
      </c>
      <c r="R229" s="25"/>
      <c r="S229" s="25"/>
      <c r="T229" s="25"/>
      <c r="U229" s="25"/>
      <c r="V229" s="25"/>
      <c r="W229" s="25"/>
      <c r="X229" s="25"/>
      <c r="Y229" s="25"/>
      <c r="Z229" s="25"/>
      <c r="AA229" s="1"/>
      <c r="AB229" s="1"/>
      <c r="AC229" s="1"/>
      <c r="AD229" s="1"/>
      <c r="AE229" s="1"/>
      <c r="AF229" s="1"/>
      <c r="AG229" s="1"/>
      <c r="AH229" s="1"/>
      <c r="AI229" s="1"/>
      <c r="AJ229" s="1"/>
      <c r="AK229" s="6"/>
    </row>
    <row r="230" spans="1:37" x14ac:dyDescent="0.35">
      <c r="A230" s="1"/>
      <c r="B230" s="5"/>
      <c r="C230" s="25" t="s">
        <v>393</v>
      </c>
      <c r="D230" s="25" t="s">
        <v>933</v>
      </c>
      <c r="E230" s="25" t="s">
        <v>968</v>
      </c>
      <c r="F230" s="25" t="s">
        <v>969</v>
      </c>
      <c r="G230" s="50">
        <v>146176.864</v>
      </c>
      <c r="H230" s="50">
        <v>3</v>
      </c>
      <c r="I230" s="37">
        <v>12.2089996337891</v>
      </c>
      <c r="J230" s="37">
        <v>12.2200002670288</v>
      </c>
      <c r="K230" s="37">
        <v>12.2091534887994</v>
      </c>
      <c r="L230" s="37">
        <v>12.2089996337891</v>
      </c>
      <c r="M230" s="37">
        <v>102.13500213623</v>
      </c>
      <c r="N230" s="37">
        <v>102.22200012207</v>
      </c>
      <c r="O230" s="37">
        <v>102.220783367024</v>
      </c>
      <c r="P230" s="37">
        <v>102.22200012207</v>
      </c>
      <c r="Q230" s="50">
        <v>11238.647999999999</v>
      </c>
      <c r="R230" s="50">
        <v>2</v>
      </c>
      <c r="S230" s="37">
        <v>12</v>
      </c>
      <c r="T230" s="37">
        <v>12</v>
      </c>
      <c r="U230" s="37">
        <v>12</v>
      </c>
      <c r="V230" s="37">
        <v>12</v>
      </c>
      <c r="W230" s="37">
        <v>102.13500213623</v>
      </c>
      <c r="X230" s="37">
        <v>102.505996704102</v>
      </c>
      <c r="Y230" s="37">
        <v>102.168728915128</v>
      </c>
      <c r="Z230" s="37">
        <v>102.505996704102</v>
      </c>
      <c r="AA230" s="1"/>
      <c r="AB230" s="1"/>
      <c r="AC230" s="1"/>
      <c r="AD230" s="1"/>
      <c r="AE230" s="1"/>
      <c r="AF230" s="1"/>
      <c r="AG230" s="1"/>
      <c r="AH230" s="1"/>
      <c r="AI230" s="1"/>
      <c r="AJ230" s="1"/>
      <c r="AK230" s="6"/>
    </row>
    <row r="231" spans="1:37" x14ac:dyDescent="0.35">
      <c r="A231" s="1"/>
      <c r="B231" s="5"/>
      <c r="C231" s="25" t="s">
        <v>1081</v>
      </c>
      <c r="D231" s="25" t="s">
        <v>1082</v>
      </c>
      <c r="E231" s="25" t="s">
        <v>1083</v>
      </c>
      <c r="F231" s="25" t="s">
        <v>695</v>
      </c>
      <c r="G231" s="50">
        <v>1287.525216</v>
      </c>
      <c r="H231" s="50">
        <v>2</v>
      </c>
      <c r="I231" s="37">
        <v>0</v>
      </c>
      <c r="J231" s="37">
        <v>0</v>
      </c>
      <c r="K231" s="37">
        <v>0</v>
      </c>
      <c r="L231" s="37">
        <v>0</v>
      </c>
      <c r="M231" s="37">
        <v>99</v>
      </c>
      <c r="N231" s="37">
        <v>100.199996948242</v>
      </c>
      <c r="O231" s="37">
        <v>99.599998474121094</v>
      </c>
      <c r="P231" s="37">
        <v>99</v>
      </c>
      <c r="Q231" s="50">
        <v>0</v>
      </c>
      <c r="R231" s="25"/>
      <c r="S231" s="25"/>
      <c r="T231" s="25"/>
      <c r="U231" s="25"/>
      <c r="V231" s="25"/>
      <c r="W231" s="25"/>
      <c r="X231" s="25"/>
      <c r="Y231" s="25"/>
      <c r="Z231" s="25"/>
      <c r="AA231" s="1"/>
      <c r="AB231" s="1"/>
      <c r="AC231" s="1"/>
      <c r="AD231" s="1"/>
      <c r="AE231" s="1"/>
      <c r="AF231" s="1"/>
      <c r="AG231" s="1"/>
      <c r="AH231" s="1"/>
      <c r="AI231" s="1"/>
      <c r="AJ231" s="1"/>
      <c r="AK231" s="6"/>
    </row>
    <row r="232" spans="1:37" x14ac:dyDescent="0.35">
      <c r="A232" s="1"/>
      <c r="B232" s="5"/>
      <c r="C232" s="25" t="s">
        <v>1081</v>
      </c>
      <c r="D232" s="25" t="s">
        <v>1082</v>
      </c>
      <c r="E232" s="25" t="s">
        <v>493</v>
      </c>
      <c r="F232" s="25" t="s">
        <v>1084</v>
      </c>
      <c r="G232" s="50">
        <v>84.180735999999996</v>
      </c>
      <c r="H232" s="50">
        <v>1</v>
      </c>
      <c r="I232" s="37">
        <v>0</v>
      </c>
      <c r="J232" s="37">
        <v>0</v>
      </c>
      <c r="K232" s="37">
        <v>0</v>
      </c>
      <c r="L232" s="37">
        <v>0</v>
      </c>
      <c r="M232" s="37">
        <v>98.599998474121094</v>
      </c>
      <c r="N232" s="37">
        <v>98.599998474121094</v>
      </c>
      <c r="O232" s="37">
        <v>98.599998474121094</v>
      </c>
      <c r="P232" s="37">
        <v>98.599998474121094</v>
      </c>
      <c r="Q232" s="50">
        <v>0</v>
      </c>
      <c r="R232" s="25"/>
      <c r="S232" s="25"/>
      <c r="T232" s="25"/>
      <c r="U232" s="25"/>
      <c r="V232" s="25"/>
      <c r="W232" s="25"/>
      <c r="X232" s="25"/>
      <c r="Y232" s="25"/>
      <c r="Z232" s="25"/>
      <c r="AA232" s="1"/>
      <c r="AB232" s="1"/>
      <c r="AC232" s="1"/>
      <c r="AD232" s="1"/>
      <c r="AE232" s="1"/>
      <c r="AF232" s="1"/>
      <c r="AG232" s="1"/>
      <c r="AH232" s="1"/>
      <c r="AI232" s="1"/>
      <c r="AJ232" s="1"/>
      <c r="AK232" s="6"/>
    </row>
    <row r="233" spans="1:37" x14ac:dyDescent="0.35">
      <c r="A233" s="1"/>
      <c r="B233" s="5"/>
      <c r="C233" s="25" t="s">
        <v>1081</v>
      </c>
      <c r="D233" s="25" t="s">
        <v>1082</v>
      </c>
      <c r="E233" s="25" t="s">
        <v>499</v>
      </c>
      <c r="F233" s="25" t="s">
        <v>1044</v>
      </c>
      <c r="G233" s="50">
        <v>462.33523200000002</v>
      </c>
      <c r="H233" s="50">
        <v>1</v>
      </c>
      <c r="I233" s="37">
        <v>0</v>
      </c>
      <c r="J233" s="37">
        <v>0</v>
      </c>
      <c r="K233" s="37">
        <v>0</v>
      </c>
      <c r="L233" s="37">
        <v>0</v>
      </c>
      <c r="M233" s="37">
        <v>99.599998474121094</v>
      </c>
      <c r="N233" s="37">
        <v>99.599998474121094</v>
      </c>
      <c r="O233" s="37">
        <v>99.599998474121094</v>
      </c>
      <c r="P233" s="37">
        <v>99.599998474121094</v>
      </c>
      <c r="Q233" s="50">
        <v>0</v>
      </c>
      <c r="R233" s="25"/>
      <c r="S233" s="25"/>
      <c r="T233" s="25"/>
      <c r="U233" s="25"/>
      <c r="V233" s="25"/>
      <c r="W233" s="25"/>
      <c r="X233" s="25"/>
      <c r="Y233" s="25"/>
      <c r="Z233" s="25"/>
      <c r="AA233" s="1"/>
      <c r="AB233" s="1"/>
      <c r="AC233" s="1"/>
      <c r="AD233" s="1"/>
      <c r="AE233" s="1"/>
      <c r="AF233" s="1"/>
      <c r="AG233" s="1"/>
      <c r="AH233" s="1"/>
      <c r="AI233" s="1"/>
      <c r="AJ233" s="1"/>
      <c r="AK233" s="6"/>
    </row>
    <row r="234" spans="1:37" x14ac:dyDescent="0.35">
      <c r="A234" s="1"/>
      <c r="B234" s="5"/>
      <c r="C234" s="25" t="s">
        <v>1081</v>
      </c>
      <c r="D234" s="25" t="s">
        <v>1082</v>
      </c>
      <c r="E234" s="25" t="s">
        <v>502</v>
      </c>
      <c r="F234" s="25" t="s">
        <v>1054</v>
      </c>
      <c r="G234" s="50">
        <v>48960.371275999998</v>
      </c>
      <c r="H234" s="50">
        <v>3</v>
      </c>
      <c r="I234" s="37">
        <v>0</v>
      </c>
      <c r="J234" s="37">
        <v>0</v>
      </c>
      <c r="K234" s="37">
        <v>0</v>
      </c>
      <c r="L234" s="37">
        <v>0</v>
      </c>
      <c r="M234" s="37">
        <v>99.199996948242202</v>
      </c>
      <c r="N234" s="37">
        <v>100.050003051758</v>
      </c>
      <c r="O234" s="37">
        <v>100.022602489901</v>
      </c>
      <c r="P234" s="37">
        <v>99.199996948242202</v>
      </c>
      <c r="Q234" s="50">
        <v>0</v>
      </c>
      <c r="R234" s="25"/>
      <c r="S234" s="25"/>
      <c r="T234" s="25"/>
      <c r="U234" s="25"/>
      <c r="V234" s="25"/>
      <c r="W234" s="25"/>
      <c r="X234" s="25"/>
      <c r="Y234" s="25"/>
      <c r="Z234" s="25"/>
      <c r="AA234" s="1"/>
      <c r="AB234" s="1"/>
      <c r="AC234" s="1"/>
      <c r="AD234" s="1"/>
      <c r="AE234" s="1"/>
      <c r="AF234" s="1"/>
      <c r="AG234" s="1"/>
      <c r="AH234" s="1"/>
      <c r="AI234" s="1"/>
      <c r="AJ234" s="1"/>
      <c r="AK234" s="6"/>
    </row>
    <row r="235" spans="1:37" x14ac:dyDescent="0.35">
      <c r="A235" s="1"/>
      <c r="B235" s="5"/>
      <c r="C235" s="25" t="s">
        <v>1081</v>
      </c>
      <c r="D235" s="25" t="s">
        <v>1082</v>
      </c>
      <c r="E235" s="25" t="s">
        <v>505</v>
      </c>
      <c r="F235" s="25" t="s">
        <v>1085</v>
      </c>
      <c r="G235" s="50">
        <v>2635.1124759999998</v>
      </c>
      <c r="H235" s="50">
        <v>7</v>
      </c>
      <c r="I235" s="37">
        <v>0</v>
      </c>
      <c r="J235" s="37">
        <v>0</v>
      </c>
      <c r="K235" s="37">
        <v>0</v>
      </c>
      <c r="L235" s="37">
        <v>0</v>
      </c>
      <c r="M235" s="37">
        <v>99</v>
      </c>
      <c r="N235" s="37">
        <v>100.220001220703</v>
      </c>
      <c r="O235" s="37">
        <v>100.07829148882701</v>
      </c>
      <c r="P235" s="37">
        <v>100.220001220703</v>
      </c>
      <c r="Q235" s="50">
        <v>0</v>
      </c>
      <c r="R235" s="25"/>
      <c r="S235" s="25"/>
      <c r="T235" s="25"/>
      <c r="U235" s="25"/>
      <c r="V235" s="25"/>
      <c r="W235" s="25"/>
      <c r="X235" s="25"/>
      <c r="Y235" s="25"/>
      <c r="Z235" s="25"/>
      <c r="AA235" s="1"/>
      <c r="AB235" s="1"/>
      <c r="AC235" s="1"/>
      <c r="AD235" s="1"/>
      <c r="AE235" s="1"/>
      <c r="AF235" s="1"/>
      <c r="AG235" s="1"/>
      <c r="AH235" s="1"/>
      <c r="AI235" s="1"/>
      <c r="AJ235" s="1"/>
      <c r="AK235" s="6"/>
    </row>
    <row r="236" spans="1:37" x14ac:dyDescent="0.35">
      <c r="A236" s="1"/>
      <c r="B236" s="5"/>
      <c r="C236" s="25" t="s">
        <v>1081</v>
      </c>
      <c r="D236" s="25" t="s">
        <v>1082</v>
      </c>
      <c r="E236" s="25" t="s">
        <v>509</v>
      </c>
      <c r="F236" s="25" t="s">
        <v>1086</v>
      </c>
      <c r="G236" s="50">
        <v>10768.419535000001</v>
      </c>
      <c r="H236" s="50">
        <v>7</v>
      </c>
      <c r="I236" s="37">
        <v>0</v>
      </c>
      <c r="J236" s="37">
        <v>0</v>
      </c>
      <c r="K236" s="37">
        <v>0</v>
      </c>
      <c r="L236" s="37">
        <v>0</v>
      </c>
      <c r="M236" s="37">
        <v>100</v>
      </c>
      <c r="N236" s="37">
        <v>100.199996948242</v>
      </c>
      <c r="O236" s="37">
        <v>100.09426605185401</v>
      </c>
      <c r="P236" s="37">
        <v>100</v>
      </c>
      <c r="Q236" s="50">
        <v>0</v>
      </c>
      <c r="R236" s="25"/>
      <c r="S236" s="25"/>
      <c r="T236" s="25"/>
      <c r="U236" s="25"/>
      <c r="V236" s="25"/>
      <c r="W236" s="25"/>
      <c r="X236" s="25"/>
      <c r="Y236" s="25"/>
      <c r="Z236" s="25"/>
      <c r="AA236" s="1"/>
      <c r="AB236" s="1"/>
      <c r="AC236" s="1"/>
      <c r="AD236" s="1"/>
      <c r="AE236" s="1"/>
      <c r="AF236" s="1"/>
      <c r="AG236" s="1"/>
      <c r="AH236" s="1"/>
      <c r="AI236" s="1"/>
      <c r="AJ236" s="1"/>
      <c r="AK236" s="6"/>
    </row>
    <row r="237" spans="1:37" x14ac:dyDescent="0.35">
      <c r="A237" s="1"/>
      <c r="B237" s="5"/>
      <c r="C237" s="25" t="s">
        <v>1081</v>
      </c>
      <c r="D237" s="25" t="s">
        <v>1082</v>
      </c>
      <c r="E237" s="25" t="s">
        <v>510</v>
      </c>
      <c r="F237" s="25" t="s">
        <v>1087</v>
      </c>
      <c r="G237" s="50">
        <v>125.654656</v>
      </c>
      <c r="H237" s="50">
        <v>1</v>
      </c>
      <c r="I237" s="37">
        <v>0</v>
      </c>
      <c r="J237" s="37">
        <v>0</v>
      </c>
      <c r="K237" s="37">
        <v>0</v>
      </c>
      <c r="L237" s="37">
        <v>0</v>
      </c>
      <c r="M237" s="37">
        <v>99.199996948242202</v>
      </c>
      <c r="N237" s="37">
        <v>99.199996948242202</v>
      </c>
      <c r="O237" s="37">
        <v>99.199996948242202</v>
      </c>
      <c r="P237" s="37">
        <v>99.199996948242202</v>
      </c>
      <c r="Q237" s="50">
        <v>0</v>
      </c>
      <c r="R237" s="25"/>
      <c r="S237" s="25"/>
      <c r="T237" s="25"/>
      <c r="U237" s="25"/>
      <c r="V237" s="25"/>
      <c r="W237" s="25"/>
      <c r="X237" s="25"/>
      <c r="Y237" s="25"/>
      <c r="Z237" s="25"/>
      <c r="AA237" s="1"/>
      <c r="AB237" s="1"/>
      <c r="AC237" s="1"/>
      <c r="AD237" s="1"/>
      <c r="AE237" s="1"/>
      <c r="AF237" s="1"/>
      <c r="AG237" s="1"/>
      <c r="AH237" s="1"/>
      <c r="AI237" s="1"/>
      <c r="AJ237" s="1"/>
      <c r="AK237" s="6"/>
    </row>
    <row r="238" spans="1:37" x14ac:dyDescent="0.35">
      <c r="A238" s="1"/>
      <c r="B238" s="5"/>
      <c r="C238" s="25" t="s">
        <v>1081</v>
      </c>
      <c r="D238" s="25" t="s">
        <v>1082</v>
      </c>
      <c r="E238" s="25" t="s">
        <v>511</v>
      </c>
      <c r="F238" s="25" t="s">
        <v>1088</v>
      </c>
      <c r="G238" s="50">
        <v>15520.765373</v>
      </c>
      <c r="H238" s="50">
        <v>4</v>
      </c>
      <c r="I238" s="37">
        <v>0</v>
      </c>
      <c r="J238" s="37">
        <v>0</v>
      </c>
      <c r="K238" s="37">
        <v>0</v>
      </c>
      <c r="L238" s="37">
        <v>0</v>
      </c>
      <c r="M238" s="37">
        <v>100.05999755859401</v>
      </c>
      <c r="N238" s="37">
        <v>100.25</v>
      </c>
      <c r="O238" s="37">
        <v>100.193427989222</v>
      </c>
      <c r="P238" s="37">
        <v>100.05999755859401</v>
      </c>
      <c r="Q238" s="50">
        <v>0</v>
      </c>
      <c r="R238" s="25"/>
      <c r="S238" s="25"/>
      <c r="T238" s="25"/>
      <c r="U238" s="25"/>
      <c r="V238" s="25"/>
      <c r="W238" s="25"/>
      <c r="X238" s="25"/>
      <c r="Y238" s="25"/>
      <c r="Z238" s="25"/>
      <c r="AA238" s="1"/>
      <c r="AB238" s="1"/>
      <c r="AC238" s="1"/>
      <c r="AD238" s="1"/>
      <c r="AE238" s="1"/>
      <c r="AF238" s="1"/>
      <c r="AG238" s="1"/>
      <c r="AH238" s="1"/>
      <c r="AI238" s="1"/>
      <c r="AJ238" s="1"/>
      <c r="AK238" s="6"/>
    </row>
    <row r="239" spans="1:37" x14ac:dyDescent="0.35">
      <c r="A239" s="1"/>
      <c r="B239" s="5"/>
      <c r="C239" s="25" t="s">
        <v>1081</v>
      </c>
      <c r="D239" s="25" t="s">
        <v>1082</v>
      </c>
      <c r="E239" s="25" t="s">
        <v>512</v>
      </c>
      <c r="F239" s="25" t="s">
        <v>1089</v>
      </c>
      <c r="G239" s="50">
        <v>14806.90135</v>
      </c>
      <c r="H239" s="50">
        <v>15</v>
      </c>
      <c r="I239" s="37">
        <v>0</v>
      </c>
      <c r="J239" s="37">
        <v>0</v>
      </c>
      <c r="K239" s="37">
        <v>0</v>
      </c>
      <c r="L239" s="37">
        <v>0</v>
      </c>
      <c r="M239" s="37">
        <v>99</v>
      </c>
      <c r="N239" s="37">
        <v>100.25</v>
      </c>
      <c r="O239" s="37">
        <v>100.074856175531</v>
      </c>
      <c r="P239" s="37">
        <v>100.169998168945</v>
      </c>
      <c r="Q239" s="50">
        <v>0</v>
      </c>
      <c r="R239" s="25"/>
      <c r="S239" s="25"/>
      <c r="T239" s="25"/>
      <c r="U239" s="25"/>
      <c r="V239" s="25"/>
      <c r="W239" s="25"/>
      <c r="X239" s="25"/>
      <c r="Y239" s="25"/>
      <c r="Z239" s="25"/>
      <c r="AA239" s="1"/>
      <c r="AB239" s="1"/>
      <c r="AC239" s="1"/>
      <c r="AD239" s="1"/>
      <c r="AE239" s="1"/>
      <c r="AF239" s="1"/>
      <c r="AG239" s="1"/>
      <c r="AH239" s="1"/>
      <c r="AI239" s="1"/>
      <c r="AJ239" s="1"/>
      <c r="AK239" s="6"/>
    </row>
    <row r="240" spans="1:37" x14ac:dyDescent="0.35">
      <c r="A240" s="1"/>
      <c r="B240" s="5"/>
      <c r="C240" s="25" t="s">
        <v>1081</v>
      </c>
      <c r="D240" s="25" t="s">
        <v>1082</v>
      </c>
      <c r="E240" s="25" t="s">
        <v>513</v>
      </c>
      <c r="F240" s="25" t="s">
        <v>1090</v>
      </c>
      <c r="G240" s="50">
        <v>15205.493058</v>
      </c>
      <c r="H240" s="50">
        <v>13</v>
      </c>
      <c r="I240" s="37">
        <v>0</v>
      </c>
      <c r="J240" s="37">
        <v>0</v>
      </c>
      <c r="K240" s="37">
        <v>0</v>
      </c>
      <c r="L240" s="37">
        <v>0</v>
      </c>
      <c r="M240" s="37">
        <v>98</v>
      </c>
      <c r="N240" s="37">
        <v>100.25</v>
      </c>
      <c r="O240" s="37">
        <v>100.130429596794</v>
      </c>
      <c r="P240" s="37">
        <v>100.25</v>
      </c>
      <c r="Q240" s="50">
        <v>0</v>
      </c>
      <c r="R240" s="25"/>
      <c r="S240" s="25"/>
      <c r="T240" s="25"/>
      <c r="U240" s="25"/>
      <c r="V240" s="25"/>
      <c r="W240" s="25"/>
      <c r="X240" s="25"/>
      <c r="Y240" s="25"/>
      <c r="Z240" s="25"/>
      <c r="AA240" s="1"/>
      <c r="AB240" s="1"/>
      <c r="AC240" s="1"/>
      <c r="AD240" s="1"/>
      <c r="AE240" s="1"/>
      <c r="AF240" s="1"/>
      <c r="AG240" s="1"/>
      <c r="AH240" s="1"/>
      <c r="AI240" s="1"/>
      <c r="AJ240" s="1"/>
      <c r="AK240" s="6"/>
    </row>
    <row r="241" spans="1:37" x14ac:dyDescent="0.35">
      <c r="A241" s="1"/>
      <c r="B241" s="5"/>
      <c r="C241" s="25" t="s">
        <v>1081</v>
      </c>
      <c r="D241" s="25" t="s">
        <v>1082</v>
      </c>
      <c r="E241" s="25" t="s">
        <v>514</v>
      </c>
      <c r="F241" s="25" t="s">
        <v>1091</v>
      </c>
      <c r="G241" s="50">
        <v>1803.6996999999999</v>
      </c>
      <c r="H241" s="50">
        <v>6</v>
      </c>
      <c r="I241" s="37">
        <v>0</v>
      </c>
      <c r="J241" s="37">
        <v>0</v>
      </c>
      <c r="K241" s="37">
        <v>0</v>
      </c>
      <c r="L241" s="37">
        <v>0</v>
      </c>
      <c r="M241" s="37">
        <v>98.599998474121094</v>
      </c>
      <c r="N241" s="37">
        <v>100.25</v>
      </c>
      <c r="O241" s="37">
        <v>99.824595669647195</v>
      </c>
      <c r="P241" s="37">
        <v>100.25</v>
      </c>
      <c r="Q241" s="50">
        <v>0</v>
      </c>
      <c r="R241" s="25"/>
      <c r="S241" s="25"/>
      <c r="T241" s="25"/>
      <c r="U241" s="25"/>
      <c r="V241" s="25"/>
      <c r="W241" s="25"/>
      <c r="X241" s="25"/>
      <c r="Y241" s="25"/>
      <c r="Z241" s="25"/>
      <c r="AA241" s="1"/>
      <c r="AB241" s="1"/>
      <c r="AC241" s="1"/>
      <c r="AD241" s="1"/>
      <c r="AE241" s="1"/>
      <c r="AF241" s="1"/>
      <c r="AG241" s="1"/>
      <c r="AH241" s="1"/>
      <c r="AI241" s="1"/>
      <c r="AJ241" s="1"/>
      <c r="AK241" s="6"/>
    </row>
    <row r="242" spans="1:37" x14ac:dyDescent="0.35">
      <c r="A242" s="1"/>
      <c r="B242" s="5"/>
      <c r="C242" s="25" t="s">
        <v>1081</v>
      </c>
      <c r="D242" s="25" t="s">
        <v>1082</v>
      </c>
      <c r="E242" s="25" t="s">
        <v>516</v>
      </c>
      <c r="F242" s="25" t="s">
        <v>1092</v>
      </c>
      <c r="G242" s="50">
        <v>1859.36157</v>
      </c>
      <c r="H242" s="50">
        <v>1</v>
      </c>
      <c r="I242" s="37">
        <v>0</v>
      </c>
      <c r="J242" s="37">
        <v>0</v>
      </c>
      <c r="K242" s="37">
        <v>0</v>
      </c>
      <c r="L242" s="37">
        <v>0</v>
      </c>
      <c r="M242" s="37">
        <v>99</v>
      </c>
      <c r="N242" s="37">
        <v>99</v>
      </c>
      <c r="O242" s="37">
        <v>99</v>
      </c>
      <c r="P242" s="37">
        <v>99</v>
      </c>
      <c r="Q242" s="50">
        <v>0</v>
      </c>
      <c r="R242" s="25"/>
      <c r="S242" s="25"/>
      <c r="T242" s="25"/>
      <c r="U242" s="25"/>
      <c r="V242" s="25"/>
      <c r="W242" s="25"/>
      <c r="X242" s="25"/>
      <c r="Y242" s="25"/>
      <c r="Z242" s="25"/>
      <c r="AA242" s="1"/>
      <c r="AB242" s="1"/>
      <c r="AC242" s="1"/>
      <c r="AD242" s="1"/>
      <c r="AE242" s="1"/>
      <c r="AF242" s="1"/>
      <c r="AG242" s="1"/>
      <c r="AH242" s="1"/>
      <c r="AI242" s="1"/>
      <c r="AJ242" s="1"/>
      <c r="AK242" s="6"/>
    </row>
    <row r="243" spans="1:37" x14ac:dyDescent="0.35">
      <c r="A243" s="1"/>
      <c r="B243" s="5"/>
      <c r="C243" s="25" t="s">
        <v>429</v>
      </c>
      <c r="D243" s="25" t="s">
        <v>970</v>
      </c>
      <c r="E243" s="25" t="s">
        <v>971</v>
      </c>
      <c r="F243" s="25" t="s">
        <v>972</v>
      </c>
      <c r="G243" s="50">
        <v>186887.863881</v>
      </c>
      <c r="H243" s="50">
        <v>18</v>
      </c>
      <c r="I243" s="37">
        <v>6.53999996185303</v>
      </c>
      <c r="J243" s="37">
        <v>6.6700000762939498</v>
      </c>
      <c r="K243" s="37">
        <v>6.5922048003141596</v>
      </c>
      <c r="L243" s="37">
        <v>6.5999999046325701</v>
      </c>
      <c r="M243" s="37">
        <v>102.380996704102</v>
      </c>
      <c r="N243" s="37">
        <v>102.87599945068401</v>
      </c>
      <c r="O243" s="37">
        <v>102.678050649033</v>
      </c>
      <c r="P243" s="37">
        <v>102.665000915527</v>
      </c>
      <c r="Q243" s="50">
        <v>40933.358719000003</v>
      </c>
      <c r="R243" s="50">
        <v>4</v>
      </c>
      <c r="S243" s="37">
        <v>11</v>
      </c>
      <c r="T243" s="37">
        <v>12</v>
      </c>
      <c r="U243" s="37">
        <v>11.6020501462502</v>
      </c>
      <c r="V243" s="37">
        <v>12</v>
      </c>
      <c r="W243" s="37">
        <v>102.794998168945</v>
      </c>
      <c r="X243" s="37">
        <v>102.800003051758</v>
      </c>
      <c r="Y243" s="37">
        <v>102.798919752595</v>
      </c>
      <c r="Z243" s="37">
        <v>102.794998168945</v>
      </c>
      <c r="AA243" s="1"/>
      <c r="AB243" s="1"/>
      <c r="AC243" s="1"/>
      <c r="AD243" s="1"/>
      <c r="AE243" s="1"/>
      <c r="AF243" s="1"/>
      <c r="AG243" s="1"/>
      <c r="AH243" s="1"/>
      <c r="AI243" s="1"/>
      <c r="AJ243" s="1"/>
      <c r="AK243" s="6"/>
    </row>
    <row r="244" spans="1:37" x14ac:dyDescent="0.35">
      <c r="A244" s="1"/>
      <c r="B244" s="5"/>
      <c r="C244" s="25" t="s">
        <v>433</v>
      </c>
      <c r="D244" s="25" t="s">
        <v>970</v>
      </c>
      <c r="E244" s="25" t="s">
        <v>1093</v>
      </c>
      <c r="F244" s="25" t="s">
        <v>1094</v>
      </c>
      <c r="G244" s="50">
        <v>190.48147599999999</v>
      </c>
      <c r="H244" s="50">
        <v>1</v>
      </c>
      <c r="I244" s="37">
        <v>5.8179998397827104</v>
      </c>
      <c r="J244" s="37">
        <v>5.8179998397827104</v>
      </c>
      <c r="K244" s="37">
        <v>5.8179998397827104</v>
      </c>
      <c r="L244" s="37">
        <v>5.8179998397827104</v>
      </c>
      <c r="M244" s="37">
        <v>91.655998229980497</v>
      </c>
      <c r="N244" s="37">
        <v>91.655998229980497</v>
      </c>
      <c r="O244" s="37">
        <v>91.655998229980497</v>
      </c>
      <c r="P244" s="37">
        <v>91.655998229980497</v>
      </c>
      <c r="Q244" s="50">
        <v>0</v>
      </c>
      <c r="R244" s="25"/>
      <c r="S244" s="25"/>
      <c r="T244" s="25"/>
      <c r="U244" s="25"/>
      <c r="V244" s="25"/>
      <c r="W244" s="25"/>
      <c r="X244" s="25"/>
      <c r="Y244" s="25"/>
      <c r="Z244" s="25"/>
      <c r="AA244" s="1"/>
      <c r="AB244" s="1"/>
      <c r="AC244" s="1"/>
      <c r="AD244" s="1"/>
      <c r="AE244" s="1"/>
      <c r="AF244" s="1"/>
      <c r="AG244" s="1"/>
      <c r="AH244" s="1"/>
      <c r="AI244" s="1"/>
      <c r="AJ244" s="1"/>
      <c r="AK244" s="6"/>
    </row>
    <row r="245" spans="1:37" x14ac:dyDescent="0.35">
      <c r="A245" s="1"/>
      <c r="B245" s="5"/>
      <c r="C245" s="25" t="s">
        <v>973</v>
      </c>
      <c r="D245" s="25" t="s">
        <v>970</v>
      </c>
      <c r="E245" s="25" t="s">
        <v>974</v>
      </c>
      <c r="F245" s="25" t="s">
        <v>975</v>
      </c>
      <c r="G245" s="50">
        <v>41544.465416999999</v>
      </c>
      <c r="H245" s="50">
        <v>3</v>
      </c>
      <c r="I245" s="37">
        <v>5.0079998970031703</v>
      </c>
      <c r="J245" s="37">
        <v>5.0100002288818404</v>
      </c>
      <c r="K245" s="37">
        <v>5.0090000629425004</v>
      </c>
      <c r="L245" s="37">
        <v>5.0100002288818404</v>
      </c>
      <c r="M245" s="37">
        <v>99.950996398925795</v>
      </c>
      <c r="N245" s="37">
        <v>99.952003479003906</v>
      </c>
      <c r="O245" s="37">
        <v>99.951499938964801</v>
      </c>
      <c r="P245" s="37">
        <v>99.950996398925795</v>
      </c>
      <c r="Q245" s="50">
        <v>0</v>
      </c>
      <c r="R245" s="25"/>
      <c r="S245" s="25"/>
      <c r="T245" s="25"/>
      <c r="U245" s="25"/>
      <c r="V245" s="25"/>
      <c r="W245" s="25"/>
      <c r="X245" s="25"/>
      <c r="Y245" s="25"/>
      <c r="Z245" s="25"/>
      <c r="AA245" s="1"/>
      <c r="AB245" s="1"/>
      <c r="AC245" s="1"/>
      <c r="AD245" s="1"/>
      <c r="AE245" s="1"/>
      <c r="AF245" s="1"/>
      <c r="AG245" s="1"/>
      <c r="AH245" s="1"/>
      <c r="AI245" s="1"/>
      <c r="AJ245" s="1"/>
      <c r="AK245" s="6"/>
    </row>
    <row r="246" spans="1:37" x14ac:dyDescent="0.35">
      <c r="A246" s="1"/>
      <c r="B246" s="5"/>
      <c r="C246" s="25" t="s">
        <v>437</v>
      </c>
      <c r="D246" s="25" t="s">
        <v>970</v>
      </c>
      <c r="E246" s="25" t="s">
        <v>1095</v>
      </c>
      <c r="F246" s="25" t="s">
        <v>1096</v>
      </c>
      <c r="G246" s="50">
        <v>3027.5728060000001</v>
      </c>
      <c r="H246" s="50">
        <v>2</v>
      </c>
      <c r="I246" s="37">
        <v>6.2199997901916504</v>
      </c>
      <c r="J246" s="37">
        <v>6.27600002288818</v>
      </c>
      <c r="K246" s="37">
        <v>6.2750774717225397</v>
      </c>
      <c r="L246" s="37">
        <v>6.27600002288818</v>
      </c>
      <c r="M246" s="37">
        <v>89.541999816894503</v>
      </c>
      <c r="N246" s="37">
        <v>90.028999328613295</v>
      </c>
      <c r="O246" s="37">
        <v>89.5500226758287</v>
      </c>
      <c r="P246" s="37">
        <v>89.541999816894503</v>
      </c>
      <c r="Q246" s="50">
        <v>0</v>
      </c>
      <c r="R246" s="25"/>
      <c r="S246" s="25"/>
      <c r="T246" s="25"/>
      <c r="U246" s="25"/>
      <c r="V246" s="25"/>
      <c r="W246" s="25"/>
      <c r="X246" s="25"/>
      <c r="Y246" s="25"/>
      <c r="Z246" s="25"/>
      <c r="AA246" s="1"/>
      <c r="AB246" s="1"/>
      <c r="AC246" s="1"/>
      <c r="AD246" s="1"/>
      <c r="AE246" s="1"/>
      <c r="AF246" s="1"/>
      <c r="AG246" s="1"/>
      <c r="AH246" s="1"/>
      <c r="AI246" s="1"/>
      <c r="AJ246" s="1"/>
      <c r="AK246" s="6"/>
    </row>
    <row r="247" spans="1:37" x14ac:dyDescent="0.35">
      <c r="A247" s="1"/>
      <c r="B247" s="5"/>
      <c r="C247" s="25" t="s">
        <v>441</v>
      </c>
      <c r="D247" s="25" t="s">
        <v>970</v>
      </c>
      <c r="E247" s="25" t="s">
        <v>976</v>
      </c>
      <c r="F247" s="25" t="s">
        <v>977</v>
      </c>
      <c r="G247" s="50">
        <v>157811.11863000001</v>
      </c>
      <c r="H247" s="50">
        <v>8</v>
      </c>
      <c r="I247" s="37">
        <v>6.2649998664856001</v>
      </c>
      <c r="J247" s="37">
        <v>6.3200001716613796</v>
      </c>
      <c r="K247" s="37">
        <v>6.2980540791073398</v>
      </c>
      <c r="L247" s="37">
        <v>6.2699999809265101</v>
      </c>
      <c r="M247" s="37">
        <v>81.946998596191406</v>
      </c>
      <c r="N247" s="37">
        <v>82.311996459960895</v>
      </c>
      <c r="O247" s="37">
        <v>82.092858350599101</v>
      </c>
      <c r="P247" s="37">
        <v>82.278999328613295</v>
      </c>
      <c r="Q247" s="50">
        <v>0</v>
      </c>
      <c r="R247" s="25"/>
      <c r="S247" s="25"/>
      <c r="T247" s="25"/>
      <c r="U247" s="25"/>
      <c r="V247" s="25"/>
      <c r="W247" s="25"/>
      <c r="X247" s="25"/>
      <c r="Y247" s="25"/>
      <c r="Z247" s="25"/>
      <c r="AA247" s="1"/>
      <c r="AB247" s="1"/>
      <c r="AC247" s="1"/>
      <c r="AD247" s="1"/>
      <c r="AE247" s="1"/>
      <c r="AF247" s="1"/>
      <c r="AG247" s="1"/>
      <c r="AH247" s="1"/>
      <c r="AI247" s="1"/>
      <c r="AJ247" s="1"/>
      <c r="AK247" s="6"/>
    </row>
    <row r="248" spans="1:37" x14ac:dyDescent="0.35">
      <c r="A248" s="1"/>
      <c r="B248" s="5"/>
      <c r="C248" s="25" t="s">
        <v>449</v>
      </c>
      <c r="D248" s="25" t="s">
        <v>970</v>
      </c>
      <c r="E248" s="25" t="s">
        <v>978</v>
      </c>
      <c r="F248" s="25" t="s">
        <v>979</v>
      </c>
      <c r="G248" s="50">
        <v>388598.48340600001</v>
      </c>
      <c r="H248" s="50">
        <v>12</v>
      </c>
      <c r="I248" s="37">
        <v>6.1999998092651403</v>
      </c>
      <c r="J248" s="37">
        <v>6.3150000572204599</v>
      </c>
      <c r="K248" s="37">
        <v>6.2560251252147498</v>
      </c>
      <c r="L248" s="37">
        <v>6.2399997711181596</v>
      </c>
      <c r="M248" s="37">
        <v>83.231002807617202</v>
      </c>
      <c r="N248" s="37">
        <v>83.779998779296903</v>
      </c>
      <c r="O248" s="37">
        <v>83.513270866663206</v>
      </c>
      <c r="P248" s="37">
        <v>83.589996337890597</v>
      </c>
      <c r="Q248" s="50">
        <v>0</v>
      </c>
      <c r="R248" s="25"/>
      <c r="S248" s="25"/>
      <c r="T248" s="25"/>
      <c r="U248" s="25"/>
      <c r="V248" s="25"/>
      <c r="W248" s="25"/>
      <c r="X248" s="25"/>
      <c r="Y248" s="25"/>
      <c r="Z248" s="25"/>
      <c r="AA248" s="1"/>
      <c r="AB248" s="1"/>
      <c r="AC248" s="1"/>
      <c r="AD248" s="1"/>
      <c r="AE248" s="1"/>
      <c r="AF248" s="1"/>
      <c r="AG248" s="1"/>
      <c r="AH248" s="1"/>
      <c r="AI248" s="1"/>
      <c r="AJ248" s="1"/>
      <c r="AK248" s="6"/>
    </row>
    <row r="249" spans="1:37" x14ac:dyDescent="0.35">
      <c r="A249" s="1"/>
      <c r="B249" s="5"/>
      <c r="C249" s="25" t="s">
        <v>453</v>
      </c>
      <c r="D249" s="25" t="s">
        <v>970</v>
      </c>
      <c r="E249" s="25" t="s">
        <v>1097</v>
      </c>
      <c r="F249" s="25" t="s">
        <v>1098</v>
      </c>
      <c r="G249" s="50">
        <v>21770.620124000001</v>
      </c>
      <c r="H249" s="50">
        <v>5</v>
      </c>
      <c r="I249" s="37">
        <v>6.1199998855590803</v>
      </c>
      <c r="J249" s="37">
        <v>6.125</v>
      </c>
      <c r="K249" s="37">
        <v>6.1242516835530596</v>
      </c>
      <c r="L249" s="37">
        <v>6.1199998855590803</v>
      </c>
      <c r="M249" s="37">
        <v>89.069000244140597</v>
      </c>
      <c r="N249" s="37">
        <v>89.129997253417997</v>
      </c>
      <c r="O249" s="37">
        <v>89.078129048250204</v>
      </c>
      <c r="P249" s="37">
        <v>89.129997253417997</v>
      </c>
      <c r="Q249" s="50">
        <v>0</v>
      </c>
      <c r="R249" s="25"/>
      <c r="S249" s="25"/>
      <c r="T249" s="25"/>
      <c r="U249" s="25"/>
      <c r="V249" s="25"/>
      <c r="W249" s="25"/>
      <c r="X249" s="25"/>
      <c r="Y249" s="25"/>
      <c r="Z249" s="25"/>
      <c r="AA249" s="1"/>
      <c r="AB249" s="1"/>
      <c r="AC249" s="1"/>
      <c r="AD249" s="1"/>
      <c r="AE249" s="1"/>
      <c r="AF249" s="1"/>
      <c r="AG249" s="1"/>
      <c r="AH249" s="1"/>
      <c r="AI249" s="1"/>
      <c r="AJ249" s="1"/>
      <c r="AK249" s="6"/>
    </row>
    <row r="250" spans="1:37" x14ac:dyDescent="0.35">
      <c r="A250" s="1"/>
      <c r="B250" s="5"/>
      <c r="C250" s="25" t="s">
        <v>457</v>
      </c>
      <c r="D250" s="25" t="s">
        <v>970</v>
      </c>
      <c r="E250" s="25" t="s">
        <v>1099</v>
      </c>
      <c r="F250" s="25" t="s">
        <v>1100</v>
      </c>
      <c r="G250" s="50">
        <v>0</v>
      </c>
      <c r="H250" s="25"/>
      <c r="I250" s="25"/>
      <c r="J250" s="25"/>
      <c r="K250" s="25"/>
      <c r="L250" s="25"/>
      <c r="M250" s="25"/>
      <c r="N250" s="25"/>
      <c r="O250" s="25"/>
      <c r="P250" s="25"/>
      <c r="Q250" s="50">
        <v>17511.686046999999</v>
      </c>
      <c r="R250" s="50">
        <v>1</v>
      </c>
      <c r="S250" s="37">
        <v>12.1499996185303</v>
      </c>
      <c r="T250" s="37">
        <v>12.1499996185303</v>
      </c>
      <c r="U250" s="37">
        <v>12.1499996185303</v>
      </c>
      <c r="V250" s="37">
        <v>12.1499996185303</v>
      </c>
      <c r="W250" s="37">
        <v>72.639999389648395</v>
      </c>
      <c r="X250" s="37">
        <v>72.639999389648395</v>
      </c>
      <c r="Y250" s="37">
        <v>72.639999389648395</v>
      </c>
      <c r="Z250" s="37">
        <v>72.639999389648395</v>
      </c>
      <c r="AA250" s="1"/>
      <c r="AB250" s="1"/>
      <c r="AC250" s="1"/>
      <c r="AD250" s="1"/>
      <c r="AE250" s="1"/>
      <c r="AF250" s="1"/>
      <c r="AG250" s="1"/>
      <c r="AH250" s="1"/>
      <c r="AI250" s="1"/>
      <c r="AJ250" s="1"/>
      <c r="AK250" s="6"/>
    </row>
    <row r="251" spans="1:37" x14ac:dyDescent="0.35">
      <c r="A251" s="1"/>
      <c r="B251" s="5"/>
      <c r="C251" s="25" t="s">
        <v>461</v>
      </c>
      <c r="D251" s="25" t="s">
        <v>970</v>
      </c>
      <c r="E251" s="25" t="s">
        <v>980</v>
      </c>
      <c r="F251" s="25" t="s">
        <v>981</v>
      </c>
      <c r="G251" s="50">
        <v>414868.97933</v>
      </c>
      <c r="H251" s="50">
        <v>22</v>
      </c>
      <c r="I251" s="37">
        <v>6.1199998855590803</v>
      </c>
      <c r="J251" s="37">
        <v>6.1900000572204599</v>
      </c>
      <c r="K251" s="37">
        <v>6.1704127171943899</v>
      </c>
      <c r="L251" s="37">
        <v>6.1350002288818404</v>
      </c>
      <c r="M251" s="37">
        <v>107.268997192383</v>
      </c>
      <c r="N251" s="37">
        <v>108.310997009277</v>
      </c>
      <c r="O251" s="37">
        <v>107.557377996116</v>
      </c>
      <c r="P251" s="37">
        <v>108.08699798584</v>
      </c>
      <c r="Q251" s="50">
        <v>0</v>
      </c>
      <c r="R251" s="25"/>
      <c r="S251" s="25"/>
      <c r="T251" s="25"/>
      <c r="U251" s="25"/>
      <c r="V251" s="25"/>
      <c r="W251" s="25"/>
      <c r="X251" s="25"/>
      <c r="Y251" s="25"/>
      <c r="Z251" s="25"/>
      <c r="AA251" s="1"/>
      <c r="AB251" s="1"/>
      <c r="AC251" s="1"/>
      <c r="AD251" s="1"/>
      <c r="AE251" s="1"/>
      <c r="AF251" s="1"/>
      <c r="AG251" s="1"/>
      <c r="AH251" s="1"/>
      <c r="AI251" s="1"/>
      <c r="AJ251" s="1"/>
      <c r="AK251" s="6"/>
    </row>
    <row r="252" spans="1:37" x14ac:dyDescent="0.35">
      <c r="A252" s="1"/>
      <c r="B252" s="9"/>
      <c r="C252" s="51" t="s">
        <v>609</v>
      </c>
      <c r="D252" s="52" t="s">
        <v>5</v>
      </c>
      <c r="E252" s="52" t="s">
        <v>5</v>
      </c>
      <c r="F252" s="52" t="s">
        <v>5</v>
      </c>
      <c r="G252" s="53">
        <v>3895852.634542</v>
      </c>
      <c r="H252" s="53">
        <v>477</v>
      </c>
      <c r="I252" s="63">
        <v>1320.01800012589</v>
      </c>
      <c r="J252" s="63">
        <v>1329.48800134659</v>
      </c>
      <c r="K252" s="63">
        <v>1325.4053144039899</v>
      </c>
      <c r="L252" s="63">
        <v>1261.2800006866501</v>
      </c>
      <c r="M252" s="63">
        <v>11868.234008789101</v>
      </c>
      <c r="N252" s="63">
        <v>11895.403984069801</v>
      </c>
      <c r="O252" s="63">
        <v>11882.500608176601</v>
      </c>
      <c r="P252" s="63">
        <v>11882.939964294401</v>
      </c>
      <c r="Q252" s="53">
        <v>5229509.300876</v>
      </c>
      <c r="R252" s="53">
        <v>163</v>
      </c>
      <c r="S252" s="63">
        <v>193.05000019073501</v>
      </c>
      <c r="T252" s="63">
        <v>205.006001472473</v>
      </c>
      <c r="U252" s="63">
        <v>200.40124165389301</v>
      </c>
      <c r="V252" s="63">
        <v>202.40500068664599</v>
      </c>
      <c r="W252" s="63">
        <v>1623.7779998779299</v>
      </c>
      <c r="X252" s="63">
        <v>1628.7999877929699</v>
      </c>
      <c r="Y252" s="63">
        <v>1624.8173263113599</v>
      </c>
      <c r="Z252" s="63">
        <v>1627.6489868164099</v>
      </c>
      <c r="AA252" s="10"/>
      <c r="AB252" s="10"/>
      <c r="AC252" s="10"/>
      <c r="AD252" s="10"/>
      <c r="AE252" s="10"/>
      <c r="AF252" s="10"/>
      <c r="AG252" s="10"/>
      <c r="AH252" s="10"/>
      <c r="AI252" s="10"/>
      <c r="AJ252" s="10"/>
      <c r="AK252" s="11"/>
    </row>
    <row r="253" spans="1:37" ht="0" hidden="1" customHeight="1" x14ac:dyDescent="0.35"/>
  </sheetData>
  <mergeCells count="128">
    <mergeCell ref="I128:L128"/>
    <mergeCell ref="M128:P128"/>
    <mergeCell ref="S128:V128"/>
    <mergeCell ref="W128:Z128"/>
    <mergeCell ref="AA121:AB121"/>
    <mergeCell ref="AA122:AB122"/>
    <mergeCell ref="AA123:AB123"/>
    <mergeCell ref="C125:H125"/>
    <mergeCell ref="G127:P127"/>
    <mergeCell ref="Q127:Z127"/>
    <mergeCell ref="AA116:AB116"/>
    <mergeCell ref="AA117:AB117"/>
    <mergeCell ref="AA118:AB118"/>
    <mergeCell ref="AA119:AB119"/>
    <mergeCell ref="AA120:AB120"/>
    <mergeCell ref="AA111:AB111"/>
    <mergeCell ref="AA112:AB112"/>
    <mergeCell ref="AA113:AB113"/>
    <mergeCell ref="AA114:AB114"/>
    <mergeCell ref="AA115:AB115"/>
    <mergeCell ref="AA106:AB106"/>
    <mergeCell ref="AA107:AB107"/>
    <mergeCell ref="AA108:AB108"/>
    <mergeCell ref="AA109:AB109"/>
    <mergeCell ref="AA110:AB110"/>
    <mergeCell ref="AA101:AB101"/>
    <mergeCell ref="AA102:AB102"/>
    <mergeCell ref="AA103:AB103"/>
    <mergeCell ref="AA104:AB104"/>
    <mergeCell ref="AA105:AB105"/>
    <mergeCell ref="AA96:AB96"/>
    <mergeCell ref="AA97:AB97"/>
    <mergeCell ref="AA98:AB98"/>
    <mergeCell ref="AA99:AB99"/>
    <mergeCell ref="AA100:AB100"/>
    <mergeCell ref="AA91:AB91"/>
    <mergeCell ref="AA92:AB92"/>
    <mergeCell ref="AA93:AB93"/>
    <mergeCell ref="AA94:AB94"/>
    <mergeCell ref="AA95:AB95"/>
    <mergeCell ref="AA86:AB86"/>
    <mergeCell ref="AA87:AB87"/>
    <mergeCell ref="AA88:AB88"/>
    <mergeCell ref="AA89:AB89"/>
    <mergeCell ref="AA90:AB90"/>
    <mergeCell ref="AA81:AB81"/>
    <mergeCell ref="AA82:AB82"/>
    <mergeCell ref="AA83:AB83"/>
    <mergeCell ref="AA84:AB84"/>
    <mergeCell ref="AA85:AB85"/>
    <mergeCell ref="AA76:AB76"/>
    <mergeCell ref="AA77:AB77"/>
    <mergeCell ref="AA78:AB78"/>
    <mergeCell ref="AA79:AB79"/>
    <mergeCell ref="AA80:AB80"/>
    <mergeCell ref="AA71:AB71"/>
    <mergeCell ref="AA72:AB72"/>
    <mergeCell ref="AA73:AB73"/>
    <mergeCell ref="AA74:AB74"/>
    <mergeCell ref="AA75:AB75"/>
    <mergeCell ref="AA66:AB66"/>
    <mergeCell ref="AA67:AB67"/>
    <mergeCell ref="AA68:AB68"/>
    <mergeCell ref="AA69:AB69"/>
    <mergeCell ref="AA70:AB70"/>
    <mergeCell ref="AA61:AB61"/>
    <mergeCell ref="AA62:AB62"/>
    <mergeCell ref="AA63:AB63"/>
    <mergeCell ref="AA64:AB64"/>
    <mergeCell ref="AA65:AB65"/>
    <mergeCell ref="AA56:AB56"/>
    <mergeCell ref="AA57:AB57"/>
    <mergeCell ref="AA58:AB58"/>
    <mergeCell ref="AA59:AB59"/>
    <mergeCell ref="AA60:AB60"/>
    <mergeCell ref="AA51:AB51"/>
    <mergeCell ref="AA52:AB52"/>
    <mergeCell ref="AA53:AB53"/>
    <mergeCell ref="AA54:AB54"/>
    <mergeCell ref="AA55:AB55"/>
    <mergeCell ref="AA46:AB46"/>
    <mergeCell ref="AA47:AB47"/>
    <mergeCell ref="AA48:AB48"/>
    <mergeCell ref="AA49:AB49"/>
    <mergeCell ref="AA50:AB50"/>
    <mergeCell ref="AA41:AB41"/>
    <mergeCell ref="AA42:AB42"/>
    <mergeCell ref="AA43:AB43"/>
    <mergeCell ref="AA44:AB44"/>
    <mergeCell ref="AA45:AB45"/>
    <mergeCell ref="AA36:AB36"/>
    <mergeCell ref="AA37:AB37"/>
    <mergeCell ref="AA38:AB38"/>
    <mergeCell ref="AA39:AB39"/>
    <mergeCell ref="AA40:AB40"/>
    <mergeCell ref="AA31:AB31"/>
    <mergeCell ref="AA32:AB32"/>
    <mergeCell ref="AA33:AB33"/>
    <mergeCell ref="AA34:AB34"/>
    <mergeCell ref="AA35:AB35"/>
    <mergeCell ref="AA26:AB26"/>
    <mergeCell ref="AA27:AB27"/>
    <mergeCell ref="AA28:AB28"/>
    <mergeCell ref="AA29:AB29"/>
    <mergeCell ref="AA30:AB30"/>
    <mergeCell ref="AA21:AB21"/>
    <mergeCell ref="AA22:AB22"/>
    <mergeCell ref="AA23:AB23"/>
    <mergeCell ref="AA24:AB24"/>
    <mergeCell ref="AA25:AB25"/>
    <mergeCell ref="AA16:AB16"/>
    <mergeCell ref="AA17:AB17"/>
    <mergeCell ref="AA18:AB18"/>
    <mergeCell ref="AA19:AB19"/>
    <mergeCell ref="AA20:AB20"/>
    <mergeCell ref="AA14:AK14"/>
    <mergeCell ref="I15:L15"/>
    <mergeCell ref="M15:P15"/>
    <mergeCell ref="S15:V15"/>
    <mergeCell ref="W15:Z15"/>
    <mergeCell ref="AA15:AB15"/>
    <mergeCell ref="AD15:AG15"/>
    <mergeCell ref="AH15:AK15"/>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1101</v>
      </c>
      <c r="D5" s="23" t="s">
        <v>638</v>
      </c>
      <c r="E5" s="23" t="s">
        <v>635</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44"/>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1102</v>
      </c>
      <c r="D5" s="23" t="s">
        <v>635</v>
      </c>
      <c r="E5" s="23" t="s">
        <v>1103</v>
      </c>
      <c r="F5" s="23" t="s">
        <v>639</v>
      </c>
      <c r="G5" s="23" t="s">
        <v>643</v>
      </c>
      <c r="H5" s="1"/>
      <c r="I5" s="6"/>
      <c r="J5" s="1"/>
      <c r="K5" s="1"/>
    </row>
    <row r="6" spans="1:11" x14ac:dyDescent="0.35">
      <c r="A6" s="1"/>
      <c r="B6" s="5"/>
      <c r="C6" s="25" t="s">
        <v>516</v>
      </c>
      <c r="D6" s="25">
        <v>90215</v>
      </c>
      <c r="E6" s="25" t="s">
        <v>516</v>
      </c>
      <c r="F6" s="25" t="s">
        <v>707</v>
      </c>
      <c r="G6" s="50">
        <v>2953.26</v>
      </c>
      <c r="H6" s="1"/>
      <c r="I6" s="6"/>
      <c r="J6" s="1"/>
      <c r="K6" s="1"/>
    </row>
    <row r="7" spans="1:11" x14ac:dyDescent="0.35">
      <c r="A7" s="1"/>
      <c r="B7" s="5"/>
      <c r="C7" s="25" t="s">
        <v>516</v>
      </c>
      <c r="D7" s="25">
        <v>90546</v>
      </c>
      <c r="E7" s="25" t="s">
        <v>516</v>
      </c>
      <c r="F7" s="25" t="s">
        <v>1022</v>
      </c>
      <c r="G7" s="50">
        <v>507.005</v>
      </c>
      <c r="H7" s="1"/>
      <c r="I7" s="6"/>
      <c r="J7" s="1"/>
      <c r="K7" s="1"/>
    </row>
    <row r="8" spans="1:11" x14ac:dyDescent="0.35">
      <c r="A8" s="1"/>
      <c r="B8" s="5"/>
      <c r="C8" s="25" t="s">
        <v>516</v>
      </c>
      <c r="D8" s="25">
        <v>90485</v>
      </c>
      <c r="E8" s="25" t="s">
        <v>516</v>
      </c>
      <c r="F8" s="25" t="s">
        <v>1025</v>
      </c>
      <c r="G8" s="50">
        <v>1031.82</v>
      </c>
      <c r="H8" s="1"/>
      <c r="I8" s="6"/>
      <c r="J8" s="1"/>
      <c r="K8" s="1"/>
    </row>
    <row r="9" spans="1:11" x14ac:dyDescent="0.35">
      <c r="A9" s="1"/>
      <c r="B9" s="5"/>
      <c r="C9" s="25" t="s">
        <v>516</v>
      </c>
      <c r="D9" s="25">
        <v>90502</v>
      </c>
      <c r="E9" s="25" t="s">
        <v>516</v>
      </c>
      <c r="F9" s="25" t="s">
        <v>1025</v>
      </c>
      <c r="G9" s="50">
        <v>515.98</v>
      </c>
      <c r="H9" s="1"/>
      <c r="I9" s="6"/>
      <c r="J9" s="1"/>
      <c r="K9" s="1"/>
    </row>
    <row r="10" spans="1:11" x14ac:dyDescent="0.35">
      <c r="A10" s="1"/>
      <c r="B10" s="5"/>
      <c r="C10" s="25" t="s">
        <v>516</v>
      </c>
      <c r="D10" s="25">
        <v>90503</v>
      </c>
      <c r="E10" s="25" t="s">
        <v>516</v>
      </c>
      <c r="F10" s="25" t="s">
        <v>1025</v>
      </c>
      <c r="G10" s="50">
        <v>515.98</v>
      </c>
      <c r="H10" s="1"/>
      <c r="I10" s="6"/>
      <c r="J10" s="1"/>
      <c r="K10" s="1"/>
    </row>
    <row r="11" spans="1:11" x14ac:dyDescent="0.35">
      <c r="A11" s="1"/>
      <c r="B11" s="5"/>
      <c r="C11" s="25" t="s">
        <v>516</v>
      </c>
      <c r="D11" s="25">
        <v>90475</v>
      </c>
      <c r="E11" s="25" t="s">
        <v>516</v>
      </c>
      <c r="F11" s="25" t="s">
        <v>1104</v>
      </c>
      <c r="G11" s="50">
        <v>2027.12</v>
      </c>
      <c r="H11" s="1"/>
      <c r="I11" s="6"/>
      <c r="J11" s="1"/>
      <c r="K11" s="1"/>
    </row>
    <row r="12" spans="1:11" x14ac:dyDescent="0.35">
      <c r="A12" s="1"/>
      <c r="B12" s="5"/>
      <c r="C12" s="25" t="s">
        <v>516</v>
      </c>
      <c r="D12" s="25">
        <v>90510</v>
      </c>
      <c r="E12" s="25" t="s">
        <v>516</v>
      </c>
      <c r="F12" s="25" t="s">
        <v>1104</v>
      </c>
      <c r="G12" s="50">
        <v>2026.84</v>
      </c>
      <c r="H12" s="1"/>
      <c r="I12" s="6"/>
      <c r="J12" s="1"/>
      <c r="K12" s="1"/>
    </row>
    <row r="13" spans="1:11" x14ac:dyDescent="0.35">
      <c r="A13" s="1"/>
      <c r="B13" s="5"/>
      <c r="C13" s="25" t="s">
        <v>516</v>
      </c>
      <c r="D13" s="25">
        <v>90547</v>
      </c>
      <c r="E13" s="25" t="s">
        <v>516</v>
      </c>
      <c r="F13" s="25" t="s">
        <v>1039</v>
      </c>
      <c r="G13" s="50">
        <v>506.42500000000001</v>
      </c>
      <c r="H13" s="1"/>
      <c r="I13" s="6"/>
      <c r="J13" s="1"/>
      <c r="K13" s="1"/>
    </row>
    <row r="14" spans="1:11" x14ac:dyDescent="0.35">
      <c r="A14" s="1"/>
      <c r="B14" s="5"/>
      <c r="C14" s="25" t="s">
        <v>516</v>
      </c>
      <c r="D14" s="25">
        <v>90219</v>
      </c>
      <c r="E14" s="25" t="s">
        <v>516</v>
      </c>
      <c r="F14" s="25" t="s">
        <v>733</v>
      </c>
      <c r="G14" s="50">
        <v>5014.6750000000002</v>
      </c>
      <c r="H14" s="1"/>
      <c r="I14" s="6"/>
      <c r="J14" s="1"/>
      <c r="K14" s="1"/>
    </row>
    <row r="15" spans="1:11" x14ac:dyDescent="0.35">
      <c r="A15" s="1"/>
      <c r="B15" s="5"/>
      <c r="C15" s="25" t="s">
        <v>516</v>
      </c>
      <c r="D15" s="25">
        <v>90220</v>
      </c>
      <c r="E15" s="25" t="s">
        <v>516</v>
      </c>
      <c r="F15" s="25" t="s">
        <v>733</v>
      </c>
      <c r="G15" s="50">
        <v>5016.2445109999999</v>
      </c>
      <c r="H15" s="1"/>
      <c r="I15" s="6"/>
      <c r="J15" s="1"/>
      <c r="K15" s="1"/>
    </row>
    <row r="16" spans="1:11" x14ac:dyDescent="0.35">
      <c r="A16" s="1"/>
      <c r="B16" s="5"/>
      <c r="C16" s="25" t="s">
        <v>516</v>
      </c>
      <c r="D16" s="25">
        <v>90418</v>
      </c>
      <c r="E16" s="25" t="s">
        <v>516</v>
      </c>
      <c r="F16" s="25" t="s">
        <v>1105</v>
      </c>
      <c r="G16" s="50">
        <v>1000</v>
      </c>
      <c r="H16" s="1"/>
      <c r="I16" s="6"/>
      <c r="J16" s="1"/>
      <c r="K16" s="1"/>
    </row>
    <row r="17" spans="1:11" x14ac:dyDescent="0.35">
      <c r="A17" s="1"/>
      <c r="B17" s="5"/>
      <c r="C17" s="25" t="s">
        <v>516</v>
      </c>
      <c r="D17" s="25">
        <v>90446</v>
      </c>
      <c r="E17" s="25" t="s">
        <v>516</v>
      </c>
      <c r="F17" s="25" t="s">
        <v>735</v>
      </c>
      <c r="G17" s="50">
        <v>500</v>
      </c>
      <c r="H17" s="1"/>
      <c r="I17" s="6"/>
      <c r="J17" s="1"/>
      <c r="K17" s="1"/>
    </row>
    <row r="18" spans="1:11" x14ac:dyDescent="0.35">
      <c r="A18" s="1"/>
      <c r="B18" s="5"/>
      <c r="C18" s="25" t="s">
        <v>516</v>
      </c>
      <c r="D18" s="25">
        <v>90056</v>
      </c>
      <c r="E18" s="25" t="s">
        <v>516</v>
      </c>
      <c r="F18" s="25" t="s">
        <v>739</v>
      </c>
      <c r="G18" s="50">
        <v>1012.0890000000001</v>
      </c>
      <c r="H18" s="1"/>
      <c r="I18" s="6"/>
      <c r="J18" s="1"/>
      <c r="K18" s="1"/>
    </row>
    <row r="19" spans="1:11" x14ac:dyDescent="0.35">
      <c r="A19" s="1"/>
      <c r="B19" s="5"/>
      <c r="C19" s="25" t="s">
        <v>516</v>
      </c>
      <c r="D19" s="25">
        <v>90057</v>
      </c>
      <c r="E19" s="25" t="s">
        <v>516</v>
      </c>
      <c r="F19" s="25" t="s">
        <v>739</v>
      </c>
      <c r="G19" s="50">
        <v>1012.692853</v>
      </c>
      <c r="H19" s="1"/>
      <c r="I19" s="6"/>
      <c r="J19" s="1"/>
      <c r="K19" s="1"/>
    </row>
    <row r="20" spans="1:11" x14ac:dyDescent="0.35">
      <c r="A20" s="1"/>
      <c r="B20" s="5"/>
      <c r="C20" s="25" t="s">
        <v>516</v>
      </c>
      <c r="D20" s="25">
        <v>90236</v>
      </c>
      <c r="E20" s="25" t="s">
        <v>516</v>
      </c>
      <c r="F20" s="25" t="s">
        <v>744</v>
      </c>
      <c r="G20" s="50">
        <v>26510.865000000002</v>
      </c>
      <c r="H20" s="1"/>
      <c r="I20" s="6"/>
      <c r="J20" s="1"/>
      <c r="K20" s="1"/>
    </row>
    <row r="21" spans="1:11" x14ac:dyDescent="0.35">
      <c r="A21" s="1"/>
      <c r="B21" s="5"/>
      <c r="C21" s="25" t="s">
        <v>516</v>
      </c>
      <c r="D21" s="25">
        <v>90238</v>
      </c>
      <c r="E21" s="25" t="s">
        <v>516</v>
      </c>
      <c r="F21" s="25" t="s">
        <v>744</v>
      </c>
      <c r="G21" s="50">
        <v>3501.26</v>
      </c>
      <c r="H21" s="1"/>
      <c r="I21" s="6"/>
      <c r="J21" s="1"/>
      <c r="K21" s="1"/>
    </row>
    <row r="22" spans="1:11" x14ac:dyDescent="0.35">
      <c r="A22" s="1"/>
      <c r="B22" s="5"/>
      <c r="C22" s="25" t="s">
        <v>516</v>
      </c>
      <c r="D22" s="25">
        <v>90394</v>
      </c>
      <c r="E22" s="25" t="s">
        <v>516</v>
      </c>
      <c r="F22" s="25" t="s">
        <v>744</v>
      </c>
      <c r="G22" s="50">
        <v>6502.665</v>
      </c>
      <c r="H22" s="1"/>
      <c r="I22" s="6"/>
      <c r="J22" s="1"/>
      <c r="K22" s="1"/>
    </row>
    <row r="23" spans="1:11" x14ac:dyDescent="0.35">
      <c r="A23" s="1"/>
      <c r="B23" s="5"/>
      <c r="C23" s="25" t="s">
        <v>516</v>
      </c>
      <c r="D23" s="25">
        <v>90308</v>
      </c>
      <c r="E23" s="25" t="s">
        <v>516</v>
      </c>
      <c r="F23" s="25" t="s">
        <v>744</v>
      </c>
      <c r="G23" s="50">
        <v>3502.03</v>
      </c>
      <c r="H23" s="1"/>
      <c r="I23" s="6"/>
      <c r="J23" s="1"/>
      <c r="K23" s="1"/>
    </row>
    <row r="24" spans="1:11" x14ac:dyDescent="0.35">
      <c r="A24" s="1"/>
      <c r="B24" s="5"/>
      <c r="C24" s="25" t="s">
        <v>516</v>
      </c>
      <c r="D24" s="25">
        <v>90412</v>
      </c>
      <c r="E24" s="25" t="s">
        <v>516</v>
      </c>
      <c r="F24" s="25" t="s">
        <v>744</v>
      </c>
      <c r="G24" s="50">
        <v>3000.75</v>
      </c>
      <c r="H24" s="1"/>
      <c r="I24" s="6"/>
      <c r="J24" s="1"/>
      <c r="K24" s="1"/>
    </row>
    <row r="25" spans="1:11" x14ac:dyDescent="0.35">
      <c r="A25" s="1"/>
      <c r="B25" s="5"/>
      <c r="C25" s="25" t="s">
        <v>516</v>
      </c>
      <c r="D25" s="25">
        <v>90334</v>
      </c>
      <c r="E25" s="25" t="s">
        <v>516</v>
      </c>
      <c r="F25" s="25" t="s">
        <v>744</v>
      </c>
      <c r="G25" s="50">
        <v>8002</v>
      </c>
      <c r="H25" s="1"/>
      <c r="I25" s="6"/>
      <c r="J25" s="1"/>
      <c r="K25" s="1"/>
    </row>
    <row r="26" spans="1:11" x14ac:dyDescent="0.35">
      <c r="A26" s="1"/>
      <c r="B26" s="5"/>
      <c r="C26" s="25" t="s">
        <v>516</v>
      </c>
      <c r="D26" s="25">
        <v>90335</v>
      </c>
      <c r="E26" s="25" t="s">
        <v>516</v>
      </c>
      <c r="F26" s="25" t="s">
        <v>744</v>
      </c>
      <c r="G26" s="50">
        <v>2000.5</v>
      </c>
      <c r="H26" s="1"/>
      <c r="I26" s="6"/>
      <c r="J26" s="1"/>
      <c r="K26" s="1"/>
    </row>
    <row r="27" spans="1:11" x14ac:dyDescent="0.35">
      <c r="A27" s="1"/>
      <c r="B27" s="5"/>
      <c r="C27" s="25" t="s">
        <v>516</v>
      </c>
      <c r="D27" s="25">
        <v>90456</v>
      </c>
      <c r="E27" s="25" t="s">
        <v>516</v>
      </c>
      <c r="F27" s="25" t="s">
        <v>744</v>
      </c>
      <c r="G27" s="50">
        <v>7001.75</v>
      </c>
      <c r="H27" s="1"/>
      <c r="I27" s="6"/>
      <c r="J27" s="1"/>
      <c r="K27" s="1"/>
    </row>
    <row r="28" spans="1:11" x14ac:dyDescent="0.35">
      <c r="A28" s="1"/>
      <c r="B28" s="5"/>
      <c r="C28" s="25" t="s">
        <v>516</v>
      </c>
      <c r="D28" s="25">
        <v>90217</v>
      </c>
      <c r="E28" s="25" t="s">
        <v>516</v>
      </c>
      <c r="F28" s="25" t="s">
        <v>744</v>
      </c>
      <c r="G28" s="50">
        <v>26500</v>
      </c>
      <c r="H28" s="1"/>
      <c r="I28" s="6"/>
      <c r="J28" s="1"/>
      <c r="K28" s="1"/>
    </row>
    <row r="29" spans="1:11" x14ac:dyDescent="0.35">
      <c r="A29" s="1"/>
      <c r="B29" s="5"/>
      <c r="C29" s="25" t="s">
        <v>516</v>
      </c>
      <c r="D29" s="25">
        <v>90218</v>
      </c>
      <c r="E29" s="25" t="s">
        <v>516</v>
      </c>
      <c r="F29" s="25" t="s">
        <v>744</v>
      </c>
      <c r="G29" s="50">
        <v>3500</v>
      </c>
      <c r="H29" s="1"/>
      <c r="I29" s="6"/>
      <c r="J29" s="1"/>
      <c r="K29" s="1"/>
    </row>
    <row r="30" spans="1:11" x14ac:dyDescent="0.35">
      <c r="A30" s="1"/>
      <c r="B30" s="5"/>
      <c r="C30" s="25" t="s">
        <v>516</v>
      </c>
      <c r="D30" s="25">
        <v>90249</v>
      </c>
      <c r="E30" s="25" t="s">
        <v>516</v>
      </c>
      <c r="F30" s="25" t="s">
        <v>746</v>
      </c>
      <c r="G30" s="50">
        <v>892.478296</v>
      </c>
      <c r="H30" s="1"/>
      <c r="I30" s="6"/>
      <c r="J30" s="1"/>
      <c r="K30" s="1"/>
    </row>
    <row r="31" spans="1:11" x14ac:dyDescent="0.35">
      <c r="A31" s="1"/>
      <c r="B31" s="5"/>
      <c r="C31" s="25" t="s">
        <v>516</v>
      </c>
      <c r="D31" s="25">
        <v>90021</v>
      </c>
      <c r="E31" s="25" t="s">
        <v>516</v>
      </c>
      <c r="F31" s="25" t="s">
        <v>749</v>
      </c>
      <c r="G31" s="50">
        <v>500</v>
      </c>
      <c r="H31" s="1"/>
      <c r="I31" s="6"/>
      <c r="J31" s="1"/>
      <c r="K31" s="1"/>
    </row>
    <row r="32" spans="1:11" x14ac:dyDescent="0.35">
      <c r="A32" s="1"/>
      <c r="B32" s="5"/>
      <c r="C32" s="25" t="s">
        <v>516</v>
      </c>
      <c r="D32" s="25">
        <v>90185</v>
      </c>
      <c r="E32" s="25" t="s">
        <v>516</v>
      </c>
      <c r="F32" s="25" t="s">
        <v>1081</v>
      </c>
      <c r="G32" s="50">
        <v>907.80899399999998</v>
      </c>
      <c r="H32" s="1"/>
      <c r="I32" s="6"/>
      <c r="J32" s="1"/>
      <c r="K32" s="1"/>
    </row>
    <row r="33" spans="1:11" x14ac:dyDescent="0.35">
      <c r="A33" s="1"/>
      <c r="B33" s="5"/>
      <c r="C33" s="25" t="s">
        <v>516</v>
      </c>
      <c r="D33" s="25">
        <v>90008</v>
      </c>
      <c r="E33" s="25" t="s">
        <v>516</v>
      </c>
      <c r="F33" s="25" t="s">
        <v>766</v>
      </c>
      <c r="G33" s="50">
        <v>102.229</v>
      </c>
      <c r="H33" s="1"/>
      <c r="I33" s="6"/>
      <c r="J33" s="1"/>
      <c r="K33" s="1"/>
    </row>
    <row r="34" spans="1:11" x14ac:dyDescent="0.35">
      <c r="A34" s="1"/>
      <c r="B34" s="5"/>
      <c r="C34" s="25" t="s">
        <v>516</v>
      </c>
      <c r="D34" s="25">
        <v>572</v>
      </c>
      <c r="E34" s="25" t="s">
        <v>516</v>
      </c>
      <c r="F34" s="25" t="s">
        <v>1071</v>
      </c>
      <c r="G34" s="50">
        <v>17725.54</v>
      </c>
      <c r="H34" s="1"/>
      <c r="I34" s="6"/>
      <c r="J34" s="1"/>
      <c r="K34" s="1"/>
    </row>
    <row r="35" spans="1:11" x14ac:dyDescent="0.35">
      <c r="A35" s="1"/>
      <c r="B35" s="5"/>
      <c r="C35" s="25" t="s">
        <v>516</v>
      </c>
      <c r="D35" s="25">
        <v>87</v>
      </c>
      <c r="E35" s="25" t="s">
        <v>516</v>
      </c>
      <c r="F35" s="25" t="s">
        <v>333</v>
      </c>
      <c r="G35" s="50">
        <v>49796.245499999997</v>
      </c>
      <c r="H35" s="1"/>
      <c r="I35" s="6"/>
      <c r="J35" s="1"/>
      <c r="K35" s="1"/>
    </row>
    <row r="36" spans="1:11" x14ac:dyDescent="0.35">
      <c r="A36" s="1"/>
      <c r="B36" s="5"/>
      <c r="C36" s="25" t="s">
        <v>516</v>
      </c>
      <c r="D36" s="25">
        <v>88</v>
      </c>
      <c r="E36" s="25" t="s">
        <v>516</v>
      </c>
      <c r="F36" s="25" t="s">
        <v>333</v>
      </c>
      <c r="G36" s="50">
        <v>49904.591695000003</v>
      </c>
      <c r="H36" s="1"/>
      <c r="I36" s="6"/>
      <c r="J36" s="1"/>
      <c r="K36" s="1"/>
    </row>
    <row r="37" spans="1:11" x14ac:dyDescent="0.35">
      <c r="A37" s="1"/>
      <c r="B37" s="5"/>
      <c r="C37" s="25" t="s">
        <v>516</v>
      </c>
      <c r="D37" s="25">
        <v>391</v>
      </c>
      <c r="E37" s="25" t="s">
        <v>516</v>
      </c>
      <c r="F37" s="25" t="s">
        <v>333</v>
      </c>
      <c r="G37" s="50">
        <v>2516.6389300000001</v>
      </c>
      <c r="H37" s="1"/>
      <c r="I37" s="6"/>
      <c r="J37" s="1"/>
      <c r="K37" s="1"/>
    </row>
    <row r="38" spans="1:11" x14ac:dyDescent="0.35">
      <c r="A38" s="1"/>
      <c r="B38" s="5"/>
      <c r="C38" s="25" t="s">
        <v>516</v>
      </c>
      <c r="D38" s="25">
        <v>392</v>
      </c>
      <c r="E38" s="25" t="s">
        <v>516</v>
      </c>
      <c r="F38" s="25" t="s">
        <v>333</v>
      </c>
      <c r="G38" s="50">
        <v>2517.4173620000001</v>
      </c>
      <c r="H38" s="1"/>
      <c r="I38" s="6"/>
      <c r="J38" s="1"/>
      <c r="K38" s="1"/>
    </row>
    <row r="39" spans="1:11" x14ac:dyDescent="0.35">
      <c r="A39" s="1"/>
      <c r="B39" s="5"/>
      <c r="C39" s="25" t="s">
        <v>516</v>
      </c>
      <c r="D39" s="25">
        <v>659</v>
      </c>
      <c r="E39" s="25" t="s">
        <v>516</v>
      </c>
      <c r="F39" s="25" t="s">
        <v>345</v>
      </c>
      <c r="G39" s="50">
        <v>10168.788</v>
      </c>
      <c r="H39" s="1"/>
      <c r="I39" s="6"/>
      <c r="J39" s="1"/>
      <c r="K39" s="1"/>
    </row>
    <row r="40" spans="1:11" x14ac:dyDescent="0.35">
      <c r="A40" s="1"/>
      <c r="B40" s="5"/>
      <c r="C40" s="25" t="s">
        <v>516</v>
      </c>
      <c r="D40" s="25">
        <v>573</v>
      </c>
      <c r="E40" s="25" t="s">
        <v>516</v>
      </c>
      <c r="F40" s="25" t="s">
        <v>349</v>
      </c>
      <c r="G40" s="50">
        <v>22237.14</v>
      </c>
      <c r="H40" s="1"/>
      <c r="I40" s="6"/>
      <c r="J40" s="1"/>
      <c r="K40" s="1"/>
    </row>
    <row r="41" spans="1:11" x14ac:dyDescent="0.35">
      <c r="A41" s="1"/>
      <c r="B41" s="5"/>
      <c r="C41" s="25" t="s">
        <v>516</v>
      </c>
      <c r="D41" s="25">
        <v>462</v>
      </c>
      <c r="E41" s="25" t="s">
        <v>516</v>
      </c>
      <c r="F41" s="25" t="s">
        <v>361</v>
      </c>
      <c r="G41" s="50">
        <v>92631.6</v>
      </c>
      <c r="H41" s="1"/>
      <c r="I41" s="6"/>
      <c r="J41" s="1"/>
      <c r="K41" s="1"/>
    </row>
    <row r="42" spans="1:11" x14ac:dyDescent="0.35">
      <c r="A42" s="1"/>
      <c r="B42" s="5"/>
      <c r="C42" s="25" t="s">
        <v>516</v>
      </c>
      <c r="D42" s="25">
        <v>650</v>
      </c>
      <c r="E42" s="25" t="s">
        <v>516</v>
      </c>
      <c r="F42" s="25" t="s">
        <v>365</v>
      </c>
      <c r="G42" s="50">
        <v>3671.694</v>
      </c>
      <c r="H42" s="1"/>
      <c r="I42" s="6"/>
      <c r="J42" s="1"/>
      <c r="K42" s="1"/>
    </row>
    <row r="43" spans="1:11" x14ac:dyDescent="0.35">
      <c r="A43" s="1"/>
      <c r="B43" s="9"/>
      <c r="C43" s="25" t="s">
        <v>516</v>
      </c>
      <c r="D43" s="25">
        <v>651</v>
      </c>
      <c r="E43" s="25" t="s">
        <v>516</v>
      </c>
      <c r="F43" s="25" t="s">
        <v>365</v>
      </c>
      <c r="G43" s="50">
        <v>3672.8341999999998</v>
      </c>
      <c r="H43" s="10"/>
      <c r="I43" s="11"/>
      <c r="J43" s="1"/>
      <c r="K43" s="1"/>
    </row>
    <row r="44" spans="1:11" ht="0" hidden="1" customHeight="1" x14ac:dyDescent="0.35"/>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1102</v>
      </c>
      <c r="D5" s="23" t="s">
        <v>755</v>
      </c>
      <c r="E5" s="23" t="s">
        <v>1106</v>
      </c>
      <c r="F5" s="23" t="s">
        <v>643</v>
      </c>
      <c r="G5" s="1"/>
      <c r="H5" s="6"/>
      <c r="I5" s="1"/>
      <c r="J5" s="1"/>
    </row>
    <row r="6" spans="1:10" x14ac:dyDescent="0.35">
      <c r="A6" s="1"/>
      <c r="B6" s="5"/>
      <c r="C6" s="25" t="s">
        <v>353</v>
      </c>
      <c r="D6" s="25" t="s">
        <v>1107</v>
      </c>
      <c r="E6" s="50">
        <v>1</v>
      </c>
      <c r="F6" s="50">
        <v>6286.7280000000001</v>
      </c>
      <c r="G6" s="1"/>
      <c r="H6" s="6"/>
      <c r="I6" s="1"/>
      <c r="J6" s="1"/>
    </row>
    <row r="7" spans="1:10" x14ac:dyDescent="0.35">
      <c r="A7" s="1"/>
      <c r="B7" s="5"/>
      <c r="C7" s="25" t="s">
        <v>389</v>
      </c>
      <c r="D7" s="25" t="s">
        <v>1107</v>
      </c>
      <c r="E7" s="50">
        <v>1</v>
      </c>
      <c r="F7" s="50">
        <v>340.20100000000002</v>
      </c>
      <c r="G7" s="1"/>
      <c r="H7" s="6"/>
      <c r="I7" s="1"/>
      <c r="J7" s="1"/>
    </row>
    <row r="8" spans="1:10" x14ac:dyDescent="0.35">
      <c r="A8" s="1"/>
      <c r="B8" s="9"/>
      <c r="C8" s="25"/>
      <c r="D8" s="25"/>
      <c r="E8" s="25"/>
      <c r="F8" s="50">
        <v>0</v>
      </c>
      <c r="G8" s="10"/>
      <c r="H8" s="11"/>
      <c r="I8" s="1"/>
      <c r="J8" s="1"/>
    </row>
    <row r="9"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68"/>
  <sheetViews>
    <sheetView showGridLines="0" workbookViewId="0"/>
  </sheetViews>
  <sheetFormatPr baseColWidth="10" defaultRowHeight="14.5" x14ac:dyDescent="0.35"/>
  <cols>
    <col min="1" max="2" width="2.7265625" customWidth="1"/>
    <col min="3" max="3" width="17.81640625" customWidth="1"/>
    <col min="4" max="9" width="13.7265625" customWidth="1"/>
    <col min="10" max="10" width="30.1796875" customWidth="1"/>
    <col min="11" max="11" width="8" customWidth="1"/>
    <col min="12" max="12" width="215.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51.65" customHeight="1" x14ac:dyDescent="0.35">
      <c r="A4" s="1"/>
      <c r="B4" s="5"/>
      <c r="C4" s="1"/>
      <c r="D4" s="1"/>
      <c r="E4" s="1"/>
      <c r="F4" s="1"/>
      <c r="G4" s="1"/>
      <c r="H4" s="1"/>
      <c r="I4" s="1"/>
      <c r="J4" s="1"/>
      <c r="K4" s="6"/>
      <c r="L4" s="1"/>
      <c r="M4" s="1"/>
    </row>
    <row r="5" spans="1:13" ht="18" customHeight="1" x14ac:dyDescent="0.35">
      <c r="A5" s="1"/>
      <c r="B5" s="5"/>
      <c r="C5" s="78" t="s">
        <v>653</v>
      </c>
      <c r="D5" s="67"/>
      <c r="E5" s="67"/>
      <c r="F5" s="67"/>
      <c r="G5" s="67"/>
      <c r="H5" s="67"/>
      <c r="I5" s="67"/>
      <c r="J5" s="67"/>
      <c r="K5" s="6"/>
      <c r="L5" s="1"/>
      <c r="M5" s="1"/>
    </row>
    <row r="6" spans="1:13" ht="25.4" customHeight="1" x14ac:dyDescent="0.35">
      <c r="A6" s="1"/>
      <c r="B6" s="5"/>
      <c r="C6" s="1"/>
      <c r="D6" s="1"/>
      <c r="E6" s="1"/>
      <c r="F6" s="1"/>
      <c r="G6" s="1"/>
      <c r="H6" s="1"/>
      <c r="I6" s="1"/>
      <c r="J6" s="1"/>
      <c r="K6" s="6"/>
      <c r="L6" s="1"/>
      <c r="M6" s="1"/>
    </row>
    <row r="7" spans="1:13" x14ac:dyDescent="0.35">
      <c r="A7" s="1"/>
      <c r="B7" s="5"/>
      <c r="C7" s="78" t="s">
        <v>5</v>
      </c>
      <c r="D7" s="74" t="s">
        <v>759</v>
      </c>
      <c r="E7" s="75"/>
      <c r="F7" s="75"/>
      <c r="G7" s="75"/>
      <c r="H7" s="76"/>
      <c r="I7" s="23" t="s">
        <v>233</v>
      </c>
      <c r="J7" s="1"/>
      <c r="K7" s="6"/>
      <c r="L7" s="1"/>
      <c r="M7" s="1"/>
    </row>
    <row r="8" spans="1:13" x14ac:dyDescent="0.35">
      <c r="A8" s="1"/>
      <c r="B8" s="5"/>
      <c r="C8" s="67"/>
      <c r="D8" s="24" t="s">
        <v>619</v>
      </c>
      <c r="E8" s="24" t="s">
        <v>620</v>
      </c>
      <c r="F8" s="24" t="s">
        <v>621</v>
      </c>
      <c r="G8" s="24" t="s">
        <v>622</v>
      </c>
      <c r="H8" s="24" t="s">
        <v>655</v>
      </c>
      <c r="I8" s="24" t="s">
        <v>619</v>
      </c>
      <c r="J8" s="1"/>
      <c r="K8" s="6"/>
      <c r="L8" s="1"/>
      <c r="M8" s="1"/>
    </row>
    <row r="9" spans="1:13" x14ac:dyDescent="0.35">
      <c r="A9" s="1"/>
      <c r="B9" s="5"/>
      <c r="C9" s="25" t="s">
        <v>766</v>
      </c>
      <c r="D9" s="50">
        <v>8944.6186570000009</v>
      </c>
      <c r="E9" s="50">
        <v>0</v>
      </c>
      <c r="F9" s="50">
        <v>0</v>
      </c>
      <c r="G9" s="50">
        <v>0</v>
      </c>
      <c r="H9" s="50">
        <v>0</v>
      </c>
      <c r="I9" s="50">
        <v>0</v>
      </c>
      <c r="J9" s="1"/>
      <c r="K9" s="6"/>
      <c r="L9" s="1"/>
      <c r="M9" s="1"/>
    </row>
    <row r="10" spans="1:13" x14ac:dyDescent="0.35">
      <c r="A10" s="1"/>
      <c r="B10" s="5"/>
      <c r="C10" s="25" t="s">
        <v>769</v>
      </c>
      <c r="D10" s="50">
        <v>1018.396177</v>
      </c>
      <c r="E10" s="50">
        <v>0</v>
      </c>
      <c r="F10" s="50">
        <v>0</v>
      </c>
      <c r="G10" s="50">
        <v>0</v>
      </c>
      <c r="H10" s="50">
        <v>0</v>
      </c>
      <c r="I10" s="50">
        <v>0</v>
      </c>
      <c r="J10" s="1"/>
      <c r="K10" s="6"/>
      <c r="L10" s="1"/>
      <c r="M10" s="1"/>
    </row>
    <row r="11" spans="1:13" x14ac:dyDescent="0.35">
      <c r="A11" s="1"/>
      <c r="B11" s="5"/>
      <c r="C11" s="25" t="s">
        <v>772</v>
      </c>
      <c r="D11" s="50">
        <v>0</v>
      </c>
      <c r="E11" s="50">
        <v>1509.783925</v>
      </c>
      <c r="F11" s="50">
        <v>0</v>
      </c>
      <c r="G11" s="50">
        <v>0</v>
      </c>
      <c r="H11" s="50">
        <v>0</v>
      </c>
      <c r="I11" s="50">
        <v>0</v>
      </c>
      <c r="J11" s="1"/>
      <c r="K11" s="6"/>
      <c r="L11" s="1"/>
      <c r="M11" s="1"/>
    </row>
    <row r="12" spans="1:13" x14ac:dyDescent="0.35">
      <c r="A12" s="1"/>
      <c r="B12" s="5"/>
      <c r="C12" s="25" t="s">
        <v>1108</v>
      </c>
      <c r="D12" s="50">
        <v>270.15317599999997</v>
      </c>
      <c r="E12" s="50">
        <v>0</v>
      </c>
      <c r="F12" s="50">
        <v>0</v>
      </c>
      <c r="G12" s="50">
        <v>0</v>
      </c>
      <c r="H12" s="50">
        <v>0</v>
      </c>
      <c r="I12" s="50">
        <v>0</v>
      </c>
      <c r="J12" s="1"/>
      <c r="K12" s="6"/>
      <c r="L12" s="1"/>
      <c r="M12" s="1"/>
    </row>
    <row r="13" spans="1:13" x14ac:dyDescent="0.35">
      <c r="A13" s="1"/>
      <c r="B13" s="5"/>
      <c r="C13" s="25" t="s">
        <v>1109</v>
      </c>
      <c r="D13" s="50">
        <v>0</v>
      </c>
      <c r="E13" s="50">
        <v>2020.3359840000001</v>
      </c>
      <c r="F13" s="50">
        <v>0</v>
      </c>
      <c r="G13" s="50">
        <v>7114.087982</v>
      </c>
      <c r="H13" s="50">
        <v>0</v>
      </c>
      <c r="I13" s="50">
        <v>0</v>
      </c>
      <c r="J13" s="1"/>
      <c r="K13" s="6"/>
      <c r="L13" s="1"/>
      <c r="M13" s="1"/>
    </row>
    <row r="14" spans="1:13" x14ac:dyDescent="0.35">
      <c r="A14" s="1"/>
      <c r="B14" s="5"/>
      <c r="C14" s="25" t="s">
        <v>1110</v>
      </c>
      <c r="D14" s="50">
        <v>0</v>
      </c>
      <c r="E14" s="50">
        <v>0</v>
      </c>
      <c r="F14" s="50">
        <v>489.31222400000001</v>
      </c>
      <c r="G14" s="50">
        <v>0</v>
      </c>
      <c r="H14" s="50">
        <v>0</v>
      </c>
      <c r="I14" s="50">
        <v>0</v>
      </c>
      <c r="J14" s="1"/>
      <c r="K14" s="6"/>
      <c r="L14" s="1"/>
      <c r="M14" s="1"/>
    </row>
    <row r="15" spans="1:13" x14ac:dyDescent="0.35">
      <c r="A15" s="1"/>
      <c r="B15" s="5"/>
      <c r="C15" s="25" t="s">
        <v>776</v>
      </c>
      <c r="D15" s="50">
        <v>950.45534099999998</v>
      </c>
      <c r="E15" s="50">
        <v>0</v>
      </c>
      <c r="F15" s="50">
        <v>0</v>
      </c>
      <c r="G15" s="50">
        <v>0</v>
      </c>
      <c r="H15" s="50">
        <v>0</v>
      </c>
      <c r="I15" s="50">
        <v>0</v>
      </c>
      <c r="J15" s="1"/>
      <c r="K15" s="6"/>
      <c r="L15" s="1"/>
      <c r="M15" s="1"/>
    </row>
    <row r="16" spans="1:13" x14ac:dyDescent="0.35">
      <c r="A16" s="1"/>
      <c r="B16" s="5"/>
      <c r="C16" s="25" t="s">
        <v>779</v>
      </c>
      <c r="D16" s="50">
        <v>5638.4470000000001</v>
      </c>
      <c r="E16" s="50">
        <v>0</v>
      </c>
      <c r="F16" s="50">
        <v>0</v>
      </c>
      <c r="G16" s="50">
        <v>0</v>
      </c>
      <c r="H16" s="50">
        <v>0</v>
      </c>
      <c r="I16" s="50">
        <v>0</v>
      </c>
      <c r="J16" s="1"/>
      <c r="K16" s="6"/>
      <c r="L16" s="1"/>
      <c r="M16" s="1"/>
    </row>
    <row r="17" spans="1:13" x14ac:dyDescent="0.35">
      <c r="A17" s="1"/>
      <c r="B17" s="5"/>
      <c r="C17" s="25" t="s">
        <v>782</v>
      </c>
      <c r="D17" s="50">
        <v>499.77416299999999</v>
      </c>
      <c r="E17" s="50">
        <v>0</v>
      </c>
      <c r="F17" s="50">
        <v>0</v>
      </c>
      <c r="G17" s="50">
        <v>0</v>
      </c>
      <c r="H17" s="50">
        <v>0</v>
      </c>
      <c r="I17" s="50">
        <v>0</v>
      </c>
      <c r="J17" s="1"/>
      <c r="K17" s="6"/>
      <c r="L17" s="1"/>
      <c r="M17" s="1"/>
    </row>
    <row r="18" spans="1:13" x14ac:dyDescent="0.35">
      <c r="A18" s="1"/>
      <c r="B18" s="5"/>
      <c r="C18" s="25" t="s">
        <v>785</v>
      </c>
      <c r="D18" s="50">
        <v>1007.024695</v>
      </c>
      <c r="E18" s="50">
        <v>0</v>
      </c>
      <c r="F18" s="50">
        <v>0</v>
      </c>
      <c r="G18" s="50">
        <v>0</v>
      </c>
      <c r="H18" s="50">
        <v>0</v>
      </c>
      <c r="I18" s="50">
        <v>0</v>
      </c>
      <c r="J18" s="1"/>
      <c r="K18" s="6"/>
      <c r="L18" s="1"/>
      <c r="M18" s="1"/>
    </row>
    <row r="19" spans="1:13" x14ac:dyDescent="0.35">
      <c r="A19" s="1"/>
      <c r="B19" s="5"/>
      <c r="C19" s="25" t="s">
        <v>1111</v>
      </c>
      <c r="D19" s="50">
        <v>0</v>
      </c>
      <c r="E19" s="50">
        <v>0</v>
      </c>
      <c r="F19" s="50">
        <v>140.85229699999999</v>
      </c>
      <c r="G19" s="50">
        <v>0</v>
      </c>
      <c r="H19" s="50">
        <v>0</v>
      </c>
      <c r="I19" s="50">
        <v>0</v>
      </c>
      <c r="J19" s="1"/>
      <c r="K19" s="6"/>
      <c r="L19" s="1"/>
      <c r="M19" s="1"/>
    </row>
    <row r="20" spans="1:13" x14ac:dyDescent="0.35">
      <c r="A20" s="1"/>
      <c r="B20" s="5"/>
      <c r="C20" s="25" t="s">
        <v>1112</v>
      </c>
      <c r="D20" s="50">
        <v>0</v>
      </c>
      <c r="E20" s="50">
        <v>0</v>
      </c>
      <c r="F20" s="50">
        <v>95.287244999999999</v>
      </c>
      <c r="G20" s="50">
        <v>0</v>
      </c>
      <c r="H20" s="50">
        <v>0</v>
      </c>
      <c r="I20" s="50">
        <v>0</v>
      </c>
      <c r="J20" s="1"/>
      <c r="K20" s="6"/>
      <c r="L20" s="1"/>
      <c r="M20" s="1"/>
    </row>
    <row r="21" spans="1:13" x14ac:dyDescent="0.35">
      <c r="A21" s="1"/>
      <c r="B21" s="5"/>
      <c r="C21" s="25" t="s">
        <v>789</v>
      </c>
      <c r="D21" s="50">
        <v>473.133061</v>
      </c>
      <c r="E21" s="50">
        <v>129.17819399999999</v>
      </c>
      <c r="F21" s="50">
        <v>37.450719999999997</v>
      </c>
      <c r="G21" s="50">
        <v>0</v>
      </c>
      <c r="H21" s="50">
        <v>0</v>
      </c>
      <c r="I21" s="50">
        <v>0</v>
      </c>
      <c r="J21" s="1"/>
      <c r="K21" s="6"/>
      <c r="L21" s="1"/>
      <c r="M21" s="1"/>
    </row>
    <row r="22" spans="1:13" x14ac:dyDescent="0.35">
      <c r="A22" s="1"/>
      <c r="B22" s="5"/>
      <c r="C22" s="25" t="s">
        <v>793</v>
      </c>
      <c r="D22" s="50">
        <v>346.22089899999997</v>
      </c>
      <c r="E22" s="50">
        <v>0</v>
      </c>
      <c r="F22" s="50">
        <v>296.77173099999999</v>
      </c>
      <c r="G22" s="50">
        <v>0</v>
      </c>
      <c r="H22" s="50">
        <v>0</v>
      </c>
      <c r="I22" s="50">
        <v>0</v>
      </c>
      <c r="J22" s="1"/>
      <c r="K22" s="6"/>
      <c r="L22" s="1"/>
      <c r="M22" s="1"/>
    </row>
    <row r="23" spans="1:13" x14ac:dyDescent="0.35">
      <c r="A23" s="1"/>
      <c r="B23" s="5"/>
      <c r="C23" s="25" t="s">
        <v>1113</v>
      </c>
      <c r="D23" s="50">
        <v>0</v>
      </c>
      <c r="E23" s="50">
        <v>245.395803</v>
      </c>
      <c r="F23" s="50">
        <v>0</v>
      </c>
      <c r="G23" s="50">
        <v>0</v>
      </c>
      <c r="H23" s="50">
        <v>0</v>
      </c>
      <c r="I23" s="50">
        <v>0</v>
      </c>
      <c r="J23" s="1"/>
      <c r="K23" s="6"/>
      <c r="L23" s="1"/>
      <c r="M23" s="1"/>
    </row>
    <row r="24" spans="1:13" x14ac:dyDescent="0.35">
      <c r="A24" s="1"/>
      <c r="B24" s="5"/>
      <c r="C24" s="25" t="s">
        <v>1114</v>
      </c>
      <c r="D24" s="50">
        <v>0</v>
      </c>
      <c r="E24" s="50">
        <v>5506.4451209999997</v>
      </c>
      <c r="F24" s="50">
        <v>0</v>
      </c>
      <c r="G24" s="50">
        <v>0</v>
      </c>
      <c r="H24" s="50">
        <v>0</v>
      </c>
      <c r="I24" s="50">
        <v>0</v>
      </c>
      <c r="J24" s="1"/>
      <c r="K24" s="6"/>
      <c r="L24" s="1"/>
      <c r="M24" s="1"/>
    </row>
    <row r="25" spans="1:13" x14ac:dyDescent="0.35">
      <c r="A25" s="1"/>
      <c r="B25" s="5"/>
      <c r="C25" s="25" t="s">
        <v>798</v>
      </c>
      <c r="D25" s="50">
        <v>1547.335466</v>
      </c>
      <c r="E25" s="50">
        <v>508.397941</v>
      </c>
      <c r="F25" s="50">
        <v>0</v>
      </c>
      <c r="G25" s="50">
        <v>0</v>
      </c>
      <c r="H25" s="50">
        <v>0</v>
      </c>
      <c r="I25" s="50">
        <v>0</v>
      </c>
      <c r="J25" s="1"/>
      <c r="K25" s="6"/>
      <c r="L25" s="1"/>
      <c r="M25" s="1"/>
    </row>
    <row r="26" spans="1:13" x14ac:dyDescent="0.35">
      <c r="A26" s="1"/>
      <c r="B26" s="5"/>
      <c r="C26" s="25" t="s">
        <v>694</v>
      </c>
      <c r="D26" s="50">
        <v>24232.175755</v>
      </c>
      <c r="E26" s="50">
        <v>0</v>
      </c>
      <c r="F26" s="50">
        <v>0</v>
      </c>
      <c r="G26" s="50">
        <v>0</v>
      </c>
      <c r="H26" s="50">
        <v>0</v>
      </c>
      <c r="I26" s="50">
        <v>0</v>
      </c>
      <c r="J26" s="1"/>
      <c r="K26" s="6"/>
      <c r="L26" s="1"/>
      <c r="M26" s="1"/>
    </row>
    <row r="27" spans="1:13" x14ac:dyDescent="0.35">
      <c r="A27" s="1"/>
      <c r="B27" s="5"/>
      <c r="C27" s="25" t="s">
        <v>821</v>
      </c>
      <c r="D27" s="50">
        <v>1070.746359</v>
      </c>
      <c r="E27" s="50">
        <v>3688.3443219999999</v>
      </c>
      <c r="F27" s="50">
        <v>0</v>
      </c>
      <c r="G27" s="50">
        <v>0</v>
      </c>
      <c r="H27" s="50">
        <v>0</v>
      </c>
      <c r="I27" s="50">
        <v>0</v>
      </c>
      <c r="J27" s="1"/>
      <c r="K27" s="6"/>
      <c r="L27" s="1"/>
      <c r="M27" s="1"/>
    </row>
    <row r="28" spans="1:13" x14ac:dyDescent="0.35">
      <c r="A28" s="1"/>
      <c r="B28" s="5"/>
      <c r="C28" s="25" t="s">
        <v>826</v>
      </c>
      <c r="D28" s="50">
        <v>5067.6097639999998</v>
      </c>
      <c r="E28" s="50">
        <v>2762.423914</v>
      </c>
      <c r="F28" s="50">
        <v>0</v>
      </c>
      <c r="G28" s="50">
        <v>0</v>
      </c>
      <c r="H28" s="50">
        <v>0</v>
      </c>
      <c r="I28" s="50">
        <v>0</v>
      </c>
      <c r="J28" s="1"/>
      <c r="K28" s="6"/>
      <c r="L28" s="1"/>
      <c r="M28" s="1"/>
    </row>
    <row r="29" spans="1:13" x14ac:dyDescent="0.35">
      <c r="A29" s="1"/>
      <c r="B29" s="5"/>
      <c r="C29" s="25" t="s">
        <v>707</v>
      </c>
      <c r="D29" s="50">
        <v>41555.181869</v>
      </c>
      <c r="E29" s="50">
        <v>5233.2984079999997</v>
      </c>
      <c r="F29" s="50">
        <v>0</v>
      </c>
      <c r="G29" s="50">
        <v>0</v>
      </c>
      <c r="H29" s="50">
        <v>358.89110899999997</v>
      </c>
      <c r="I29" s="50">
        <v>0</v>
      </c>
      <c r="J29" s="1"/>
      <c r="K29" s="6"/>
      <c r="L29" s="1"/>
      <c r="M29" s="1"/>
    </row>
    <row r="30" spans="1:13" x14ac:dyDescent="0.35">
      <c r="A30" s="1"/>
      <c r="B30" s="5"/>
      <c r="C30" s="25" t="s">
        <v>718</v>
      </c>
      <c r="D30" s="50">
        <v>3537.5233800000001</v>
      </c>
      <c r="E30" s="50">
        <v>0</v>
      </c>
      <c r="F30" s="50">
        <v>0</v>
      </c>
      <c r="G30" s="50">
        <v>0</v>
      </c>
      <c r="H30" s="50">
        <v>0</v>
      </c>
      <c r="I30" s="50">
        <v>0</v>
      </c>
      <c r="J30" s="1"/>
      <c r="K30" s="6"/>
      <c r="L30" s="1"/>
      <c r="M30" s="1"/>
    </row>
    <row r="31" spans="1:13" x14ac:dyDescent="0.35">
      <c r="A31" s="1"/>
      <c r="B31" s="5"/>
      <c r="C31" s="25" t="s">
        <v>726</v>
      </c>
      <c r="D31" s="50">
        <v>4492.213006</v>
      </c>
      <c r="E31" s="50">
        <v>0</v>
      </c>
      <c r="F31" s="50">
        <v>0</v>
      </c>
      <c r="G31" s="50">
        <v>0</v>
      </c>
      <c r="H31" s="50">
        <v>0</v>
      </c>
      <c r="I31" s="50">
        <v>0</v>
      </c>
      <c r="J31" s="1"/>
      <c r="K31" s="6"/>
      <c r="L31" s="1"/>
      <c r="M31" s="1"/>
    </row>
    <row r="32" spans="1:13" x14ac:dyDescent="0.35">
      <c r="A32" s="1"/>
      <c r="B32" s="5"/>
      <c r="C32" s="25" t="s">
        <v>731</v>
      </c>
      <c r="D32" s="50">
        <v>6478.2598310000003</v>
      </c>
      <c r="E32" s="50">
        <v>0</v>
      </c>
      <c r="F32" s="50">
        <v>0</v>
      </c>
      <c r="G32" s="50">
        <v>0</v>
      </c>
      <c r="H32" s="50">
        <v>0</v>
      </c>
      <c r="I32" s="50">
        <v>0</v>
      </c>
      <c r="J32" s="1"/>
      <c r="K32" s="6"/>
      <c r="L32" s="1"/>
      <c r="M32" s="1"/>
    </row>
    <row r="33" spans="1:13" x14ac:dyDescent="0.35">
      <c r="A33" s="1"/>
      <c r="B33" s="5"/>
      <c r="C33" s="25" t="s">
        <v>904</v>
      </c>
      <c r="D33" s="50">
        <v>3011.8613890000001</v>
      </c>
      <c r="E33" s="50">
        <v>4023.5961609999999</v>
      </c>
      <c r="F33" s="50">
        <v>0</v>
      </c>
      <c r="G33" s="50">
        <v>0</v>
      </c>
      <c r="H33" s="50">
        <v>0</v>
      </c>
      <c r="I33" s="50">
        <v>0</v>
      </c>
      <c r="J33" s="1"/>
      <c r="K33" s="6"/>
      <c r="L33" s="1"/>
      <c r="M33" s="1"/>
    </row>
    <row r="34" spans="1:13" x14ac:dyDescent="0.35">
      <c r="A34" s="1"/>
      <c r="B34" s="5"/>
      <c r="C34" s="25" t="s">
        <v>733</v>
      </c>
      <c r="D34" s="50">
        <v>16005.324648</v>
      </c>
      <c r="E34" s="50">
        <v>0</v>
      </c>
      <c r="F34" s="50">
        <v>0</v>
      </c>
      <c r="G34" s="50">
        <v>0</v>
      </c>
      <c r="H34" s="50">
        <v>0</v>
      </c>
      <c r="I34" s="50">
        <v>0</v>
      </c>
      <c r="J34" s="1"/>
      <c r="K34" s="6"/>
      <c r="L34" s="1"/>
      <c r="M34" s="1"/>
    </row>
    <row r="35" spans="1:13" x14ac:dyDescent="0.35">
      <c r="A35" s="1"/>
      <c r="B35" s="5"/>
      <c r="C35" s="25" t="s">
        <v>918</v>
      </c>
      <c r="D35" s="50">
        <v>12296.107276000001</v>
      </c>
      <c r="E35" s="50">
        <v>0</v>
      </c>
      <c r="F35" s="50">
        <v>0</v>
      </c>
      <c r="G35" s="50">
        <v>0</v>
      </c>
      <c r="H35" s="50">
        <v>0</v>
      </c>
      <c r="I35" s="50">
        <v>0</v>
      </c>
      <c r="J35" s="1"/>
      <c r="K35" s="6"/>
      <c r="L35" s="1"/>
      <c r="M35" s="1"/>
    </row>
    <row r="36" spans="1:13" x14ac:dyDescent="0.35">
      <c r="A36" s="1"/>
      <c r="B36" s="5"/>
      <c r="C36" s="25" t="s">
        <v>739</v>
      </c>
      <c r="D36" s="50">
        <v>15383.421312</v>
      </c>
      <c r="E36" s="50">
        <v>0</v>
      </c>
      <c r="F36" s="50">
        <v>0</v>
      </c>
      <c r="G36" s="50">
        <v>0</v>
      </c>
      <c r="H36" s="50">
        <v>0</v>
      </c>
      <c r="I36" s="50">
        <v>0</v>
      </c>
      <c r="J36" s="1"/>
      <c r="K36" s="6"/>
      <c r="L36" s="1"/>
      <c r="M36" s="1"/>
    </row>
    <row r="37" spans="1:13" x14ac:dyDescent="0.35">
      <c r="A37" s="1"/>
      <c r="B37" s="5"/>
      <c r="C37" s="25" t="s">
        <v>923</v>
      </c>
      <c r="D37" s="50">
        <v>12436.844967000001</v>
      </c>
      <c r="E37" s="50">
        <v>0</v>
      </c>
      <c r="F37" s="50">
        <v>0</v>
      </c>
      <c r="G37" s="50">
        <v>0</v>
      </c>
      <c r="H37" s="50">
        <v>0</v>
      </c>
      <c r="I37" s="50">
        <v>0</v>
      </c>
      <c r="J37" s="1"/>
      <c r="K37" s="6"/>
      <c r="L37" s="1"/>
      <c r="M37" s="1"/>
    </row>
    <row r="38" spans="1:13" x14ac:dyDescent="0.35">
      <c r="A38" s="1"/>
      <c r="B38" s="5"/>
      <c r="C38" s="25" t="s">
        <v>939</v>
      </c>
      <c r="D38" s="50">
        <v>35902.030889000001</v>
      </c>
      <c r="E38" s="50">
        <v>0</v>
      </c>
      <c r="F38" s="50">
        <v>0</v>
      </c>
      <c r="G38" s="50">
        <v>0</v>
      </c>
      <c r="H38" s="50">
        <v>0</v>
      </c>
      <c r="I38" s="50">
        <v>0</v>
      </c>
      <c r="J38" s="1"/>
      <c r="K38" s="6"/>
      <c r="L38" s="1"/>
      <c r="M38" s="1"/>
    </row>
    <row r="39" spans="1:13" x14ac:dyDescent="0.35">
      <c r="A39" s="1"/>
      <c r="B39" s="5"/>
      <c r="C39" s="25" t="s">
        <v>1115</v>
      </c>
      <c r="D39" s="50">
        <v>556957.88295400003</v>
      </c>
      <c r="E39" s="50">
        <v>147723.06231899999</v>
      </c>
      <c r="F39" s="50">
        <v>0</v>
      </c>
      <c r="G39" s="50">
        <v>0</v>
      </c>
      <c r="H39" s="50">
        <v>0</v>
      </c>
      <c r="I39" s="50">
        <v>0</v>
      </c>
      <c r="J39" s="1"/>
      <c r="K39" s="6"/>
      <c r="L39" s="1"/>
      <c r="M39" s="1"/>
    </row>
    <row r="40" spans="1:13" x14ac:dyDescent="0.35">
      <c r="A40" s="1"/>
      <c r="B40" s="5"/>
      <c r="C40" s="25" t="s">
        <v>942</v>
      </c>
      <c r="D40" s="50">
        <v>102403.455781</v>
      </c>
      <c r="E40" s="50">
        <v>21192.594152999998</v>
      </c>
      <c r="F40" s="50">
        <v>0</v>
      </c>
      <c r="G40" s="50">
        <v>0</v>
      </c>
      <c r="H40" s="50">
        <v>0</v>
      </c>
      <c r="I40" s="50">
        <v>0</v>
      </c>
      <c r="J40" s="1"/>
      <c r="K40" s="6"/>
      <c r="L40" s="1"/>
      <c r="M40" s="1"/>
    </row>
    <row r="41" spans="1:13" x14ac:dyDescent="0.35">
      <c r="A41" s="1"/>
      <c r="B41" s="5"/>
      <c r="C41" s="25" t="s">
        <v>1116</v>
      </c>
      <c r="D41" s="50">
        <v>0</v>
      </c>
      <c r="E41" s="50">
        <v>0</v>
      </c>
      <c r="F41" s="50">
        <v>0</v>
      </c>
      <c r="G41" s="50">
        <v>133.816712</v>
      </c>
      <c r="H41" s="50">
        <v>0</v>
      </c>
      <c r="I41" s="50">
        <v>0</v>
      </c>
      <c r="J41" s="1"/>
      <c r="K41" s="6"/>
      <c r="L41" s="1"/>
      <c r="M41" s="1"/>
    </row>
    <row r="42" spans="1:13" x14ac:dyDescent="0.35">
      <c r="A42" s="1"/>
      <c r="B42" s="5"/>
      <c r="C42" s="25" t="s">
        <v>333</v>
      </c>
      <c r="D42" s="50">
        <v>3031160.3026840002</v>
      </c>
      <c r="E42" s="50">
        <v>2214029.8360950002</v>
      </c>
      <c r="F42" s="50">
        <v>648309.36573700001</v>
      </c>
      <c r="G42" s="50">
        <v>0</v>
      </c>
      <c r="H42" s="50">
        <v>0</v>
      </c>
      <c r="I42" s="50">
        <v>0</v>
      </c>
      <c r="J42" s="1"/>
      <c r="K42" s="6"/>
      <c r="L42" s="1"/>
      <c r="M42" s="1"/>
    </row>
    <row r="43" spans="1:13" x14ac:dyDescent="0.35">
      <c r="A43" s="1"/>
      <c r="B43" s="5"/>
      <c r="C43" s="25" t="s">
        <v>337</v>
      </c>
      <c r="D43" s="50">
        <v>858087.92903400003</v>
      </c>
      <c r="E43" s="50">
        <v>809872.57926400006</v>
      </c>
      <c r="F43" s="50">
        <v>1218.5057380000001</v>
      </c>
      <c r="G43" s="50">
        <v>0</v>
      </c>
      <c r="H43" s="50">
        <v>519.32912899999997</v>
      </c>
      <c r="I43" s="50">
        <v>0</v>
      </c>
      <c r="J43" s="1"/>
      <c r="K43" s="6"/>
      <c r="L43" s="1"/>
      <c r="M43" s="1"/>
    </row>
    <row r="44" spans="1:13" x14ac:dyDescent="0.35">
      <c r="A44" s="1"/>
      <c r="B44" s="5"/>
      <c r="C44" s="25" t="s">
        <v>341</v>
      </c>
      <c r="D44" s="50">
        <v>1668542.8518399999</v>
      </c>
      <c r="E44" s="50">
        <v>461165.60547000001</v>
      </c>
      <c r="F44" s="50">
        <v>504451.86955599999</v>
      </c>
      <c r="G44" s="50">
        <v>0</v>
      </c>
      <c r="H44" s="50">
        <v>0</v>
      </c>
      <c r="I44" s="50">
        <v>0</v>
      </c>
      <c r="J44" s="1"/>
      <c r="K44" s="6"/>
      <c r="L44" s="1"/>
      <c r="M44" s="1"/>
    </row>
    <row r="45" spans="1:13" x14ac:dyDescent="0.35">
      <c r="A45" s="1"/>
      <c r="B45" s="5"/>
      <c r="C45" s="25" t="s">
        <v>345</v>
      </c>
      <c r="D45" s="50">
        <v>508553.98946000001</v>
      </c>
      <c r="E45" s="50">
        <v>0</v>
      </c>
      <c r="F45" s="50">
        <v>0</v>
      </c>
      <c r="G45" s="50">
        <v>0</v>
      </c>
      <c r="H45" s="50">
        <v>0</v>
      </c>
      <c r="I45" s="50">
        <v>0</v>
      </c>
      <c r="J45" s="1"/>
      <c r="K45" s="6"/>
      <c r="L45" s="1"/>
      <c r="M45" s="1"/>
    </row>
    <row r="46" spans="1:13" x14ac:dyDescent="0.35">
      <c r="A46" s="1"/>
      <c r="B46" s="5"/>
      <c r="C46" s="25" t="s">
        <v>349</v>
      </c>
      <c r="D46" s="50">
        <v>151278.021576</v>
      </c>
      <c r="E46" s="50">
        <v>10178.882810999999</v>
      </c>
      <c r="F46" s="50">
        <v>0</v>
      </c>
      <c r="G46" s="50">
        <v>0</v>
      </c>
      <c r="H46" s="50">
        <v>0</v>
      </c>
      <c r="I46" s="50">
        <v>0</v>
      </c>
      <c r="J46" s="1"/>
      <c r="K46" s="6"/>
      <c r="L46" s="1"/>
      <c r="M46" s="1"/>
    </row>
    <row r="47" spans="1:13" x14ac:dyDescent="0.35">
      <c r="A47" s="1"/>
      <c r="B47" s="5"/>
      <c r="C47" s="25" t="s">
        <v>353</v>
      </c>
      <c r="D47" s="50">
        <v>161119.13486399999</v>
      </c>
      <c r="E47" s="50">
        <v>21531.797026</v>
      </c>
      <c r="F47" s="50">
        <v>0</v>
      </c>
      <c r="G47" s="50">
        <v>494.69609100000002</v>
      </c>
      <c r="H47" s="50">
        <v>0</v>
      </c>
      <c r="I47" s="50">
        <v>0</v>
      </c>
      <c r="J47" s="1"/>
      <c r="K47" s="6"/>
      <c r="L47" s="1"/>
      <c r="M47" s="1"/>
    </row>
    <row r="48" spans="1:13" x14ac:dyDescent="0.35">
      <c r="A48" s="1"/>
      <c r="B48" s="5"/>
      <c r="C48" s="25" t="s">
        <v>357</v>
      </c>
      <c r="D48" s="50">
        <v>0</v>
      </c>
      <c r="E48" s="50">
        <v>275.79065800000001</v>
      </c>
      <c r="F48" s="50">
        <v>0</v>
      </c>
      <c r="G48" s="50">
        <v>131.439987</v>
      </c>
      <c r="H48" s="50">
        <v>1446.1331299999999</v>
      </c>
      <c r="I48" s="50">
        <v>0</v>
      </c>
      <c r="J48" s="1"/>
      <c r="K48" s="6"/>
      <c r="L48" s="1"/>
      <c r="M48" s="1"/>
    </row>
    <row r="49" spans="1:13" x14ac:dyDescent="0.35">
      <c r="A49" s="1"/>
      <c r="B49" s="5"/>
      <c r="C49" s="25" t="s">
        <v>361</v>
      </c>
      <c r="D49" s="50">
        <v>129685.54291800001</v>
      </c>
      <c r="E49" s="50">
        <v>317945.11477699998</v>
      </c>
      <c r="F49" s="50">
        <v>0</v>
      </c>
      <c r="G49" s="50">
        <v>0</v>
      </c>
      <c r="H49" s="50">
        <v>0</v>
      </c>
      <c r="I49" s="50">
        <v>0</v>
      </c>
      <c r="J49" s="1"/>
      <c r="K49" s="6"/>
      <c r="L49" s="1"/>
      <c r="M49" s="1"/>
    </row>
    <row r="50" spans="1:13" x14ac:dyDescent="0.35">
      <c r="A50" s="1"/>
      <c r="B50" s="5"/>
      <c r="C50" s="25" t="s">
        <v>365</v>
      </c>
      <c r="D50" s="50">
        <v>32785.337583</v>
      </c>
      <c r="E50" s="50">
        <v>0</v>
      </c>
      <c r="F50" s="50">
        <v>0</v>
      </c>
      <c r="G50" s="50">
        <v>0</v>
      </c>
      <c r="H50" s="50">
        <v>0</v>
      </c>
      <c r="I50" s="50">
        <v>0</v>
      </c>
      <c r="J50" s="1"/>
      <c r="K50" s="6"/>
      <c r="L50" s="1"/>
      <c r="M50" s="1"/>
    </row>
    <row r="51" spans="1:13" x14ac:dyDescent="0.35">
      <c r="A51" s="1"/>
      <c r="B51" s="5"/>
      <c r="C51" s="25" t="s">
        <v>369</v>
      </c>
      <c r="D51" s="50">
        <v>1497099.6360579999</v>
      </c>
      <c r="E51" s="50">
        <v>1499376.8317160001</v>
      </c>
      <c r="F51" s="50">
        <v>0</v>
      </c>
      <c r="G51" s="50">
        <v>381.81394999999998</v>
      </c>
      <c r="H51" s="50">
        <v>0</v>
      </c>
      <c r="I51" s="50">
        <v>0</v>
      </c>
      <c r="J51" s="1"/>
      <c r="K51" s="6"/>
      <c r="L51" s="1"/>
      <c r="M51" s="1"/>
    </row>
    <row r="52" spans="1:13" x14ac:dyDescent="0.35">
      <c r="A52" s="1"/>
      <c r="B52" s="5"/>
      <c r="C52" s="25" t="s">
        <v>373</v>
      </c>
      <c r="D52" s="50">
        <v>26110.243150999999</v>
      </c>
      <c r="E52" s="50">
        <v>257212.10719800001</v>
      </c>
      <c r="F52" s="50">
        <v>436.23134199999998</v>
      </c>
      <c r="G52" s="50">
        <v>0</v>
      </c>
      <c r="H52" s="50">
        <v>0</v>
      </c>
      <c r="I52" s="50">
        <v>0</v>
      </c>
      <c r="J52" s="1"/>
      <c r="K52" s="6"/>
      <c r="L52" s="1"/>
      <c r="M52" s="1"/>
    </row>
    <row r="53" spans="1:13" x14ac:dyDescent="0.35">
      <c r="A53" s="1"/>
      <c r="B53" s="5"/>
      <c r="C53" s="25" t="s">
        <v>377</v>
      </c>
      <c r="D53" s="50">
        <v>25671.169393</v>
      </c>
      <c r="E53" s="50">
        <v>47976.722302000002</v>
      </c>
      <c r="F53" s="50">
        <v>802.84608600000001</v>
      </c>
      <c r="G53" s="50">
        <v>0</v>
      </c>
      <c r="H53" s="50">
        <v>0</v>
      </c>
      <c r="I53" s="50">
        <v>0</v>
      </c>
      <c r="J53" s="1"/>
      <c r="K53" s="6"/>
      <c r="L53" s="1"/>
      <c r="M53" s="1"/>
    </row>
    <row r="54" spans="1:13" x14ac:dyDescent="0.35">
      <c r="A54" s="1"/>
      <c r="B54" s="5"/>
      <c r="C54" s="25" t="s">
        <v>381</v>
      </c>
      <c r="D54" s="50">
        <v>91121.375321</v>
      </c>
      <c r="E54" s="50">
        <v>4496.2866670000003</v>
      </c>
      <c r="F54" s="50">
        <v>0</v>
      </c>
      <c r="G54" s="50">
        <v>0</v>
      </c>
      <c r="H54" s="50">
        <v>0</v>
      </c>
      <c r="I54" s="50">
        <v>0</v>
      </c>
      <c r="J54" s="1"/>
      <c r="K54" s="6"/>
      <c r="L54" s="1"/>
      <c r="M54" s="1"/>
    </row>
    <row r="55" spans="1:13" x14ac:dyDescent="0.35">
      <c r="A55" s="1"/>
      <c r="B55" s="5"/>
      <c r="C55" s="25" t="s">
        <v>385</v>
      </c>
      <c r="D55" s="50">
        <v>192403.213013</v>
      </c>
      <c r="E55" s="50">
        <v>251874.57552400001</v>
      </c>
      <c r="F55" s="50">
        <v>17845.800966999999</v>
      </c>
      <c r="G55" s="50">
        <v>0</v>
      </c>
      <c r="H55" s="50">
        <v>0</v>
      </c>
      <c r="I55" s="50">
        <v>0</v>
      </c>
      <c r="J55" s="1"/>
      <c r="K55" s="6"/>
      <c r="L55" s="1"/>
      <c r="M55" s="1"/>
    </row>
    <row r="56" spans="1:13" x14ac:dyDescent="0.35">
      <c r="A56" s="1"/>
      <c r="B56" s="5"/>
      <c r="C56" s="25" t="s">
        <v>389</v>
      </c>
      <c r="D56" s="50">
        <v>1377.115779</v>
      </c>
      <c r="E56" s="50">
        <v>78724.712627999994</v>
      </c>
      <c r="F56" s="50">
        <v>1728.8076960000001</v>
      </c>
      <c r="G56" s="50">
        <v>0</v>
      </c>
      <c r="H56" s="50">
        <v>0</v>
      </c>
      <c r="I56" s="50">
        <v>0</v>
      </c>
      <c r="J56" s="1"/>
      <c r="K56" s="6"/>
      <c r="L56" s="1"/>
      <c r="M56" s="1"/>
    </row>
    <row r="57" spans="1:13" x14ac:dyDescent="0.35">
      <c r="A57" s="1"/>
      <c r="B57" s="5"/>
      <c r="C57" s="25" t="s">
        <v>393</v>
      </c>
      <c r="D57" s="50">
        <v>11242.138024</v>
      </c>
      <c r="E57" s="50">
        <v>250200.88789700001</v>
      </c>
      <c r="F57" s="50">
        <v>0</v>
      </c>
      <c r="G57" s="50">
        <v>0</v>
      </c>
      <c r="H57" s="50">
        <v>0</v>
      </c>
      <c r="I57" s="50">
        <v>0</v>
      </c>
      <c r="J57" s="1"/>
      <c r="K57" s="6"/>
      <c r="L57" s="1"/>
      <c r="M57" s="1"/>
    </row>
    <row r="58" spans="1:13" x14ac:dyDescent="0.35">
      <c r="A58" s="1"/>
      <c r="B58" s="5"/>
      <c r="C58" s="25" t="s">
        <v>429</v>
      </c>
      <c r="D58" s="50">
        <v>61415.285173999997</v>
      </c>
      <c r="E58" s="50">
        <v>0</v>
      </c>
      <c r="F58" s="50">
        <v>0</v>
      </c>
      <c r="G58" s="50">
        <v>0</v>
      </c>
      <c r="H58" s="50">
        <v>0</v>
      </c>
      <c r="I58" s="50">
        <v>0</v>
      </c>
      <c r="J58" s="1"/>
      <c r="K58" s="6"/>
      <c r="L58" s="1"/>
      <c r="M58" s="1"/>
    </row>
    <row r="59" spans="1:13" x14ac:dyDescent="0.35">
      <c r="A59" s="1"/>
      <c r="B59" s="5"/>
      <c r="C59" s="25" t="s">
        <v>433</v>
      </c>
      <c r="D59" s="50">
        <v>0</v>
      </c>
      <c r="E59" s="50">
        <v>303.39499499999999</v>
      </c>
      <c r="F59" s="50">
        <v>11398.138451000001</v>
      </c>
      <c r="G59" s="50">
        <v>0</v>
      </c>
      <c r="H59" s="50">
        <v>0</v>
      </c>
      <c r="I59" s="50">
        <v>0</v>
      </c>
      <c r="J59" s="1"/>
      <c r="K59" s="6"/>
      <c r="L59" s="1"/>
      <c r="M59" s="1"/>
    </row>
    <row r="60" spans="1:13" x14ac:dyDescent="0.35">
      <c r="A60" s="1"/>
      <c r="B60" s="5"/>
      <c r="C60" s="25" t="s">
        <v>973</v>
      </c>
      <c r="D60" s="50">
        <v>747734.36626000004</v>
      </c>
      <c r="E60" s="50">
        <v>165933.99398999999</v>
      </c>
      <c r="F60" s="50">
        <v>16630.134287000001</v>
      </c>
      <c r="G60" s="50">
        <v>0</v>
      </c>
      <c r="H60" s="50">
        <v>0</v>
      </c>
      <c r="I60" s="50">
        <v>0</v>
      </c>
      <c r="J60" s="1"/>
      <c r="K60" s="6"/>
      <c r="L60" s="1"/>
      <c r="M60" s="1"/>
    </row>
    <row r="61" spans="1:13" x14ac:dyDescent="0.35">
      <c r="A61" s="1"/>
      <c r="B61" s="5"/>
      <c r="C61" s="25" t="s">
        <v>437</v>
      </c>
      <c r="D61" s="50">
        <v>0</v>
      </c>
      <c r="E61" s="50">
        <v>22458.994228</v>
      </c>
      <c r="F61" s="50">
        <v>50777.759912000001</v>
      </c>
      <c r="G61" s="50">
        <v>0</v>
      </c>
      <c r="H61" s="50">
        <v>0</v>
      </c>
      <c r="I61" s="50">
        <v>0</v>
      </c>
      <c r="J61" s="1"/>
      <c r="K61" s="6"/>
      <c r="L61" s="1"/>
      <c r="M61" s="1"/>
    </row>
    <row r="62" spans="1:13" x14ac:dyDescent="0.35">
      <c r="A62" s="1"/>
      <c r="B62" s="5"/>
      <c r="C62" s="25" t="s">
        <v>441</v>
      </c>
      <c r="D62" s="50">
        <v>0</v>
      </c>
      <c r="E62" s="50">
        <v>49825.453362</v>
      </c>
      <c r="F62" s="50">
        <v>59897.869165999997</v>
      </c>
      <c r="G62" s="50">
        <v>0</v>
      </c>
      <c r="H62" s="50">
        <v>0</v>
      </c>
      <c r="I62" s="50">
        <v>0</v>
      </c>
      <c r="J62" s="1"/>
      <c r="K62" s="6"/>
      <c r="L62" s="1"/>
      <c r="M62" s="1"/>
    </row>
    <row r="63" spans="1:13" x14ac:dyDescent="0.35">
      <c r="A63" s="1"/>
      <c r="B63" s="5"/>
      <c r="C63" s="25" t="s">
        <v>445</v>
      </c>
      <c r="D63" s="50">
        <v>0</v>
      </c>
      <c r="E63" s="50">
        <v>20817.906880999999</v>
      </c>
      <c r="F63" s="50">
        <v>0</v>
      </c>
      <c r="G63" s="50">
        <v>0</v>
      </c>
      <c r="H63" s="50">
        <v>0</v>
      </c>
      <c r="I63" s="50">
        <v>0</v>
      </c>
      <c r="J63" s="1"/>
      <c r="K63" s="6"/>
      <c r="L63" s="1"/>
      <c r="M63" s="1"/>
    </row>
    <row r="64" spans="1:13" x14ac:dyDescent="0.35">
      <c r="A64" s="1"/>
      <c r="B64" s="5"/>
      <c r="C64" s="25" t="s">
        <v>449</v>
      </c>
      <c r="D64" s="50">
        <v>0</v>
      </c>
      <c r="E64" s="50">
        <v>153194.06724400001</v>
      </c>
      <c r="F64" s="50">
        <v>0</v>
      </c>
      <c r="G64" s="50">
        <v>0</v>
      </c>
      <c r="H64" s="50">
        <v>0</v>
      </c>
      <c r="I64" s="50">
        <v>0</v>
      </c>
      <c r="J64" s="1"/>
      <c r="K64" s="6"/>
      <c r="L64" s="1"/>
      <c r="M64" s="1"/>
    </row>
    <row r="65" spans="1:13" x14ac:dyDescent="0.35">
      <c r="A65" s="1"/>
      <c r="B65" s="5"/>
      <c r="C65" s="25" t="s">
        <v>453</v>
      </c>
      <c r="D65" s="50">
        <v>0</v>
      </c>
      <c r="E65" s="50">
        <v>18498.099172999999</v>
      </c>
      <c r="F65" s="50">
        <v>130609.57244</v>
      </c>
      <c r="G65" s="50">
        <v>0</v>
      </c>
      <c r="H65" s="50">
        <v>0</v>
      </c>
      <c r="I65" s="50">
        <v>0</v>
      </c>
      <c r="J65" s="1"/>
      <c r="K65" s="6"/>
      <c r="L65" s="1"/>
      <c r="M65" s="1"/>
    </row>
    <row r="66" spans="1:13" x14ac:dyDescent="0.35">
      <c r="A66" s="1"/>
      <c r="B66" s="5"/>
      <c r="C66" s="25" t="s">
        <v>457</v>
      </c>
      <c r="D66" s="50">
        <v>12584.294784</v>
      </c>
      <c r="E66" s="50">
        <v>36804.649153999999</v>
      </c>
      <c r="F66" s="50">
        <v>70894.196169000003</v>
      </c>
      <c r="G66" s="50">
        <v>17683.062838000002</v>
      </c>
      <c r="H66" s="50">
        <v>0</v>
      </c>
      <c r="I66" s="50">
        <v>0</v>
      </c>
      <c r="J66" s="1"/>
      <c r="K66" s="6"/>
      <c r="L66" s="1"/>
      <c r="M66" s="1"/>
    </row>
    <row r="67" spans="1:13" x14ac:dyDescent="0.35">
      <c r="A67" s="1"/>
      <c r="B67" s="5"/>
      <c r="C67" s="25" t="s">
        <v>461</v>
      </c>
      <c r="D67" s="50">
        <v>11141.462344</v>
      </c>
      <c r="E67" s="50">
        <v>0</v>
      </c>
      <c r="F67" s="50">
        <v>0</v>
      </c>
      <c r="G67" s="50">
        <v>0</v>
      </c>
      <c r="H67" s="50">
        <v>0</v>
      </c>
      <c r="I67" s="50">
        <v>125094.98910200001</v>
      </c>
      <c r="J67" s="1"/>
      <c r="K67" s="6"/>
      <c r="L67" s="1"/>
      <c r="M67" s="1"/>
    </row>
    <row r="68" spans="1:13" x14ac:dyDescent="0.35">
      <c r="A68" s="1"/>
      <c r="B68" s="9"/>
      <c r="C68" s="51" t="s">
        <v>609</v>
      </c>
      <c r="D68" s="53">
        <v>10080639.607075</v>
      </c>
      <c r="E68" s="53">
        <v>6887241.1453050002</v>
      </c>
      <c r="F68" s="53">
        <v>1516060.7717639999</v>
      </c>
      <c r="G68" s="53">
        <v>25938.917560000002</v>
      </c>
      <c r="H68" s="53">
        <v>2324.353368</v>
      </c>
      <c r="I68" s="53">
        <v>125094.98910200001</v>
      </c>
      <c r="J68" s="10"/>
      <c r="K68" s="11"/>
      <c r="L68" s="1"/>
      <c r="M68"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1"/>
  <sheetViews>
    <sheetView showGridLines="0" workbookViewId="0"/>
  </sheetViews>
  <sheetFormatPr baseColWidth="10" defaultRowHeight="14.5" x14ac:dyDescent="0.35"/>
  <cols>
    <col min="1" max="2" width="2.7265625" customWidth="1"/>
    <col min="3" max="3" width="54.81640625" customWidth="1"/>
    <col min="4" max="11" width="20.54296875" customWidth="1"/>
    <col min="12" max="12" width="134.36328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1"/>
      <c r="I3" s="1"/>
      <c r="J3" s="1"/>
      <c r="K3" s="6"/>
      <c r="L3" s="1"/>
      <c r="M3" s="1"/>
    </row>
    <row r="4" spans="1:13" ht="43.25" customHeight="1" x14ac:dyDescent="0.35">
      <c r="A4" s="1"/>
      <c r="B4" s="5"/>
      <c r="C4" s="1"/>
      <c r="D4" s="1"/>
      <c r="E4" s="1"/>
      <c r="F4" s="1"/>
      <c r="G4" s="1"/>
      <c r="H4" s="1"/>
      <c r="I4" s="1"/>
      <c r="J4" s="1"/>
      <c r="K4" s="6"/>
      <c r="L4" s="1"/>
      <c r="M4" s="1"/>
    </row>
    <row r="5" spans="1:13" ht="18" x14ac:dyDescent="0.35">
      <c r="A5" s="1"/>
      <c r="B5" s="5"/>
      <c r="C5" s="18" t="s">
        <v>1117</v>
      </c>
      <c r="D5" s="1"/>
      <c r="E5" s="1"/>
      <c r="F5" s="1"/>
      <c r="G5" s="1"/>
      <c r="H5" s="1"/>
      <c r="I5" s="1"/>
      <c r="J5" s="1"/>
      <c r="K5" s="6"/>
      <c r="L5" s="1"/>
      <c r="M5" s="1"/>
    </row>
    <row r="6" spans="1:13" ht="25.25" customHeight="1" x14ac:dyDescent="0.35">
      <c r="A6" s="1"/>
      <c r="B6" s="5"/>
      <c r="C6" s="1"/>
      <c r="D6" s="1"/>
      <c r="E6" s="1"/>
      <c r="F6" s="1"/>
      <c r="G6" s="1"/>
      <c r="H6" s="1"/>
      <c r="I6" s="1"/>
      <c r="J6" s="1"/>
      <c r="K6" s="6"/>
      <c r="L6" s="1"/>
      <c r="M6" s="1"/>
    </row>
    <row r="7" spans="1:13" ht="42" x14ac:dyDescent="0.35">
      <c r="A7" s="1"/>
      <c r="B7" s="5"/>
      <c r="C7" s="64" t="s">
        <v>5</v>
      </c>
      <c r="D7" s="34" t="s">
        <v>1118</v>
      </c>
      <c r="E7" s="34" t="s">
        <v>1119</v>
      </c>
      <c r="F7" s="34" t="s">
        <v>1120</v>
      </c>
      <c r="G7" s="34" t="s">
        <v>1121</v>
      </c>
      <c r="H7" s="34" t="s">
        <v>1122</v>
      </c>
      <c r="I7" s="34" t="s">
        <v>1123</v>
      </c>
      <c r="J7" s="34" t="s">
        <v>1124</v>
      </c>
      <c r="K7" s="34" t="s">
        <v>1107</v>
      </c>
      <c r="L7" s="1"/>
      <c r="M7" s="1"/>
    </row>
    <row r="8" spans="1:13" ht="42" x14ac:dyDescent="0.35">
      <c r="A8" s="1"/>
      <c r="B8" s="5"/>
      <c r="C8" s="65" t="s">
        <v>1125</v>
      </c>
      <c r="D8" s="65" t="s">
        <v>1126</v>
      </c>
      <c r="E8" s="65" t="s">
        <v>1127</v>
      </c>
      <c r="F8" s="65" t="s">
        <v>1128</v>
      </c>
      <c r="G8" s="65" t="s">
        <v>1129</v>
      </c>
      <c r="H8" s="65" t="s">
        <v>1130</v>
      </c>
      <c r="I8" s="65" t="s">
        <v>1131</v>
      </c>
      <c r="J8" s="65" t="s">
        <v>1132</v>
      </c>
      <c r="K8" s="65" t="s">
        <v>1133</v>
      </c>
      <c r="L8" s="1"/>
      <c r="M8" s="1"/>
    </row>
    <row r="9" spans="1:13" x14ac:dyDescent="0.35">
      <c r="A9" s="1"/>
      <c r="B9" s="5"/>
      <c r="C9" s="25" t="s">
        <v>1134</v>
      </c>
      <c r="D9" s="27">
        <v>0</v>
      </c>
      <c r="E9" s="27">
        <v>509.45499999999998</v>
      </c>
      <c r="F9" s="27">
        <v>0</v>
      </c>
      <c r="G9" s="27">
        <v>1001.77</v>
      </c>
      <c r="H9" s="27">
        <v>0</v>
      </c>
      <c r="I9" s="27">
        <v>0</v>
      </c>
      <c r="J9" s="27">
        <v>0</v>
      </c>
      <c r="K9" s="27">
        <v>0</v>
      </c>
      <c r="L9" s="1"/>
      <c r="M9" s="1"/>
    </row>
    <row r="10" spans="1:13" x14ac:dyDescent="0.35">
      <c r="A10" s="1"/>
      <c r="B10" s="5"/>
      <c r="C10" s="25" t="s">
        <v>1135</v>
      </c>
      <c r="D10" s="27">
        <v>0</v>
      </c>
      <c r="E10" s="27">
        <v>0</v>
      </c>
      <c r="F10" s="27">
        <v>0</v>
      </c>
      <c r="G10" s="27">
        <v>42122.530415000001</v>
      </c>
      <c r="H10" s="27">
        <v>109947.041341</v>
      </c>
      <c r="I10" s="27">
        <v>0</v>
      </c>
      <c r="J10" s="27">
        <v>2606.38031</v>
      </c>
      <c r="K10" s="27">
        <v>832556.37033599999</v>
      </c>
      <c r="L10" s="1"/>
      <c r="M10" s="1"/>
    </row>
    <row r="11" spans="1:13" x14ac:dyDescent="0.35">
      <c r="A11" s="1"/>
      <c r="B11" s="5"/>
      <c r="C11" s="25" t="s">
        <v>1136</v>
      </c>
      <c r="D11" s="27">
        <v>0</v>
      </c>
      <c r="E11" s="27">
        <v>0</v>
      </c>
      <c r="F11" s="27">
        <v>0</v>
      </c>
      <c r="G11" s="27">
        <v>470.44523299999997</v>
      </c>
      <c r="H11" s="27">
        <v>0</v>
      </c>
      <c r="I11" s="27">
        <v>0</v>
      </c>
      <c r="J11" s="27">
        <v>0</v>
      </c>
      <c r="K11" s="27">
        <v>2293.9490000000001</v>
      </c>
      <c r="L11" s="1"/>
      <c r="M11" s="1"/>
    </row>
    <row r="12" spans="1:13" x14ac:dyDescent="0.35">
      <c r="A12" s="1"/>
      <c r="B12" s="5"/>
      <c r="C12" s="25" t="s">
        <v>1137</v>
      </c>
      <c r="D12" s="27">
        <v>0</v>
      </c>
      <c r="E12" s="27">
        <v>5571.24</v>
      </c>
      <c r="F12" s="27">
        <v>0</v>
      </c>
      <c r="G12" s="27">
        <v>23048.97</v>
      </c>
      <c r="H12" s="27">
        <v>2676.9962300000002</v>
      </c>
      <c r="I12" s="27">
        <v>0</v>
      </c>
      <c r="J12" s="27">
        <v>0</v>
      </c>
      <c r="K12" s="27">
        <v>15587.096</v>
      </c>
      <c r="L12" s="1"/>
      <c r="M12" s="1"/>
    </row>
    <row r="13" spans="1:13" x14ac:dyDescent="0.35">
      <c r="A13" s="1"/>
      <c r="B13" s="5"/>
      <c r="C13" s="25" t="s">
        <v>1138</v>
      </c>
      <c r="D13" s="27">
        <v>0</v>
      </c>
      <c r="E13" s="27">
        <v>0</v>
      </c>
      <c r="F13" s="27">
        <v>0</v>
      </c>
      <c r="G13" s="27">
        <v>0</v>
      </c>
      <c r="H13" s="27">
        <v>20772.336619000002</v>
      </c>
      <c r="I13" s="27">
        <v>0</v>
      </c>
      <c r="J13" s="27">
        <v>0</v>
      </c>
      <c r="K13" s="27">
        <v>96276.58</v>
      </c>
      <c r="L13" s="1"/>
      <c r="M13" s="1"/>
    </row>
    <row r="14" spans="1:13" x14ac:dyDescent="0.35">
      <c r="A14" s="1"/>
      <c r="B14" s="5"/>
      <c r="C14" s="25" t="s">
        <v>1139</v>
      </c>
      <c r="D14" s="27">
        <v>0</v>
      </c>
      <c r="E14" s="27">
        <v>0</v>
      </c>
      <c r="F14" s="27">
        <v>0</v>
      </c>
      <c r="G14" s="27">
        <v>1500.165</v>
      </c>
      <c r="H14" s="27">
        <v>0</v>
      </c>
      <c r="I14" s="27">
        <v>0</v>
      </c>
      <c r="J14" s="27">
        <v>0</v>
      </c>
      <c r="K14" s="27">
        <v>206565.05867599999</v>
      </c>
      <c r="L14" s="1"/>
      <c r="M14" s="1"/>
    </row>
    <row r="15" spans="1:13" x14ac:dyDescent="0.35">
      <c r="A15" s="1"/>
      <c r="B15" s="5"/>
      <c r="C15" s="25" t="s">
        <v>1140</v>
      </c>
      <c r="D15" s="27">
        <v>0</v>
      </c>
      <c r="E15" s="27">
        <v>0</v>
      </c>
      <c r="F15" s="27">
        <v>0</v>
      </c>
      <c r="G15" s="27">
        <v>10043.280000000001</v>
      </c>
      <c r="H15" s="27">
        <v>888484.86961199995</v>
      </c>
      <c r="I15" s="27">
        <v>0</v>
      </c>
      <c r="J15" s="27">
        <v>0</v>
      </c>
      <c r="K15" s="27">
        <v>272374.61099999998</v>
      </c>
      <c r="L15" s="1"/>
      <c r="M15" s="1"/>
    </row>
    <row r="16" spans="1:13" x14ac:dyDescent="0.35">
      <c r="A16" s="1"/>
      <c r="B16" s="5"/>
      <c r="C16" s="25" t="s">
        <v>1141</v>
      </c>
      <c r="D16" s="27">
        <v>0</v>
      </c>
      <c r="E16" s="27">
        <v>0</v>
      </c>
      <c r="F16" s="27">
        <v>0</v>
      </c>
      <c r="G16" s="27">
        <v>44650.345999999998</v>
      </c>
      <c r="H16" s="27">
        <v>0</v>
      </c>
      <c r="I16" s="27">
        <v>0</v>
      </c>
      <c r="J16" s="27">
        <v>0</v>
      </c>
      <c r="K16" s="27">
        <v>185920.06520000001</v>
      </c>
      <c r="L16" s="1"/>
      <c r="M16" s="1"/>
    </row>
    <row r="17" spans="1:13" x14ac:dyDescent="0.35">
      <c r="A17" s="1"/>
      <c r="B17" s="5"/>
      <c r="C17" s="25" t="s">
        <v>1142</v>
      </c>
      <c r="D17" s="27">
        <v>0</v>
      </c>
      <c r="E17" s="27">
        <v>0</v>
      </c>
      <c r="F17" s="27">
        <v>0</v>
      </c>
      <c r="G17" s="27">
        <v>3518.7750000000001</v>
      </c>
      <c r="H17" s="27">
        <v>0</v>
      </c>
      <c r="I17" s="27">
        <v>0</v>
      </c>
      <c r="J17" s="27">
        <v>0</v>
      </c>
      <c r="K17" s="27">
        <v>0</v>
      </c>
      <c r="L17" s="1"/>
      <c r="M17" s="1"/>
    </row>
    <row r="18" spans="1:13" x14ac:dyDescent="0.35">
      <c r="A18" s="1"/>
      <c r="B18" s="5"/>
      <c r="C18" s="25" t="s">
        <v>1143</v>
      </c>
      <c r="D18" s="27">
        <v>0</v>
      </c>
      <c r="E18" s="27">
        <v>505.32499999999999</v>
      </c>
      <c r="F18" s="27">
        <v>0</v>
      </c>
      <c r="G18" s="27">
        <v>21614.618999999999</v>
      </c>
      <c r="H18" s="27">
        <v>855.19940699999995</v>
      </c>
      <c r="I18" s="27">
        <v>0</v>
      </c>
      <c r="J18" s="27">
        <v>0</v>
      </c>
      <c r="K18" s="27">
        <v>528.50900000000001</v>
      </c>
      <c r="L18" s="1"/>
      <c r="M18" s="1"/>
    </row>
    <row r="19" spans="1:13" x14ac:dyDescent="0.35">
      <c r="A19" s="1"/>
      <c r="B19" s="5"/>
      <c r="C19" s="25" t="s">
        <v>1144</v>
      </c>
      <c r="D19" s="27">
        <v>0</v>
      </c>
      <c r="E19" s="27">
        <v>0</v>
      </c>
      <c r="F19" s="27">
        <v>0</v>
      </c>
      <c r="G19" s="27">
        <v>52303.41</v>
      </c>
      <c r="H19" s="27">
        <v>12585.449572</v>
      </c>
      <c r="I19" s="27">
        <v>0</v>
      </c>
      <c r="J19" s="27">
        <v>0</v>
      </c>
      <c r="K19" s="27">
        <v>114974.09</v>
      </c>
      <c r="L19" s="1"/>
      <c r="M19" s="1"/>
    </row>
    <row r="20" spans="1:13" x14ac:dyDescent="0.35">
      <c r="A20" s="1"/>
      <c r="B20" s="5"/>
      <c r="C20" s="25" t="s">
        <v>1145</v>
      </c>
      <c r="D20" s="27">
        <v>364.663658</v>
      </c>
      <c r="E20" s="27">
        <v>2412.1141600000001</v>
      </c>
      <c r="F20" s="27">
        <v>0</v>
      </c>
      <c r="G20" s="27">
        <v>15328.428760000001</v>
      </c>
      <c r="H20" s="27">
        <v>50.142696000000001</v>
      </c>
      <c r="I20" s="27">
        <v>17.407230999999999</v>
      </c>
      <c r="J20" s="27">
        <v>0</v>
      </c>
      <c r="K20" s="27">
        <v>0</v>
      </c>
      <c r="L20" s="1"/>
      <c r="M20" s="1"/>
    </row>
    <row r="21" spans="1:13" x14ac:dyDescent="0.35">
      <c r="A21" s="1"/>
      <c r="B21" s="5"/>
      <c r="C21" s="25" t="s">
        <v>1146</v>
      </c>
      <c r="D21" s="27">
        <v>0</v>
      </c>
      <c r="E21" s="27">
        <v>2560.56</v>
      </c>
      <c r="F21" s="27">
        <v>2010.47</v>
      </c>
      <c r="G21" s="27">
        <v>76329.607999999993</v>
      </c>
      <c r="H21" s="27">
        <v>148809.75466899999</v>
      </c>
      <c r="I21" s="27">
        <v>0</v>
      </c>
      <c r="J21" s="27">
        <v>54937.872090999997</v>
      </c>
      <c r="K21" s="27">
        <v>305281.89810400002</v>
      </c>
      <c r="L21" s="1"/>
      <c r="M21" s="1"/>
    </row>
    <row r="22" spans="1:13" x14ac:dyDescent="0.35">
      <c r="A22" s="1"/>
      <c r="B22" s="5"/>
      <c r="C22" s="25" t="s">
        <v>1147</v>
      </c>
      <c r="D22" s="27">
        <v>0</v>
      </c>
      <c r="E22" s="27">
        <v>8042.2735499999999</v>
      </c>
      <c r="F22" s="27">
        <v>0</v>
      </c>
      <c r="G22" s="27">
        <v>39391.048459999998</v>
      </c>
      <c r="H22" s="27">
        <v>30517.794924000002</v>
      </c>
      <c r="I22" s="27">
        <v>0</v>
      </c>
      <c r="J22" s="27">
        <v>55975.567776999997</v>
      </c>
      <c r="K22" s="27">
        <v>202675.70300000001</v>
      </c>
      <c r="L22" s="1"/>
      <c r="M22" s="1"/>
    </row>
    <row r="23" spans="1:13" x14ac:dyDescent="0.35">
      <c r="A23" s="1"/>
      <c r="B23" s="5"/>
      <c r="C23" s="19" t="s">
        <v>609</v>
      </c>
      <c r="D23" s="66">
        <v>364.663658</v>
      </c>
      <c r="E23" s="66">
        <v>19600.967710000001</v>
      </c>
      <c r="F23" s="66">
        <v>2010.47</v>
      </c>
      <c r="G23" s="66">
        <v>331323.39586799999</v>
      </c>
      <c r="H23" s="66">
        <v>1214699.58507</v>
      </c>
      <c r="I23" s="66">
        <v>17.407230999999999</v>
      </c>
      <c r="J23" s="66">
        <v>113519.82017799999</v>
      </c>
      <c r="K23" s="66">
        <v>2235033.9303159998</v>
      </c>
      <c r="L23" s="1"/>
      <c r="M23" s="1"/>
    </row>
    <row r="24" spans="1:13" ht="29.25" customHeight="1" x14ac:dyDescent="0.35">
      <c r="A24" s="1"/>
      <c r="B24" s="5"/>
      <c r="C24" s="1"/>
      <c r="D24" s="1"/>
      <c r="E24" s="1"/>
      <c r="F24" s="1"/>
      <c r="G24" s="1"/>
      <c r="H24" s="1"/>
      <c r="I24" s="1"/>
      <c r="J24" s="1"/>
      <c r="K24" s="6"/>
      <c r="L24" s="1"/>
      <c r="M24" s="1"/>
    </row>
    <row r="25" spans="1:13" ht="18" x14ac:dyDescent="0.35">
      <c r="A25" s="1"/>
      <c r="B25" s="5"/>
      <c r="C25" s="18" t="s">
        <v>1148</v>
      </c>
      <c r="D25" s="1"/>
      <c r="E25" s="1"/>
      <c r="F25" s="1"/>
      <c r="G25" s="1"/>
      <c r="H25" s="1"/>
      <c r="I25" s="1"/>
      <c r="J25" s="1"/>
      <c r="K25" s="6"/>
      <c r="L25" s="1"/>
      <c r="M25" s="1"/>
    </row>
    <row r="26" spans="1:13" ht="21.4" customHeight="1" x14ac:dyDescent="0.35">
      <c r="A26" s="1"/>
      <c r="B26" s="5"/>
      <c r="C26" s="1"/>
      <c r="D26" s="1"/>
      <c r="E26" s="1"/>
      <c r="F26" s="1"/>
      <c r="G26" s="1"/>
      <c r="H26" s="1"/>
      <c r="I26" s="1"/>
      <c r="J26" s="1"/>
      <c r="K26" s="6"/>
      <c r="L26" s="1"/>
      <c r="M26" s="1"/>
    </row>
    <row r="27" spans="1:13" ht="42" x14ac:dyDescent="0.35">
      <c r="A27" s="1"/>
      <c r="B27" s="5"/>
      <c r="C27" s="64" t="s">
        <v>5</v>
      </c>
      <c r="D27" s="34" t="s">
        <v>1118</v>
      </c>
      <c r="E27" s="34" t="s">
        <v>1119</v>
      </c>
      <c r="F27" s="34" t="s">
        <v>1120</v>
      </c>
      <c r="G27" s="34" t="s">
        <v>1121</v>
      </c>
      <c r="H27" s="34" t="s">
        <v>1122</v>
      </c>
      <c r="I27" s="34" t="s">
        <v>1123</v>
      </c>
      <c r="J27" s="34" t="s">
        <v>1124</v>
      </c>
      <c r="K27" s="34" t="s">
        <v>1107</v>
      </c>
      <c r="L27" s="1"/>
      <c r="M27" s="1"/>
    </row>
    <row r="28" spans="1:13" ht="42" x14ac:dyDescent="0.35">
      <c r="A28" s="1"/>
      <c r="B28" s="5"/>
      <c r="C28" s="65" t="s">
        <v>1125</v>
      </c>
      <c r="D28" s="65" t="s">
        <v>1126</v>
      </c>
      <c r="E28" s="65" t="s">
        <v>1127</v>
      </c>
      <c r="F28" s="65" t="s">
        <v>1128</v>
      </c>
      <c r="G28" s="65" t="s">
        <v>1129</v>
      </c>
      <c r="H28" s="65" t="s">
        <v>1130</v>
      </c>
      <c r="I28" s="65" t="s">
        <v>1131</v>
      </c>
      <c r="J28" s="65" t="s">
        <v>1132</v>
      </c>
      <c r="K28" s="65" t="s">
        <v>1133</v>
      </c>
      <c r="L28" s="1"/>
      <c r="M28" s="1"/>
    </row>
    <row r="29" spans="1:13" x14ac:dyDescent="0.35">
      <c r="A29" s="1"/>
      <c r="B29" s="5"/>
      <c r="C29" s="25" t="s">
        <v>1134</v>
      </c>
      <c r="D29" s="27">
        <v>0</v>
      </c>
      <c r="E29" s="27">
        <v>0</v>
      </c>
      <c r="F29" s="27">
        <v>0</v>
      </c>
      <c r="G29" s="27">
        <v>0</v>
      </c>
      <c r="H29" s="27">
        <v>0</v>
      </c>
      <c r="I29" s="27">
        <v>0</v>
      </c>
      <c r="J29" s="27">
        <v>915.02167199999997</v>
      </c>
      <c r="K29" s="27">
        <v>0</v>
      </c>
      <c r="L29" s="1"/>
      <c r="M29" s="1"/>
    </row>
    <row r="30" spans="1:13" x14ac:dyDescent="0.35">
      <c r="A30" s="1"/>
      <c r="B30" s="5"/>
      <c r="C30" s="25" t="s">
        <v>1135</v>
      </c>
      <c r="D30" s="27">
        <v>0</v>
      </c>
      <c r="E30" s="27">
        <v>0</v>
      </c>
      <c r="F30" s="27">
        <v>0</v>
      </c>
      <c r="G30" s="27">
        <v>10105.549999999999</v>
      </c>
      <c r="H30" s="27">
        <v>763700.96131299995</v>
      </c>
      <c r="I30" s="27">
        <v>0</v>
      </c>
      <c r="J30" s="27">
        <v>671.74440300000003</v>
      </c>
      <c r="K30" s="27">
        <v>1016674.1436759999</v>
      </c>
      <c r="L30" s="1"/>
      <c r="M30" s="1"/>
    </row>
    <row r="31" spans="1:13" x14ac:dyDescent="0.35">
      <c r="A31" s="1"/>
      <c r="B31" s="5"/>
      <c r="C31" s="25" t="s">
        <v>1137</v>
      </c>
      <c r="D31" s="27">
        <v>0</v>
      </c>
      <c r="E31" s="27">
        <v>0</v>
      </c>
      <c r="F31" s="27">
        <v>0</v>
      </c>
      <c r="G31" s="27">
        <v>28203.78</v>
      </c>
      <c r="H31" s="27">
        <v>0</v>
      </c>
      <c r="I31" s="27">
        <v>0</v>
      </c>
      <c r="J31" s="27">
        <v>0</v>
      </c>
      <c r="K31" s="27">
        <v>22246.044000000002</v>
      </c>
      <c r="L31" s="1"/>
      <c r="M31" s="1"/>
    </row>
    <row r="32" spans="1:13" x14ac:dyDescent="0.35">
      <c r="A32" s="1"/>
      <c r="B32" s="5"/>
      <c r="C32" s="25" t="s">
        <v>1138</v>
      </c>
      <c r="D32" s="27">
        <v>0</v>
      </c>
      <c r="E32" s="27">
        <v>0</v>
      </c>
      <c r="F32" s="27">
        <v>1004.41</v>
      </c>
      <c r="G32" s="27">
        <v>2550.1</v>
      </c>
      <c r="H32" s="27">
        <v>221561.73766000001</v>
      </c>
      <c r="I32" s="27">
        <v>0</v>
      </c>
      <c r="J32" s="27">
        <v>0</v>
      </c>
      <c r="K32" s="27">
        <v>220270.7072</v>
      </c>
      <c r="L32" s="1"/>
      <c r="M32" s="1"/>
    </row>
    <row r="33" spans="1:13" x14ac:dyDescent="0.35">
      <c r="A33" s="1"/>
      <c r="B33" s="5"/>
      <c r="C33" s="25" t="s">
        <v>1139</v>
      </c>
      <c r="D33" s="27">
        <v>0</v>
      </c>
      <c r="E33" s="27">
        <v>0</v>
      </c>
      <c r="F33" s="27">
        <v>0</v>
      </c>
      <c r="G33" s="27">
        <v>1506.75</v>
      </c>
      <c r="H33" s="27">
        <v>14510.81237</v>
      </c>
      <c r="I33" s="27">
        <v>0</v>
      </c>
      <c r="J33" s="27">
        <v>5379.1390000000001</v>
      </c>
      <c r="K33" s="27">
        <v>31266.828000000001</v>
      </c>
      <c r="L33" s="1"/>
      <c r="M33" s="1"/>
    </row>
    <row r="34" spans="1:13" x14ac:dyDescent="0.35">
      <c r="A34" s="1"/>
      <c r="B34" s="5"/>
      <c r="C34" s="25" t="s">
        <v>1140</v>
      </c>
      <c r="D34" s="27">
        <v>0</v>
      </c>
      <c r="E34" s="27">
        <v>0</v>
      </c>
      <c r="F34" s="27">
        <v>0</v>
      </c>
      <c r="G34" s="27">
        <v>4424.01</v>
      </c>
      <c r="H34" s="27">
        <v>27302.580310000001</v>
      </c>
      <c r="I34" s="27">
        <v>0</v>
      </c>
      <c r="J34" s="27">
        <v>0</v>
      </c>
      <c r="K34" s="27">
        <v>504229.87939999998</v>
      </c>
      <c r="L34" s="1"/>
      <c r="M34" s="1"/>
    </row>
    <row r="35" spans="1:13" x14ac:dyDescent="0.35">
      <c r="A35" s="1"/>
      <c r="B35" s="5"/>
      <c r="C35" s="25" t="s">
        <v>1141</v>
      </c>
      <c r="D35" s="27">
        <v>0</v>
      </c>
      <c r="E35" s="27">
        <v>0</v>
      </c>
      <c r="F35" s="27">
        <v>0</v>
      </c>
      <c r="G35" s="27">
        <v>37586.535000000003</v>
      </c>
      <c r="H35" s="27">
        <v>190.48147599999999</v>
      </c>
      <c r="I35" s="27">
        <v>0</v>
      </c>
      <c r="J35" s="27">
        <v>0</v>
      </c>
      <c r="K35" s="27">
        <v>179731.4633</v>
      </c>
      <c r="L35" s="1"/>
      <c r="M35" s="1"/>
    </row>
    <row r="36" spans="1:13" x14ac:dyDescent="0.35">
      <c r="A36" s="1"/>
      <c r="B36" s="5"/>
      <c r="C36" s="25" t="s">
        <v>1143</v>
      </c>
      <c r="D36" s="27">
        <v>0</v>
      </c>
      <c r="E36" s="27">
        <v>0</v>
      </c>
      <c r="F36" s="27">
        <v>0</v>
      </c>
      <c r="G36" s="27">
        <v>26601.514999999999</v>
      </c>
      <c r="H36" s="27">
        <v>0</v>
      </c>
      <c r="I36" s="27">
        <v>0</v>
      </c>
      <c r="J36" s="27">
        <v>0</v>
      </c>
      <c r="K36" s="27">
        <v>11746.2675</v>
      </c>
      <c r="L36" s="1"/>
      <c r="M36" s="1"/>
    </row>
    <row r="37" spans="1:13" x14ac:dyDescent="0.35">
      <c r="A37" s="1"/>
      <c r="B37" s="5"/>
      <c r="C37" s="25" t="s">
        <v>1144</v>
      </c>
      <c r="D37" s="27">
        <v>0</v>
      </c>
      <c r="E37" s="27">
        <v>2560.56</v>
      </c>
      <c r="F37" s="27">
        <v>0</v>
      </c>
      <c r="G37" s="27">
        <v>13572.924999999999</v>
      </c>
      <c r="H37" s="27">
        <v>20772.128798000002</v>
      </c>
      <c r="I37" s="27">
        <v>0</v>
      </c>
      <c r="J37" s="27">
        <v>0</v>
      </c>
      <c r="K37" s="27">
        <v>19986.336500000001</v>
      </c>
      <c r="L37" s="1"/>
      <c r="M37" s="1"/>
    </row>
    <row r="38" spans="1:13" x14ac:dyDescent="0.35">
      <c r="A38" s="1"/>
      <c r="B38" s="5"/>
      <c r="C38" s="25" t="s">
        <v>1145</v>
      </c>
      <c r="D38" s="27">
        <v>0</v>
      </c>
      <c r="E38" s="27">
        <v>0</v>
      </c>
      <c r="F38" s="27">
        <v>0</v>
      </c>
      <c r="G38" s="27">
        <v>1876.100535</v>
      </c>
      <c r="H38" s="27">
        <v>0</v>
      </c>
      <c r="I38" s="27">
        <v>17.407230999999999</v>
      </c>
      <c r="J38" s="27">
        <v>209.83539200000001</v>
      </c>
      <c r="K38" s="27">
        <v>3720.4524999999999</v>
      </c>
      <c r="L38" s="1"/>
      <c r="M38" s="1"/>
    </row>
    <row r="39" spans="1:13" x14ac:dyDescent="0.35">
      <c r="A39" s="1"/>
      <c r="B39" s="5"/>
      <c r="C39" s="25" t="s">
        <v>1146</v>
      </c>
      <c r="D39" s="27">
        <v>364.663658</v>
      </c>
      <c r="E39" s="27">
        <v>17040.407709999999</v>
      </c>
      <c r="F39" s="27">
        <v>1006.06</v>
      </c>
      <c r="G39" s="27">
        <v>142265.53733299999</v>
      </c>
      <c r="H39" s="27">
        <v>137074.69477100001</v>
      </c>
      <c r="I39" s="27">
        <v>0</v>
      </c>
      <c r="J39" s="27">
        <v>55975.567776999997</v>
      </c>
      <c r="K39" s="27">
        <v>169843.43530000001</v>
      </c>
      <c r="L39" s="1"/>
      <c r="M39" s="1"/>
    </row>
    <row r="40" spans="1:13" x14ac:dyDescent="0.35">
      <c r="A40" s="1"/>
      <c r="B40" s="5"/>
      <c r="C40" s="25" t="s">
        <v>1147</v>
      </c>
      <c r="D40" s="27">
        <v>0</v>
      </c>
      <c r="E40" s="27">
        <v>0</v>
      </c>
      <c r="F40" s="27">
        <v>0</v>
      </c>
      <c r="G40" s="27">
        <v>62630.593000000001</v>
      </c>
      <c r="H40" s="27">
        <v>29586.188372000001</v>
      </c>
      <c r="I40" s="27">
        <v>0</v>
      </c>
      <c r="J40" s="27">
        <v>50368.511934000002</v>
      </c>
      <c r="K40" s="27">
        <v>55318.372940000001</v>
      </c>
      <c r="L40" s="1"/>
      <c r="M40" s="1"/>
    </row>
    <row r="41" spans="1:13" x14ac:dyDescent="0.35">
      <c r="A41" s="1"/>
      <c r="B41" s="9"/>
      <c r="C41" s="19" t="s">
        <v>609</v>
      </c>
      <c r="D41" s="66">
        <v>364.663658</v>
      </c>
      <c r="E41" s="66">
        <v>19600.967710000001</v>
      </c>
      <c r="F41" s="66">
        <v>2010.47</v>
      </c>
      <c r="G41" s="66">
        <v>331323.39586799999</v>
      </c>
      <c r="H41" s="66">
        <v>1214699.58507</v>
      </c>
      <c r="I41" s="66">
        <v>17.407230999999999</v>
      </c>
      <c r="J41" s="66">
        <v>113519.82017799999</v>
      </c>
      <c r="K41" s="66">
        <v>2235033.9303159998</v>
      </c>
      <c r="L41" s="1"/>
      <c r="M41"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7"/>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1149</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656</v>
      </c>
      <c r="E7" s="23" t="s">
        <v>1150</v>
      </c>
      <c r="F7" s="23" t="s">
        <v>1106</v>
      </c>
      <c r="G7" s="23" t="s">
        <v>1151</v>
      </c>
      <c r="H7" s="23" t="s">
        <v>1152</v>
      </c>
      <c r="I7" s="23" t="s">
        <v>1153</v>
      </c>
      <c r="J7" s="23" t="s">
        <v>1154</v>
      </c>
      <c r="K7" s="23" t="s">
        <v>1155</v>
      </c>
      <c r="L7" s="6"/>
      <c r="M7" s="1"/>
      <c r="N7" s="1"/>
    </row>
    <row r="8" spans="1:14" x14ac:dyDescent="0.35">
      <c r="A8" s="1"/>
      <c r="B8" s="5"/>
      <c r="C8" s="25" t="s">
        <v>1156</v>
      </c>
      <c r="D8" s="50">
        <v>2776.15</v>
      </c>
      <c r="E8" s="50">
        <v>1040</v>
      </c>
      <c r="F8" s="50">
        <v>12</v>
      </c>
      <c r="G8" s="37">
        <v>2670</v>
      </c>
      <c r="H8" s="36">
        <v>2.6133743274404202E-2</v>
      </c>
      <c r="I8" s="37">
        <v>2636</v>
      </c>
      <c r="J8" s="37">
        <v>2679</v>
      </c>
      <c r="K8" s="25">
        <f>VLOOKUP(C8,[1]Table1!$A$1:$J$6,9,0)</f>
        <v>8270</v>
      </c>
      <c r="L8" s="6"/>
      <c r="M8" s="1"/>
      <c r="N8" s="1"/>
    </row>
    <row r="9" spans="1:14" x14ac:dyDescent="0.35">
      <c r="A9" s="1"/>
      <c r="B9" s="5"/>
      <c r="C9" s="25" t="s">
        <v>1157</v>
      </c>
      <c r="D9" s="50">
        <v>615.56700000000001</v>
      </c>
      <c r="E9" s="50">
        <v>9</v>
      </c>
      <c r="F9" s="50">
        <v>2</v>
      </c>
      <c r="G9" s="37">
        <v>68443</v>
      </c>
      <c r="H9" s="36">
        <v>3.3570821239041798E-3</v>
      </c>
      <c r="I9" s="37">
        <v>68338</v>
      </c>
      <c r="J9" s="37">
        <v>68443</v>
      </c>
      <c r="K9" s="25">
        <f>VLOOKUP(C9,[1]Table1!$A$1:$J$6,9,0)</f>
        <v>124</v>
      </c>
      <c r="L9" s="6"/>
      <c r="M9" s="1"/>
      <c r="N9" s="1"/>
    </row>
    <row r="10" spans="1:14" x14ac:dyDescent="0.35">
      <c r="A10" s="1"/>
      <c r="B10" s="5"/>
      <c r="C10" s="25" t="s">
        <v>1158</v>
      </c>
      <c r="D10" s="50">
        <v>115588.6835</v>
      </c>
      <c r="E10" s="50">
        <v>706</v>
      </c>
      <c r="F10" s="50">
        <v>37</v>
      </c>
      <c r="G10" s="37">
        <v>3287.5</v>
      </c>
      <c r="H10" s="36">
        <v>3.69420528790365E-3</v>
      </c>
      <c r="I10" s="37">
        <v>3249.47</v>
      </c>
      <c r="J10" s="37">
        <v>3288.5</v>
      </c>
      <c r="K10" s="25">
        <f>VLOOKUP(C10,[1]Table1!$A$1:$J$6,9,0)</f>
        <v>20219</v>
      </c>
      <c r="L10" s="6"/>
      <c r="M10" s="1"/>
      <c r="N10" s="1"/>
    </row>
    <row r="11" spans="1:14" x14ac:dyDescent="0.35">
      <c r="A11" s="1"/>
      <c r="B11" s="5"/>
      <c r="C11" s="25" t="s">
        <v>1159</v>
      </c>
      <c r="D11" s="50">
        <v>658.35350000000005</v>
      </c>
      <c r="E11" s="50">
        <v>4</v>
      </c>
      <c r="F11" s="50">
        <v>2</v>
      </c>
      <c r="G11" s="37">
        <v>3295.69</v>
      </c>
      <c r="H11" s="36">
        <v>6.1639444359640203E-3</v>
      </c>
      <c r="I11" s="37">
        <v>3280</v>
      </c>
      <c r="J11" s="37">
        <v>3295.69</v>
      </c>
      <c r="K11" s="25">
        <f>VLOOKUP(C11,[1]Table1!$A$1:$J$6,9,0)</f>
        <v>4685</v>
      </c>
      <c r="L11" s="6"/>
      <c r="M11" s="1"/>
      <c r="N11" s="1"/>
    </row>
    <row r="12" spans="1:14" x14ac:dyDescent="0.35">
      <c r="A12" s="1"/>
      <c r="B12" s="5"/>
      <c r="C12" s="25" t="s">
        <v>1160</v>
      </c>
      <c r="D12" s="50">
        <v>978.03</v>
      </c>
      <c r="E12" s="50">
        <v>300</v>
      </c>
      <c r="F12" s="50">
        <v>1</v>
      </c>
      <c r="G12" s="37">
        <v>3260.1</v>
      </c>
      <c r="H12" s="36">
        <v>-2.47980855518996E-2</v>
      </c>
      <c r="I12" s="37">
        <v>3260.1</v>
      </c>
      <c r="J12" s="37">
        <v>3260.1</v>
      </c>
      <c r="K12" s="25">
        <f>VLOOKUP(C12,[1]Table1!$A$1:$J$6,9,0)</f>
        <v>12563</v>
      </c>
      <c r="L12" s="6"/>
      <c r="M12" s="1"/>
      <c r="N12" s="1"/>
    </row>
    <row r="13" spans="1:14" ht="27.4" customHeight="1" x14ac:dyDescent="0.35">
      <c r="A13" s="1"/>
      <c r="B13" s="5"/>
      <c r="C13" s="1"/>
      <c r="D13" s="1"/>
      <c r="E13" s="1"/>
      <c r="F13" s="1"/>
      <c r="G13" s="1"/>
      <c r="H13" s="1"/>
      <c r="I13" s="1"/>
      <c r="J13" s="1"/>
      <c r="K13" s="1"/>
      <c r="L13" s="6"/>
      <c r="M13" s="1"/>
      <c r="N13" s="1"/>
    </row>
    <row r="14" spans="1:14" ht="18" customHeight="1" x14ac:dyDescent="0.35">
      <c r="A14" s="1"/>
      <c r="B14" s="5"/>
      <c r="C14" s="91" t="s">
        <v>1161</v>
      </c>
      <c r="D14" s="67"/>
      <c r="E14" s="67"/>
      <c r="F14" s="1"/>
      <c r="G14" s="1"/>
      <c r="H14" s="1"/>
      <c r="I14" s="1"/>
      <c r="J14" s="1"/>
      <c r="K14" s="1"/>
      <c r="L14" s="6"/>
      <c r="M14" s="1"/>
      <c r="N14" s="1"/>
    </row>
    <row r="15" spans="1:14" ht="18" customHeight="1" x14ac:dyDescent="0.35">
      <c r="A15" s="1"/>
      <c r="B15" s="5"/>
      <c r="C15" s="1"/>
      <c r="D15" s="1"/>
      <c r="E15" s="1"/>
      <c r="F15" s="1"/>
      <c r="G15" s="1"/>
      <c r="H15" s="1"/>
      <c r="I15" s="1"/>
      <c r="J15" s="1"/>
      <c r="K15" s="1"/>
      <c r="L15" s="6"/>
      <c r="M15" s="1"/>
      <c r="N15" s="1"/>
    </row>
    <row r="16" spans="1:14" ht="26" x14ac:dyDescent="0.35">
      <c r="A16" s="1"/>
      <c r="B16" s="9"/>
      <c r="C16" s="23" t="s">
        <v>328</v>
      </c>
      <c r="D16" s="23" t="s">
        <v>656</v>
      </c>
      <c r="E16" s="23" t="s">
        <v>1150</v>
      </c>
      <c r="F16" s="23" t="s">
        <v>1106</v>
      </c>
      <c r="G16" s="23" t="s">
        <v>1151</v>
      </c>
      <c r="H16" s="23" t="s">
        <v>1152</v>
      </c>
      <c r="I16" s="23" t="s">
        <v>1153</v>
      </c>
      <c r="J16" s="23" t="s">
        <v>1154</v>
      </c>
      <c r="K16" s="23" t="s">
        <v>1155</v>
      </c>
      <c r="L16" s="11"/>
      <c r="M16" s="1"/>
      <c r="N16" s="1"/>
    </row>
    <row r="17" ht="0" hidden="1" customHeight="1" x14ac:dyDescent="0.35"/>
  </sheetData>
  <mergeCells count="3">
    <mergeCell ref="C3:K3"/>
    <mergeCell ref="C5:E5"/>
    <mergeCell ref="C14:E14"/>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2026-07-15T12:31:39Z</dcterms:created>
  <dcterms:modified xsi:type="dcterms:W3CDTF">2026-07-15T12:31:39Z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