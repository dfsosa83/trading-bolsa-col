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2/"/>
    </mc:Choice>
  </mc:AlternateContent>
  <xr:revisionPtr revIDLastSave="0" documentId="8_{6F947058-B185-40E4-A7D0-C92DDF89E3DE}"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externalReferences>
    <externalReference r:id="rId2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4" l="1"/>
  <c r="K10" i="24"/>
  <c r="K11" i="24"/>
  <c r="K12" i="24"/>
  <c r="K13" i="24"/>
  <c r="K14" i="24"/>
  <c r="K15" i="24"/>
  <c r="K16" i="24"/>
  <c r="K17" i="24"/>
  <c r="K18" i="24"/>
  <c r="K19" i="24"/>
  <c r="K20" i="24"/>
  <c r="K8" i="24"/>
</calcChain>
</file>

<file path=xl/sharedStrings.xml><?xml version="1.0" encoding="utf-8"?>
<sst xmlns="http://schemas.openxmlformats.org/spreadsheetml/2006/main" count="3324" uniqueCount="1226">
  <si>
    <t>Centro de Información Bursátil / Market Information Center</t>
  </si>
  <si>
    <t>Boletín diario / Daily Report</t>
  </si>
  <si>
    <r>
      <rPr>
        <b/>
        <sz val="14"/>
        <color rgb="FF4B0082"/>
        <rFont val="Arial"/>
      </rPr>
      <t xml:space="preserve">Rueda N / Board N: </t>
    </r>
    <r>
      <rPr>
        <b/>
        <sz val="14"/>
        <color rgb="FF4B0082"/>
        <rFont val="Arial"/>
      </rPr>
      <t>147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</si>
  <si>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</si>
  <si>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</si>
  <si>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</si>
  <si>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</si>
  <si>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</si>
  <si>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</si>
  <si>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</si>
  <si>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</si>
  <si>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</si>
  <si>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</si>
  <si>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</si>
  <si>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</si>
  <si>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</si>
  <si>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</si>
  <si>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</si>
  <si>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</si>
  <si>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</si>
  <si>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</si>
  <si>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</si>
  <si>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</si>
  <si>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</si>
  <si>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</si>
  <si>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</si>
  <si>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</si>
  <si>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</si>
  <si>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</si>
  <si>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</si>
  <si>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</si>
  <si>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</si>
  <si>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</si>
  <si>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</si>
  <si>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</si>
  <si>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</si>
  <si>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</si>
  <si>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</si>
  <si>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</si>
  <si>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</si>
  <si>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</si>
  <si>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</si>
  <si>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</si>
  <si>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</si>
  <si>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</si>
  <si>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</si>
  <si>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</si>
  <si>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</si>
  <si>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</si>
  <si>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</si>
  <si>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</si>
  <si>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</si>
  <si>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</si>
  <si>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</si>
  <si>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</si>
  <si>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</si>
  <si>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</si>
  <si>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</si>
  <si>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</si>
  <si>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</si>
  <si>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</si>
  <si>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</si>
  <si>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</si>
  <si>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</si>
  <si>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</si>
  <si>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</si>
  <si>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</si>
  <si>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</si>
  <si>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</si>
  <si>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</si>
  <si>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</si>
  <si>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</si>
  <si>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</si>
  <si>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</si>
  <si>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</si>
  <si>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</si>
  <si>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</si>
  <si>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</si>
  <si>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</si>
  <si>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</si>
  <si>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</si>
  <si>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</si>
  <si>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</si>
  <si>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</si>
  <si>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</si>
  <si>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</si>
  <si>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</si>
  <si>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</si>
  <si>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</si>
  <si>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</si>
  <si>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</si>
  <si>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</si>
  <si>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</si>
  <si>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</si>
  <si>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</si>
  <si>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</si>
  <si>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</si>
  <si>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</si>
  <si>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</si>
  <si>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</si>
  <si>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</si>
  <si>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</si>
  <si>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</si>
  <si>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</si>
  <si>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</si>
  <si>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</si>
  <si>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</si>
  <si>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</si>
  <si>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</si>
  <si>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</si>
  <si>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</si>
  <si>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</si>
  <si>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</si>
  <si>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</si>
  <si>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</si>
  <si>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</si>
  <si>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</si>
  <si>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</si>
  <si>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</si>
  <si>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</si>
  <si>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</si>
  <si>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</si>
  <si>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</si>
  <si>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</si>
  <si>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</si>
  <si>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</si>
  <si>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</si>
  <si>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</si>
  <si>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</si>
  <si>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</si>
  <si>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</si>
  <si>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</si>
  <si>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</si>
  <si>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</si>
  <si>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</si>
  <si>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</si>
  <si>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</si>
  <si>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</si>
  <si>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</si>
  <si>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</si>
  <si>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</si>
  <si>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</si>
  <si>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</si>
  <si>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</si>
  <si>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</si>
  <si>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</si>
  <si>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</si>
  <si>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</si>
  <si>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</si>
  <si>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</si>
  <si>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</si>
  <si>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</si>
  <si>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</si>
  <si>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</si>
  <si>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</si>
  <si>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</si>
  <si>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</si>
  <si>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</si>
  <si>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</si>
  <si>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</si>
  <si>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</si>
  <si>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</si>
  <si>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</si>
  <si>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</si>
  <si>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</si>
  <si>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</si>
  <si>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</si>
  <si>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</si>
  <si>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</si>
  <si>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</si>
  <si>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</si>
  <si>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</si>
  <si>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</si>
  <si>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</si>
  <si>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</si>
  <si>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</si>
  <si>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</si>
  <si>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</si>
  <si>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</si>
  <si>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</si>
  <si>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</si>
  <si>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</si>
  <si>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</si>
  <si>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</si>
  <si>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</si>
  <si>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</si>
  <si>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</si>
  <si>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</si>
  <si>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</si>
  <si>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</si>
  <si>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</si>
  <si>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</si>
  <si>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</si>
  <si>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</si>
  <si>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</si>
  <si>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</si>
  <si>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</si>
  <si>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</si>
  <si>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</si>
  <si>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</si>
  <si>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</si>
  <si>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</si>
  <si>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</si>
  <si>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</si>
  <si>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</si>
  <si>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</si>
  <si>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</si>
  <si>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</si>
  <si>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</si>
  <si>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</si>
  <si>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</si>
  <si>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</si>
  <si>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</si>
  <si>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</si>
  <si>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</si>
  <si>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</si>
  <si>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</si>
  <si>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</si>
  <si>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</si>
  <si>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</si>
  <si>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</si>
  <si>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</si>
  <si>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</si>
  <si>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</si>
  <si>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</si>
  <si>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</si>
  <si>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</si>
  <si>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</si>
  <si>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</si>
  <si>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</si>
  <si>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</si>
  <si>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</si>
  <si>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</si>
  <si>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</si>
  <si>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</si>
  <si>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</si>
  <si>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</si>
  <si>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</si>
  <si>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</si>
  <si>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</si>
  <si>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</si>
  <si>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</si>
  <si>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</si>
  <si>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</si>
  <si>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</si>
  <si>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</si>
  <si>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</si>
  <si>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</si>
  <si>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</si>
  <si>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</si>
  <si>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</si>
  <si>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</si>
  <si>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</si>
  <si>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</si>
  <si>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</si>
  <si>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</si>
  <si>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</si>
  <si>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</si>
  <si>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</si>
  <si>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</si>
  <si>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</si>
  <si>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</si>
  <si>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</si>
  <si>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</si>
  <si>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</si>
  <si>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</si>
  <si>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</si>
  <si>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</si>
  <si>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</si>
  <si>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</si>
  <si>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</si>
  <si>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</si>
  <si>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</si>
  <si>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</si>
  <si>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</si>
  <si>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</si>
  <si>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</si>
  <si>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</si>
  <si>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</si>
  <si>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</si>
  <si>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</si>
  <si>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</si>
  <si>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</si>
  <si>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</si>
  <si>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</si>
  <si>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</si>
  <si>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</si>
  <si>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</si>
  <si>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</si>
  <si>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</si>
  <si>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</si>
  <si>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</si>
  <si>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</si>
  <si>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</si>
  <si>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</si>
  <si>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</si>
  <si>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</si>
  <si>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</si>
  <si>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</si>
  <si>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</si>
  <si>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</si>
  <si>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</si>
  <si>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</si>
  <si>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</si>
  <si>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</si>
  <si>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</si>
  <si>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</si>
  <si>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</si>
  <si>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</si>
  <si>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</si>
  <si>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</si>
  <si>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</si>
  <si>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</si>
  <si>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</si>
  <si>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</si>
  <si>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</si>
  <si>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</si>
  <si>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</si>
  <si>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</si>
  <si>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</si>
  <si>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</si>
  <si>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</si>
  <si>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</si>
  <si>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</si>
  <si>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</si>
  <si>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</si>
  <si>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</si>
  <si>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</si>
  <si>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</si>
  <si>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</si>
  <si>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</si>
  <si>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</si>
  <si>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</si>
  <si>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</si>
  <si>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</si>
  <si>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</si>
  <si>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108.109</t>
  </si>
  <si>
    <t>TFIT05270230</t>
  </si>
  <si>
    <t>COLTES 27/02/30</t>
  </si>
  <si>
    <t>0.297238531</t>
  </si>
  <si>
    <t>106.816</t>
  </si>
  <si>
    <t>TFIT08031127</t>
  </si>
  <si>
    <t>COLTES 03/11/27</t>
  </si>
  <si>
    <t>0.1906876366</t>
  </si>
  <si>
    <t>97.582</t>
  </si>
  <si>
    <t>TFIT10260331</t>
  </si>
  <si>
    <t>COLTES 26/03/31</t>
  </si>
  <si>
    <t>0.2658449229</t>
  </si>
  <si>
    <t>85.591</t>
  </si>
  <si>
    <t>TFIT11090233</t>
  </si>
  <si>
    <t>COLTES 09/02/33</t>
  </si>
  <si>
    <t>0.4302452825</t>
  </si>
  <si>
    <t>112.239</t>
  </si>
  <si>
    <t>TFIT11240135</t>
  </si>
  <si>
    <t>COLTES 24/01/35</t>
  </si>
  <si>
    <t>0.398635793</t>
  </si>
  <si>
    <t>105.566</t>
  </si>
  <si>
    <t>TFIT16090736</t>
  </si>
  <si>
    <t>COLTES 09/07/36</t>
  </si>
  <si>
    <t>0.1323249805</t>
  </si>
  <si>
    <t>69.042</t>
  </si>
  <si>
    <t>TFIT16180930</t>
  </si>
  <si>
    <t>COLTES 18/09/30</t>
  </si>
  <si>
    <t>0.2177299889</t>
  </si>
  <si>
    <t>93.542</t>
  </si>
  <si>
    <t>TFIT16181034</t>
  </si>
  <si>
    <t>COLTES 18/10/34</t>
  </si>
  <si>
    <t>0.1351214005</t>
  </si>
  <si>
    <t>82.274</t>
  </si>
  <si>
    <t>TFIT16280428</t>
  </si>
  <si>
    <t>COLTES 28/04/28</t>
  </si>
  <si>
    <t>0.3308808942</t>
  </si>
  <si>
    <t>92.567</t>
  </si>
  <si>
    <t>TFIT16281140</t>
  </si>
  <si>
    <t>COLTES 28/11/40</t>
  </si>
  <si>
    <t>0.2317855409</t>
  </si>
  <si>
    <t>114.911</t>
  </si>
  <si>
    <t>TFIT16300632</t>
  </si>
  <si>
    <t>COLTES 30/06/32</t>
  </si>
  <si>
    <t>0.2373974273</t>
  </si>
  <si>
    <t>80.67</t>
  </si>
  <si>
    <t>TFIT21280542</t>
  </si>
  <si>
    <t>COLTES 28/05/42</t>
  </si>
  <si>
    <t>0.4039304889</t>
  </si>
  <si>
    <t>83.893</t>
  </si>
  <si>
    <t>TFIT23250746</t>
  </si>
  <si>
    <t>COLTES 25/07/46</t>
  </si>
  <si>
    <t>0.3285427636</t>
  </si>
  <si>
    <t>98.278</t>
  </si>
  <si>
    <t>TFIT31261050</t>
  </si>
  <si>
    <t>COLTES 26/10/50</t>
  </si>
  <si>
    <t>0.171146754</t>
  </si>
  <si>
    <t>70.118</t>
  </si>
  <si>
    <t>TFIT34130358</t>
  </si>
  <si>
    <t>COLTES 13/03/58</t>
  </si>
  <si>
    <t>0.1382019483</t>
  </si>
  <si>
    <t>105.636</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</si>
  <si>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</si>
  <si>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</si>
  <si>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</si>
  <si>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</si>
  <si>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</si>
  <si>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</si>
  <si>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</si>
  <si>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</si>
  <si>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</si>
  <si>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</si>
  <si>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</si>
  <si>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</si>
  <si>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</si>
  <si>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</si>
  <si>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</si>
  <si>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</si>
  <si>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</si>
  <si>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</si>
  <si>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</si>
  <si>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</si>
  <si>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</si>
  <si>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</si>
  <si>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</si>
  <si>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</si>
  <si>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</si>
  <si>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</si>
  <si>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</si>
  <si>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</si>
  <si>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</si>
  <si>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</si>
  <si>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</si>
  <si>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</si>
  <si>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</si>
  <si>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</si>
  <si>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</si>
  <si>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104.401</t>
  </si>
  <si>
    <t>TUVT10180429</t>
  </si>
  <si>
    <t>COLTES UVR 18/04/29</t>
  </si>
  <si>
    <t>0.1391487842</t>
  </si>
  <si>
    <t>92.02</t>
  </si>
  <si>
    <t>TUVT17200341</t>
  </si>
  <si>
    <t>COLTES UVR 20/03/41</t>
  </si>
  <si>
    <t>0.0947215066</t>
  </si>
  <si>
    <t>91.987</t>
  </si>
  <si>
    <t>TUVT18250237</t>
  </si>
  <si>
    <t>COLTES UVR 25/02/37</t>
  </si>
  <si>
    <t>0.4757967568</t>
  </si>
  <si>
    <t>84.222</t>
  </si>
  <si>
    <t>TUVT20040435</t>
  </si>
  <si>
    <t>COLTES UVR 04/04/35</t>
  </si>
  <si>
    <t>0.3279262023</t>
  </si>
  <si>
    <t>93.01</t>
  </si>
  <si>
    <t>TUVT20250333</t>
  </si>
  <si>
    <t>COLTES UVR 25/03/33</t>
  </si>
  <si>
    <t>0.1559183179</t>
  </si>
  <si>
    <t>85.133</t>
  </si>
  <si>
    <t>TUVT31190555</t>
  </si>
  <si>
    <t>COLTES UVR 19/05/55</t>
  </si>
  <si>
    <t>0.1218283751</t>
  </si>
  <si>
    <t>93.499</t>
  </si>
  <si>
    <t>TUVT32160649</t>
  </si>
  <si>
    <t>COLTES UVR 16/06/49</t>
  </si>
  <si>
    <t>0.3457152135</t>
  </si>
  <si>
    <t>75.898</t>
  </si>
  <si>
    <t>TUVT38010262</t>
  </si>
  <si>
    <t>COLTES UVR 01/02/62</t>
  </si>
  <si>
    <t>0.3024936809</t>
  </si>
  <si>
    <t>113.095</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</si>
  <si>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</si>
  <si>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</si>
  <si>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</si>
  <si>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</si>
  <si>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</si>
  <si>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</si>
  <si>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</si>
  <si>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</si>
  <si>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</si>
  <si>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</si>
  <si>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</si>
  <si>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</si>
  <si>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</si>
  <si>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</si>
  <si>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</si>
  <si>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</si>
  <si>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</si>
  <si>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</si>
  <si>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</si>
  <si>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</si>
  <si>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</si>
  <si>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</si>
  <si>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</si>
  <si>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</si>
  <si>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</si>
  <si>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</si>
  <si>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</si>
  <si>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</si>
  <si>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</si>
  <si>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</si>
  <si>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</si>
  <si>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</si>
  <si>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</si>
  <si>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</si>
  <si>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</si>
  <si>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</si>
  <si>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</si>
  <si>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</si>
  <si>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</si>
  <si>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</si>
  <si>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</si>
  <si>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</si>
  <si>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</si>
  <si>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</si>
  <si>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</si>
  <si>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</si>
  <si>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</si>
  <si>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</si>
  <si>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</si>
  <si>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</si>
  <si>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</si>
  <si>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</si>
  <si>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</si>
  <si>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</si>
  <si>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</si>
  <si>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</si>
  <si>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</si>
  <si>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</si>
  <si>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</si>
  <si>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</si>
  <si>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</si>
  <si>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</si>
  <si>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</si>
  <si>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</si>
  <si>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</si>
  <si>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</si>
  <si>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</si>
  <si>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</si>
  <si>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</si>
  <si>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</si>
  <si>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</si>
  <si>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</si>
  <si>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</si>
  <si>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</si>
  <si>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</si>
  <si>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</si>
  <si>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</si>
  <si>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</si>
  <si>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</si>
  <si>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</si>
  <si>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</si>
  <si>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</si>
  <si>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</si>
  <si>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</si>
  <si>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</si>
  <si>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</si>
  <si>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</si>
  <si>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</si>
  <si>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</si>
  <si>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</si>
  <si>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</si>
  <si>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</si>
  <si>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</si>
  <si>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</si>
  <si>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</si>
  <si>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</si>
  <si>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</si>
  <si>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</si>
  <si>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</si>
  <si>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</si>
  <si>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</si>
  <si>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</si>
  <si>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</si>
  <si>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</si>
  <si>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</si>
  <si>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</si>
  <si>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</si>
  <si>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</si>
  <si>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</si>
  <si>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</si>
  <si>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</si>
  <si>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</si>
  <si>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</si>
  <si>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</si>
  <si>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</si>
  <si>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</si>
  <si>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</si>
  <si>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</si>
  <si>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</si>
  <si>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</si>
  <si>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</si>
  <si>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</si>
  <si>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</si>
  <si>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</si>
  <si>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</si>
  <si>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</si>
  <si>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</si>
  <si>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</si>
  <si>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</si>
  <si>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</si>
  <si>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</si>
  <si>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</si>
  <si>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</si>
  <si>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</si>
  <si>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</si>
  <si>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</si>
  <si>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</si>
  <si>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</si>
  <si>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</si>
  <si>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</si>
  <si>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</si>
  <si>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</si>
  <si>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</si>
  <si>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</si>
  <si>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</si>
  <si>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</si>
  <si>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</si>
  <si>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</si>
  <si>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</si>
  <si>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</si>
  <si>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</si>
  <si>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</si>
  <si>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</si>
  <si>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</si>
  <si>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</si>
  <si>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</si>
  <si>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</si>
  <si>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</si>
  <si>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</si>
  <si>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</si>
  <si>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</si>
  <si>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</si>
  <si>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</si>
  <si>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</si>
  <si>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</si>
  <si>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</si>
  <si>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</si>
  <si>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</si>
  <si>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</si>
  <si>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</si>
  <si>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</si>
  <si>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</si>
  <si>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</si>
  <si>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</si>
  <si>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</si>
  <si>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</si>
  <si>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</si>
  <si>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</si>
  <si>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</si>
  <si>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</si>
  <si>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EXITO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</si>
  <si>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</si>
  <si>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</si>
  <si>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</si>
  <si>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</si>
  <si>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</si>
  <si>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</si>
  <si>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</si>
  <si>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</si>
  <si>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</si>
  <si>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</si>
  <si>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</si>
  <si>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</si>
  <si>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</si>
  <si>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</si>
  <si>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</si>
  <si>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</si>
  <si>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</si>
  <si>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</si>
  <si>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</si>
  <si>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</si>
  <si>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</si>
  <si>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</si>
  <si>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</si>
  <si>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</si>
  <si>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</si>
  <si>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</si>
  <si>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</si>
  <si>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</si>
  <si>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</si>
  <si>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</si>
  <si>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</si>
  <si>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</si>
  <si>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</si>
  <si>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</si>
  <si>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</si>
  <si>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</si>
  <si>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</si>
  <si>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</si>
  <si>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</si>
  <si>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2027-05-12</t>
  </si>
  <si>
    <t>FS</t>
  </si>
  <si>
    <t>NOMINAL</t>
  </si>
  <si>
    <t>TV</t>
  </si>
  <si>
    <t>PV</t>
  </si>
  <si>
    <t>2027-09-12</t>
  </si>
  <si>
    <t>2027-11-12</t>
  </si>
  <si>
    <t>2028-02-12</t>
  </si>
  <si>
    <t>2028-08-12</t>
  </si>
  <si>
    <t>CDTBBOS0VA</t>
  </si>
  <si>
    <t>CDTBCBS0V</t>
  </si>
  <si>
    <t>BANCOLOMBIA S.A.</t>
  </si>
  <si>
    <t>2027-08-12</t>
  </si>
  <si>
    <t>CDTBGA80</t>
  </si>
  <si>
    <t>BANCO BILBAO VIZCAYA ARGENTARIA COLOMBIA S.A. BBVA COLOMBIA</t>
  </si>
  <si>
    <t>IB1</t>
  </si>
  <si>
    <t>MV</t>
  </si>
  <si>
    <t>CDTBGAS0V</t>
  </si>
  <si>
    <t>CDTBOCS0V</t>
  </si>
  <si>
    <t>CDTBPOS0V</t>
  </si>
  <si>
    <t>CDTBSC80</t>
  </si>
  <si>
    <t>BANCO GNB SUDAMERIS S.A.</t>
  </si>
  <si>
    <t>CDTBSNS0V</t>
  </si>
  <si>
    <t>BANCO SANTANDER COLOMBIA S.A.</t>
  </si>
  <si>
    <t>2029-02-12</t>
  </si>
  <si>
    <t>CDTCTFS0V</t>
  </si>
  <si>
    <t>COLTEFINANCIERA S.A. COMPA#.A DE FINANCIAMIENTO</t>
  </si>
  <si>
    <t>CDTDVIS0V</t>
  </si>
  <si>
    <t>2027-02-12</t>
  </si>
  <si>
    <t>2027-06-12</t>
  </si>
  <si>
    <t>AV</t>
  </si>
  <si>
    <t>CDTGMAS5V</t>
  </si>
  <si>
    <t>GM FINANCIAL COLOMBIA S.A. COMPA#IA DE FINANCIAMIENTO</t>
  </si>
  <si>
    <t>CDTHIPS0V</t>
  </si>
  <si>
    <t>LA HIPOTECARIA COMPANIA DE FINANCIAMIENTO S.A.</t>
  </si>
  <si>
    <t>CDTITUS0V</t>
  </si>
  <si>
    <t>ITAU CORPBANCA COLOMBIA S.A.</t>
  </si>
  <si>
    <t>CDTMIAS0VD</t>
  </si>
  <si>
    <t>BANCO DE LAS MICROFINANZAS BANCAMIA S.A.</t>
  </si>
  <si>
    <t>CDTMIBS0V</t>
  </si>
  <si>
    <t>MIBANCO BANCO DE LA MICROEMPRESA DE COLOMBIA S.A.</t>
  </si>
  <si>
    <t>SV</t>
  </si>
  <si>
    <t>CDTSFNS0V</t>
  </si>
  <si>
    <t>BANCO SERFINANZA S.A.</t>
  </si>
  <si>
    <t>2029-08-12</t>
  </si>
  <si>
    <t>CDTTYAS0V</t>
  </si>
  <si>
    <t>COMPANIA DE FINANCIAMIENTO TUYA S.A.</t>
  </si>
  <si>
    <t>2026-11-12</t>
  </si>
  <si>
    <t>2028-02-14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</si>
  <si>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</si>
  <si>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</si>
  <si>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</si>
  <si>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</si>
  <si>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</si>
  <si>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</si>
  <si>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</si>
  <si>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</si>
  <si>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</si>
  <si>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</si>
  <si>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</si>
  <si>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</si>
  <si>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</si>
  <si>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</si>
  <si>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2026-06-24</t>
  </si>
  <si>
    <t>2028-06-24</t>
  </si>
  <si>
    <t>BBBO226SE024</t>
  </si>
  <si>
    <t>BBCB03119D15</t>
  </si>
  <si>
    <t>2011-11-02</t>
  </si>
  <si>
    <t>2026-11-02</t>
  </si>
  <si>
    <t>BBOC1209B072</t>
  </si>
  <si>
    <t>2020-08-20</t>
  </si>
  <si>
    <t>2026-08-20</t>
  </si>
  <si>
    <t>BBTA7199D010</t>
  </si>
  <si>
    <t xml:space="preserve">Bonos deuda publica interna   </t>
  </si>
  <si>
    <t>2019-10-24</t>
  </si>
  <si>
    <t>2029-10-24</t>
  </si>
  <si>
    <t>BCCB01129C15</t>
  </si>
  <si>
    <t>2012-05-16</t>
  </si>
  <si>
    <t>2027-05-16</t>
  </si>
  <si>
    <t>BDVI121SF060</t>
  </si>
  <si>
    <t>2021-09-07</t>
  </si>
  <si>
    <t>2026-09-07</t>
  </si>
  <si>
    <t>BDVI126SF030</t>
  </si>
  <si>
    <t>2026-05-20</t>
  </si>
  <si>
    <t>2028-11-20</t>
  </si>
  <si>
    <t>BDVI3129C180</t>
  </si>
  <si>
    <t>2012-08-15</t>
  </si>
  <si>
    <t>2027-08-15</t>
  </si>
  <si>
    <t>BDVI920SF084</t>
  </si>
  <si>
    <t>2020-02-11</t>
  </si>
  <si>
    <t>2027-02-11</t>
  </si>
  <si>
    <t>BSIS3209C007</t>
  </si>
  <si>
    <t>2020-08-11</t>
  </si>
  <si>
    <t>2027-08-11</t>
  </si>
  <si>
    <t>CDTBBO90</t>
  </si>
  <si>
    <t>Cert deposito termino bancario</t>
  </si>
  <si>
    <t>2023-02-03</t>
  </si>
  <si>
    <t>2028-02-03</t>
  </si>
  <si>
    <t>2023-02-06</t>
  </si>
  <si>
    <t>2027-02-06</t>
  </si>
  <si>
    <t>2023-02-02</t>
  </si>
  <si>
    <t>2027-02-02</t>
  </si>
  <si>
    <t>2025-05-28</t>
  </si>
  <si>
    <t>2027-05-28</t>
  </si>
  <si>
    <t>2025-07-03</t>
  </si>
  <si>
    <t>2028-01-03</t>
  </si>
  <si>
    <t>2025-07-10</t>
  </si>
  <si>
    <t>2027-07-10</t>
  </si>
  <si>
    <t>2025-08-27</t>
  </si>
  <si>
    <t>2027-05-27</t>
  </si>
  <si>
    <t>2025-10-03</t>
  </si>
  <si>
    <t>2027-07-03</t>
  </si>
  <si>
    <t>2026-04-09</t>
  </si>
  <si>
    <t>2027-04-09</t>
  </si>
  <si>
    <t>2026-04-14</t>
  </si>
  <si>
    <t>2027-04-14</t>
  </si>
  <si>
    <t>2028-01-17</t>
  </si>
  <si>
    <t>CDTBCB90</t>
  </si>
  <si>
    <t>2022-02-25</t>
  </si>
  <si>
    <t>2032-02-25</t>
  </si>
  <si>
    <t>2022-12-16</t>
  </si>
  <si>
    <t>2034-12-16</t>
  </si>
  <si>
    <t>2025-10-24</t>
  </si>
  <si>
    <t>2026-10-24</t>
  </si>
  <si>
    <t>2026-01-05</t>
  </si>
  <si>
    <t>2027-01-05</t>
  </si>
  <si>
    <t>2026-02-12</t>
  </si>
  <si>
    <t>2017-09-20</t>
  </si>
  <si>
    <t>2027-09-20</t>
  </si>
  <si>
    <t>2022-05-26</t>
  </si>
  <si>
    <t>2027-05-26</t>
  </si>
  <si>
    <t>2022-05-31</t>
  </si>
  <si>
    <t>2027-05-31</t>
  </si>
  <si>
    <t>2023-07-25</t>
  </si>
  <si>
    <t>2029-07-25</t>
  </si>
  <si>
    <t>2023-08-10</t>
  </si>
  <si>
    <t>2030-08-10</t>
  </si>
  <si>
    <t>2025-04-25</t>
  </si>
  <si>
    <t>2027-04-25</t>
  </si>
  <si>
    <t>2025-05-07</t>
  </si>
  <si>
    <t>2027-05-07</t>
  </si>
  <si>
    <t>2025-08-13</t>
  </si>
  <si>
    <t>2027-11-13</t>
  </si>
  <si>
    <t>2025-09-04</t>
  </si>
  <si>
    <t>2027-09-04</t>
  </si>
  <si>
    <t>2025-09-12</t>
  </si>
  <si>
    <t>2025-10-28</t>
  </si>
  <si>
    <t>2027-10-28</t>
  </si>
  <si>
    <t>2025-10-29</t>
  </si>
  <si>
    <t>2027-07-29</t>
  </si>
  <si>
    <t>CDTBPO80</t>
  </si>
  <si>
    <t>2026-01-22</t>
  </si>
  <si>
    <t>2027-07-22</t>
  </si>
  <si>
    <t>2023-08-23</t>
  </si>
  <si>
    <t>2027-08-23</t>
  </si>
  <si>
    <t>2026-04-10</t>
  </si>
  <si>
    <t>2028-04-10</t>
  </si>
  <si>
    <t>CDTBSCS0V</t>
  </si>
  <si>
    <t>2026-10-14</t>
  </si>
  <si>
    <t>CDTDVI95</t>
  </si>
  <si>
    <t>2025-11-27</t>
  </si>
  <si>
    <t>2027-11-27</t>
  </si>
  <si>
    <t>2027-07-08</t>
  </si>
  <si>
    <t>2022-10-06</t>
  </si>
  <si>
    <t>2027-10-06</t>
  </si>
  <si>
    <t>2024-01-26</t>
  </si>
  <si>
    <t>2030-01-26</t>
  </si>
  <si>
    <t>2024-01-30</t>
  </si>
  <si>
    <t>2030-01-30</t>
  </si>
  <si>
    <t>2025-07-31</t>
  </si>
  <si>
    <t>2028-01-31</t>
  </si>
  <si>
    <t>2026-10-10</t>
  </si>
  <si>
    <t>2028-08-04</t>
  </si>
  <si>
    <t>CDTFDT90P</t>
  </si>
  <si>
    <t xml:space="preserve">Cdt inst. oficial especial    </t>
  </si>
  <si>
    <t>2024-04-23</t>
  </si>
  <si>
    <t>2029-04-23</t>
  </si>
  <si>
    <t>2025-02-24</t>
  </si>
  <si>
    <t>2026-11-24</t>
  </si>
  <si>
    <t>2025-12-04</t>
  </si>
  <si>
    <t>2027-12-04</t>
  </si>
  <si>
    <t>2028-07-02</t>
  </si>
  <si>
    <t>2028-07-09</t>
  </si>
  <si>
    <t>CDTFDTS0V</t>
  </si>
  <si>
    <t>2028-10-09</t>
  </si>
  <si>
    <t>CDTITU80</t>
  </si>
  <si>
    <t>2025-06-20</t>
  </si>
  <si>
    <t>2026-09-20</t>
  </si>
  <si>
    <t>CDTLVSS0V</t>
  </si>
  <si>
    <t>2026-01-21</t>
  </si>
  <si>
    <t>2027-01-21</t>
  </si>
  <si>
    <t>2028-06-26</t>
  </si>
  <si>
    <t>2027-07-01</t>
  </si>
  <si>
    <t>2029-07-09</t>
  </si>
  <si>
    <t xml:space="preserve">Cert.dep.term.cia.fcto        </t>
  </si>
  <si>
    <t>TCO364180527</t>
  </si>
  <si>
    <t xml:space="preserve">Titulos tes                   </t>
  </si>
  <si>
    <t>2026-05-19</t>
  </si>
  <si>
    <t>2027-05-18</t>
  </si>
  <si>
    <t>TCO364200427</t>
  </si>
  <si>
    <t>2026-04-21</t>
  </si>
  <si>
    <t>2027-04-20</t>
  </si>
  <si>
    <t>TCO364201026</t>
  </si>
  <si>
    <t>2025-10-21</t>
  </si>
  <si>
    <t>2026-10-20</t>
  </si>
  <si>
    <t>TCO364260127</t>
  </si>
  <si>
    <t>2026-01-27</t>
  </si>
  <si>
    <t>2027-01-26</t>
  </si>
  <si>
    <t>2024-08-22</t>
  </si>
  <si>
    <t>2029-08-22</t>
  </si>
  <si>
    <t>2025-02-27</t>
  </si>
  <si>
    <t>2030-02-27</t>
  </si>
  <si>
    <t>2019-11-03</t>
  </si>
  <si>
    <t>2027-11-03</t>
  </si>
  <si>
    <t>2021-03-26</t>
  </si>
  <si>
    <t>2031-03-26</t>
  </si>
  <si>
    <t>2022-02-09</t>
  </si>
  <si>
    <t>2033-02-09</t>
  </si>
  <si>
    <t>2024-01-24</t>
  </si>
  <si>
    <t>2035-01-24</t>
  </si>
  <si>
    <t>2014-09-18</t>
  </si>
  <si>
    <t>2030-09-18</t>
  </si>
  <si>
    <t>2012-04-28</t>
  </si>
  <si>
    <t>2028-04-28</t>
  </si>
  <si>
    <t>2024-11-28</t>
  </si>
  <si>
    <t>2040-11-28</t>
  </si>
  <si>
    <t>2046-07-25</t>
  </si>
  <si>
    <t>2019-10-26</t>
  </si>
  <si>
    <t>2050-10-26</t>
  </si>
  <si>
    <t>2024-03-13</t>
  </si>
  <si>
    <t>2058-03-13</t>
  </si>
  <si>
    <t>TIDISDVL</t>
  </si>
  <si>
    <t>Tidis-tit.devolucion impuestos</t>
  </si>
  <si>
    <t>2027-07-24</t>
  </si>
  <si>
    <t>2027-07-30</t>
  </si>
  <si>
    <t xml:space="preserve">Titulos tes en uvr            </t>
  </si>
  <si>
    <t>2024-01-22</t>
  </si>
  <si>
    <t>2031-01-22</t>
  </si>
  <si>
    <t>2019-04-18</t>
  </si>
  <si>
    <t>2029-04-18</t>
  </si>
  <si>
    <t>TUVT11170327</t>
  </si>
  <si>
    <t>2016-03-17</t>
  </si>
  <si>
    <t>2027-03-17</t>
  </si>
  <si>
    <t>2024-02-01</t>
  </si>
  <si>
    <t>2062-02-01</t>
  </si>
  <si>
    <t>Segmento Público - Sistema de Registro / A2A Market - OTC Fixed Income</t>
  </si>
  <si>
    <t>BBBO226SE048</t>
  </si>
  <si>
    <t>2030-06-24</t>
  </si>
  <si>
    <t>BCCB04169C15</t>
  </si>
  <si>
    <t>2016-04-13</t>
  </si>
  <si>
    <t>2031-04-13</t>
  </si>
  <si>
    <t>BCSA2269C010</t>
  </si>
  <si>
    <t xml:space="preserve">Bonos subordinados            </t>
  </si>
  <si>
    <t>2026-05-21</t>
  </si>
  <si>
    <t>2036-05-21</t>
  </si>
  <si>
    <t>BGAA1199A20</t>
  </si>
  <si>
    <t>2019-11-14</t>
  </si>
  <si>
    <t>2039-11-14</t>
  </si>
  <si>
    <t>BISU01169C15</t>
  </si>
  <si>
    <t>2016-06-22</t>
  </si>
  <si>
    <t>2031-06-22</t>
  </si>
  <si>
    <t>BITU125SA060</t>
  </si>
  <si>
    <t>2025-03-18</t>
  </si>
  <si>
    <t>2030-03-18</t>
  </si>
  <si>
    <t>CDTBBO80</t>
  </si>
  <si>
    <t>2025-04-10</t>
  </si>
  <si>
    <t>2025-04-29</t>
  </si>
  <si>
    <t>2026-10-29</t>
  </si>
  <si>
    <t>2025-10-30</t>
  </si>
  <si>
    <t>2026-10-30</t>
  </si>
  <si>
    <t>2025-11-07</t>
  </si>
  <si>
    <t>2026-11-07</t>
  </si>
  <si>
    <t>2025-11-12</t>
  </si>
  <si>
    <t>2025-11-28</t>
  </si>
  <si>
    <t>2027-11-28</t>
  </si>
  <si>
    <t>2025-05-08</t>
  </si>
  <si>
    <t>2026-11-08</t>
  </si>
  <si>
    <t>2027-06-20</t>
  </si>
  <si>
    <t>2025-09-26</t>
  </si>
  <si>
    <t>2027-12-26</t>
  </si>
  <si>
    <t>2025-12-29</t>
  </si>
  <si>
    <t>2027-06-29</t>
  </si>
  <si>
    <t>2028-02-10</t>
  </si>
  <si>
    <t>2028-08-11</t>
  </si>
  <si>
    <t>2021-12-01</t>
  </si>
  <si>
    <t>2031-12-01</t>
  </si>
  <si>
    <t>2022-03-17</t>
  </si>
  <si>
    <t>2030-03-17</t>
  </si>
  <si>
    <t>2023-07-24</t>
  </si>
  <si>
    <t>2030-07-24</t>
  </si>
  <si>
    <t>2024-06-12</t>
  </si>
  <si>
    <t>2025-09-24</t>
  </si>
  <si>
    <t>2026-09-29</t>
  </si>
  <si>
    <t>2026-02-19</t>
  </si>
  <si>
    <t>2027-02-19</t>
  </si>
  <si>
    <t>2026-04-07</t>
  </si>
  <si>
    <t>2026-10-07</t>
  </si>
  <si>
    <t>2026-12-09</t>
  </si>
  <si>
    <t>2026-04-24</t>
  </si>
  <si>
    <t>2026-09-24</t>
  </si>
  <si>
    <t>2026-11-10</t>
  </si>
  <si>
    <t>2025-03-13</t>
  </si>
  <si>
    <t>2026-09-13</t>
  </si>
  <si>
    <t>2026-12-29</t>
  </si>
  <si>
    <t>2026-04-08</t>
  </si>
  <si>
    <t>2027-04-08</t>
  </si>
  <si>
    <t>CDTBGA95</t>
  </si>
  <si>
    <t>2016-03-03</t>
  </si>
  <si>
    <t>2028-03-03</t>
  </si>
  <si>
    <t>2017-08-17</t>
  </si>
  <si>
    <t>2027-08-17</t>
  </si>
  <si>
    <t>2018-02-09</t>
  </si>
  <si>
    <t>2028-02-09</t>
  </si>
  <si>
    <t>2019-12-10</t>
  </si>
  <si>
    <t>2026-12-10</t>
  </si>
  <si>
    <t>2023-07-19</t>
  </si>
  <si>
    <t>2028-07-19</t>
  </si>
  <si>
    <t>2023-08-01</t>
  </si>
  <si>
    <t>2027-08-01</t>
  </si>
  <si>
    <t>2024-11-12</t>
  </si>
  <si>
    <t>2028-11-12</t>
  </si>
  <si>
    <t>2024-11-29</t>
  </si>
  <si>
    <t>2028-11-29</t>
  </si>
  <si>
    <t>2024-12-18</t>
  </si>
  <si>
    <t>2028-12-18</t>
  </si>
  <si>
    <t>2025-01-16</t>
  </si>
  <si>
    <t>2030-01-16</t>
  </si>
  <si>
    <t>2032-01-16</t>
  </si>
  <si>
    <t>2028-04-21</t>
  </si>
  <si>
    <t>CDTBOC90P</t>
  </si>
  <si>
    <t>2025-10-20</t>
  </si>
  <si>
    <t>2025-05-27</t>
  </si>
  <si>
    <t>2026-04-16</t>
  </si>
  <si>
    <t>2027-04-16</t>
  </si>
  <si>
    <t>2026-09-26</t>
  </si>
  <si>
    <t>2025-05-26</t>
  </si>
  <si>
    <t>2025-10-07</t>
  </si>
  <si>
    <t>2027-10-07</t>
  </si>
  <si>
    <t>2025-10-14</t>
  </si>
  <si>
    <t>2027-10-14</t>
  </si>
  <si>
    <t>CDTCFCS0V</t>
  </si>
  <si>
    <t xml:space="preserve">Cert.dep.term.corp.financiera </t>
  </si>
  <si>
    <t>2026-03-26</t>
  </si>
  <si>
    <t>2029-03-26</t>
  </si>
  <si>
    <t>CDTCLPS0V</t>
  </si>
  <si>
    <t>2025-05-21</t>
  </si>
  <si>
    <t>2027-05-21</t>
  </si>
  <si>
    <t>2028-01-02</t>
  </si>
  <si>
    <t>CDTDVI80</t>
  </si>
  <si>
    <t>2024-09-27</t>
  </si>
  <si>
    <t>2026-09-27</t>
  </si>
  <si>
    <t>2025-02-19</t>
  </si>
  <si>
    <t>2026-08-19</t>
  </si>
  <si>
    <t>2025-03-04</t>
  </si>
  <si>
    <t>2026-09-04</t>
  </si>
  <si>
    <t>2025-03-05</t>
  </si>
  <si>
    <t>2026-09-05</t>
  </si>
  <si>
    <t>2024-09-13</t>
  </si>
  <si>
    <t>2024-09-17</t>
  </si>
  <si>
    <t>2026-09-17</t>
  </si>
  <si>
    <t>2024-09-18</t>
  </si>
  <si>
    <t>2026-09-18</t>
  </si>
  <si>
    <t>2025-03-03</t>
  </si>
  <si>
    <t>2026-09-03</t>
  </si>
  <si>
    <t>2023-07-26</t>
  </si>
  <si>
    <t>2030-07-26</t>
  </si>
  <si>
    <t>2023-10-30</t>
  </si>
  <si>
    <t>2023-10-31</t>
  </si>
  <si>
    <t>2026-10-31</t>
  </si>
  <si>
    <t>2023-11-08</t>
  </si>
  <si>
    <t>2024-02-06</t>
  </si>
  <si>
    <t>2030-02-06</t>
  </si>
  <si>
    <t>2025-07-30</t>
  </si>
  <si>
    <t>2028-07-10</t>
  </si>
  <si>
    <t>2028-01-29</t>
  </si>
  <si>
    <t>2027-03-11</t>
  </si>
  <si>
    <t>CDTFDT80</t>
  </si>
  <si>
    <t>2028-07-21</t>
  </si>
  <si>
    <t>2025-12-05</t>
  </si>
  <si>
    <t>2027-12-05</t>
  </si>
  <si>
    <t>2026-05-22</t>
  </si>
  <si>
    <t>2028-05-22</t>
  </si>
  <si>
    <t>2028-07-16</t>
  </si>
  <si>
    <t>2029-07-16</t>
  </si>
  <si>
    <t>CDTRCI80P</t>
  </si>
  <si>
    <t>2025-12-17</t>
  </si>
  <si>
    <t>2027-02-17</t>
  </si>
  <si>
    <t>CDTRCIS0</t>
  </si>
  <si>
    <t>2023-10-20</t>
  </si>
  <si>
    <t>2028-10-20</t>
  </si>
  <si>
    <t>2027-03-05</t>
  </si>
  <si>
    <t>CINAS</t>
  </si>
  <si>
    <t xml:space="preserve">Cinas-cert.inv-audiovisual    </t>
  </si>
  <si>
    <t>INST070339A</t>
  </si>
  <si>
    <t xml:space="preserve">Titulos hipotecarios          </t>
  </si>
  <si>
    <t>2024-03-07</t>
  </si>
  <si>
    <t>2039-03-07</t>
  </si>
  <si>
    <t>TCO364151226</t>
  </si>
  <si>
    <t>2025-12-16</t>
  </si>
  <si>
    <t>2026-12-15</t>
  </si>
  <si>
    <t>TCO364171126</t>
  </si>
  <si>
    <t>2025-11-18</t>
  </si>
  <si>
    <t>2026-11-17</t>
  </si>
  <si>
    <t>TCO364220926</t>
  </si>
  <si>
    <t>2025-09-23</t>
  </si>
  <si>
    <t>2026-09-22</t>
  </si>
  <si>
    <t>TCO364230227</t>
  </si>
  <si>
    <t>2026-02-24</t>
  </si>
  <si>
    <t>2027-02-23</t>
  </si>
  <si>
    <t>2020-07-09</t>
  </si>
  <si>
    <t>2036-07-09</t>
  </si>
  <si>
    <t>2018-10-18</t>
  </si>
  <si>
    <t>2034-10-18</t>
  </si>
  <si>
    <t>2016-06-30</t>
  </si>
  <si>
    <t>2032-06-30</t>
  </si>
  <si>
    <t>2021-05-28</t>
  </si>
  <si>
    <t>2042-05-28</t>
  </si>
  <si>
    <t>TFVT10260331</t>
  </si>
  <si>
    <t>2026-10-21</t>
  </si>
  <si>
    <t>2026-03-10</t>
  </si>
  <si>
    <t>2027-03-10</t>
  </si>
  <si>
    <t>2026-05-05</t>
  </si>
  <si>
    <t>2027-05-05</t>
  </si>
  <si>
    <t>2026-05-13</t>
  </si>
  <si>
    <t>2027-05-13</t>
  </si>
  <si>
    <t>2026-06-04</t>
  </si>
  <si>
    <t>2027-06-04</t>
  </si>
  <si>
    <t>2026-06-05</t>
  </si>
  <si>
    <t>2027-06-05</t>
  </si>
  <si>
    <t>2026-06-18</t>
  </si>
  <si>
    <t>2027-06-18</t>
  </si>
  <si>
    <t>2027-06-24</t>
  </si>
  <si>
    <t>2026-06-25</t>
  </si>
  <si>
    <t>2027-06-25</t>
  </si>
  <si>
    <t>2027-07-06</t>
  </si>
  <si>
    <t>2027-07-07</t>
  </si>
  <si>
    <t>2027-07-09</t>
  </si>
  <si>
    <t>2027-07-15</t>
  </si>
  <si>
    <t>2027-07-16</t>
  </si>
  <si>
    <t>2027-07-21</t>
  </si>
  <si>
    <t>2027-07-23</t>
  </si>
  <si>
    <t>2027-07-28</t>
  </si>
  <si>
    <t>2027-07-31</t>
  </si>
  <si>
    <t>2027-08-03</t>
  </si>
  <si>
    <t>2027-08-04</t>
  </si>
  <si>
    <t>2027-08-05</t>
  </si>
  <si>
    <t>2027-08-06</t>
  </si>
  <si>
    <t>2027-08-10</t>
  </si>
  <si>
    <t>2019-02-25</t>
  </si>
  <si>
    <t>2037-02-25</t>
  </si>
  <si>
    <t>2013-03-25</t>
  </si>
  <si>
    <t>2033-03-25</t>
  </si>
  <si>
    <t>2024-05-19</t>
  </si>
  <si>
    <t>2055-05-19</t>
  </si>
  <si>
    <t>2017-06-16</t>
  </si>
  <si>
    <t>2049-06-16</t>
  </si>
  <si>
    <t>Punta</t>
  </si>
  <si>
    <t>Fecha</t>
  </si>
  <si>
    <t>Fecha Anulación</t>
  </si>
  <si>
    <t>Núm. Opes</t>
  </si>
  <si>
    <t>TITULOS TES</t>
  </si>
  <si>
    <t>BBGA01119G18</t>
  </si>
  <si>
    <t>BBSC1179B002</t>
  </si>
  <si>
    <t>BCLP7179FS10</t>
  </si>
  <si>
    <t>BGAA1249A015</t>
  </si>
  <si>
    <t>BPEISSA4</t>
  </si>
  <si>
    <t>BPEMINHTA4</t>
  </si>
  <si>
    <t>BTSE01119A15</t>
  </si>
  <si>
    <t>TFIC15280427</t>
  </si>
  <si>
    <t>Compradores / Buyers</t>
  </si>
  <si>
    <t>BONOS PRIVADOS</t>
  </si>
  <si>
    <t>CER.INV.AUDIOVISUAL MINCULTURA</t>
  </si>
  <si>
    <t>CERTIFICADOS DE DEPOSITO A TER</t>
  </si>
  <si>
    <t>TES UVR</t>
  </si>
  <si>
    <t>TITULARIZACION</t>
  </si>
  <si>
    <t>TITULOS DEVOLUCION IMPUESTOS</t>
  </si>
  <si>
    <t>Sector</t>
  </si>
  <si>
    <t>ORDINARY BONDS</t>
  </si>
  <si>
    <t>AUDIOVISUAL INVESTMENT CERTIFICATES - MINCULTURA</t>
  </si>
  <si>
    <t>COMMERCIAL FINANCE COMPANY CDs</t>
  </si>
  <si>
    <t>GOVERNMENT BONDS UVR DENOMINATED</t>
  </si>
  <si>
    <t>MORTGAGE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</si>
  <si>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</si>
  <si>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</si>
  <si>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</si>
  <si>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</si>
  <si>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</si>
  <si>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</si>
  <si>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</si>
  <si>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</si>
  <si>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</si>
  <si>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</si>
  <si>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</si>
  <si>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</si>
  <si>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</si>
  <si>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</si>
  <si>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</si>
  <si>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</si>
  <si>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</si>
  <si>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SUBORDINARY BONDS</t>
  </si>
  <si>
    <t>FINDETER CDs</t>
  </si>
  <si>
    <t>DERIVADOS FINANCIEROS</t>
  </si>
  <si>
    <t>Núm. Contratos</t>
  </si>
  <si>
    <t>Ult. Precio</t>
  </si>
  <si>
    <t>Variación Ult. Precio</t>
  </si>
  <si>
    <t>Precio Mínimo</t>
  </si>
  <si>
    <t>Precio Máximo</t>
  </si>
  <si>
    <t>Pos. Abierta</t>
  </si>
  <si>
    <t>GRAU26F</t>
  </si>
  <si>
    <t>PCBU26F</t>
  </si>
  <si>
    <t>PGAU26F</t>
  </si>
  <si>
    <t>T28U26F</t>
  </si>
  <si>
    <t>T29U26F</t>
  </si>
  <si>
    <t>T29V26F</t>
  </si>
  <si>
    <t>T29Z26F</t>
  </si>
  <si>
    <t>T30V26F</t>
  </si>
  <si>
    <t>T40U26F</t>
  </si>
  <si>
    <t>TRMQ26F</t>
  </si>
  <si>
    <t>TRMU26F</t>
  </si>
  <si>
    <t>TRMX26F</t>
  </si>
  <si>
    <t>TRMZ26F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</si>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</sst>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704850</xdr:rowOff>
    </xdr:to>
    <xdr:pic>
      <xdr:nvPicPr>
        <xdr:cNvPr id="2" name="2 Imagen" descr="cabezote (2).png">
          <a:extLst>
            <a:ext uri="{FF2B5EF4-FFF2-40B4-BE49-F238E27FC236}">
              <a16:creationId xmlns:a16="http://schemas.microsoft.com/office/drawing/2014/main" id="{9211CA23-402A-41A6-B0C8-988396C8DB97}"/>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656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istian_cifuentes\Desktop\D_CRISTIAN\consulta%20tbopin%2020260812.xls" TargetMode="External"/><Relationship Id="rId1" Type="http://schemas.openxmlformats.org/officeDocument/2006/relationships/externalLinkPath" Target="file:///C:\Users\cristian_cifuentes\Desktop\D_CRISTIAN\consulta%20tbopin%20202608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
    </sheetNames>
    <sheetDataSet>
      <sheetData sheetId="0">
        <row r="1">
          <cell r="A1" t="str">
            <v>NEMO</v>
          </cell>
          <cell r="B1" t="str">
            <v>GRUPO</v>
          </cell>
          <cell r="C1" t="str">
            <v>NUM_OPE</v>
          </cell>
          <cell r="D1" t="str">
            <v>VAR_P_CIERRE</v>
          </cell>
          <cell r="E1" t="str">
            <v>ULT_PRECIO</v>
          </cell>
          <cell r="F1" t="str">
            <v>MAX_PRECIO</v>
          </cell>
          <cell r="G1" t="str">
            <v>MIN_PRECIO</v>
          </cell>
          <cell r="H1" t="str">
            <v>CANTIDAD</v>
          </cell>
          <cell r="I1" t="str">
            <v>OPIN</v>
          </cell>
          <cell r="J1" t="str">
            <v>MONTO</v>
          </cell>
        </row>
        <row r="2">
          <cell r="A2" t="str">
            <v>GRAU26F</v>
          </cell>
          <cell r="B2" t="str">
            <v>Futuros sobre Acciones / Stock Futures</v>
          </cell>
          <cell r="C2">
            <v>2</v>
          </cell>
          <cell r="D2">
            <v>8.9965986394557898E-2</v>
          </cell>
          <cell r="E2">
            <v>19227</v>
          </cell>
          <cell r="F2">
            <v>19227</v>
          </cell>
          <cell r="G2">
            <v>19209</v>
          </cell>
          <cell r="H2">
            <v>30</v>
          </cell>
          <cell r="I2">
            <v>0</v>
          </cell>
          <cell r="J2">
            <v>576630000</v>
          </cell>
        </row>
        <row r="3">
          <cell r="A3" t="str">
            <v>PCBU26F</v>
          </cell>
          <cell r="B3" t="str">
            <v>Futuros sobre Acciones / Stock Futures</v>
          </cell>
          <cell r="C3">
            <v>1</v>
          </cell>
          <cell r="D3">
            <v>-3.1537032796478702E-2</v>
          </cell>
          <cell r="E3">
            <v>76127</v>
          </cell>
          <cell r="F3">
            <v>76127</v>
          </cell>
          <cell r="G3">
            <v>76127</v>
          </cell>
          <cell r="H3">
            <v>5</v>
          </cell>
          <cell r="I3">
            <v>100</v>
          </cell>
          <cell r="J3">
            <v>380635000</v>
          </cell>
        </row>
        <row r="4">
          <cell r="A4" t="str">
            <v>PGAU26F</v>
          </cell>
          <cell r="B4" t="str">
            <v>Futuros sobre Acciones / Stock Futures</v>
          </cell>
          <cell r="C4">
            <v>4</v>
          </cell>
          <cell r="D4">
            <v>1.8866657714516E-2</v>
          </cell>
          <cell r="E4">
            <v>15175</v>
          </cell>
          <cell r="F4">
            <v>15175</v>
          </cell>
          <cell r="G4">
            <v>14995</v>
          </cell>
          <cell r="H4">
            <v>73</v>
          </cell>
          <cell r="I4">
            <v>449</v>
          </cell>
          <cell r="J4">
            <v>1098076000</v>
          </cell>
        </row>
        <row r="5">
          <cell r="A5" t="str">
            <v>T28U26F</v>
          </cell>
          <cell r="B5" t="str">
            <v>Futuros sobre Tasa de Interes / Interest Rate Futures</v>
          </cell>
          <cell r="C5">
            <v>4</v>
          </cell>
          <cell r="D5">
            <v>1.03196908484104E-3</v>
          </cell>
          <cell r="E5">
            <v>91.182000000000002</v>
          </cell>
          <cell r="F5">
            <v>91.182000000000002</v>
          </cell>
          <cell r="G5">
            <v>91.052000000000007</v>
          </cell>
          <cell r="H5">
            <v>1760</v>
          </cell>
          <cell r="I5">
            <v>3816</v>
          </cell>
          <cell r="J5">
            <v>400994800000</v>
          </cell>
        </row>
        <row r="6">
          <cell r="A6" t="str">
            <v>T29U26F</v>
          </cell>
          <cell r="B6" t="str">
            <v>Futuros sobre Tasa de Interes / Interest Rate Futures</v>
          </cell>
          <cell r="C6">
            <v>3</v>
          </cell>
          <cell r="D6">
            <v>1.5311732486562599E-3</v>
          </cell>
          <cell r="E6">
            <v>97.46</v>
          </cell>
          <cell r="F6">
            <v>97.46</v>
          </cell>
          <cell r="G6">
            <v>97.388999999999996</v>
          </cell>
          <cell r="H6">
            <v>584</v>
          </cell>
          <cell r="I6">
            <v>2628</v>
          </cell>
          <cell r="J6">
            <v>142244900000</v>
          </cell>
        </row>
        <row r="7">
          <cell r="A7" t="str">
            <v>T29V26F</v>
          </cell>
          <cell r="B7" t="str">
            <v>Futuros sobre Tasa de Interes / Interest Rate Futures</v>
          </cell>
          <cell r="C7">
            <v>1</v>
          </cell>
          <cell r="D7">
            <v>1.2336033554016801E-4</v>
          </cell>
          <cell r="E7">
            <v>97.287999999999997</v>
          </cell>
          <cell r="F7">
            <v>97.287999999999997</v>
          </cell>
          <cell r="G7">
            <v>97.287999999999997</v>
          </cell>
          <cell r="H7">
            <v>580</v>
          </cell>
          <cell r="I7">
            <v>2624</v>
          </cell>
          <cell r="J7">
            <v>141067600000</v>
          </cell>
        </row>
        <row r="8">
          <cell r="A8" t="str">
            <v>T29Z26F</v>
          </cell>
          <cell r="B8" t="str">
            <v>Futuros sobre Tasa de Interes / Interest Rate Futures</v>
          </cell>
          <cell r="C8">
            <v>1</v>
          </cell>
          <cell r="D8" t="str">
            <v/>
          </cell>
          <cell r="E8">
            <v>97.728999999999999</v>
          </cell>
          <cell r="F8">
            <v>97.728999999999999</v>
          </cell>
          <cell r="G8">
            <v>97.728999999999999</v>
          </cell>
          <cell r="H8">
            <v>560</v>
          </cell>
          <cell r="I8">
            <v>560</v>
          </cell>
          <cell r="J8">
            <v>136820600000</v>
          </cell>
        </row>
        <row r="9">
          <cell r="A9" t="str">
            <v>T30V26F</v>
          </cell>
          <cell r="B9" t="str">
            <v>Futuros sobre Tasa de Interes / Interest Rate Futures</v>
          </cell>
          <cell r="C9">
            <v>1</v>
          </cell>
          <cell r="D9">
            <v>2.9543120261272802E-3</v>
          </cell>
          <cell r="E9">
            <v>86.909000000000006</v>
          </cell>
          <cell r="F9">
            <v>86.909000000000006</v>
          </cell>
          <cell r="G9">
            <v>86.909000000000006</v>
          </cell>
          <cell r="H9">
            <v>600</v>
          </cell>
          <cell r="I9">
            <v>3360</v>
          </cell>
          <cell r="J9">
            <v>130363500000</v>
          </cell>
        </row>
        <row r="10">
          <cell r="A10" t="str">
            <v>T40U26F</v>
          </cell>
          <cell r="B10" t="str">
            <v>Futuros sobre Tasa de Interes / Interest Rate Futures</v>
          </cell>
          <cell r="C10">
            <v>1</v>
          </cell>
          <cell r="D10">
            <v>1.1299327011318401E-2</v>
          </cell>
          <cell r="E10">
            <v>105.79</v>
          </cell>
          <cell r="F10">
            <v>105.79</v>
          </cell>
          <cell r="G10">
            <v>105.79</v>
          </cell>
          <cell r="H10">
            <v>2</v>
          </cell>
          <cell r="I10">
            <v>1084</v>
          </cell>
          <cell r="J10">
            <v>528950000</v>
          </cell>
        </row>
        <row r="11">
          <cell r="A11" t="str">
            <v>TRMQ26F</v>
          </cell>
          <cell r="B11" t="str">
            <v>Futuros sobre Divisas / FX Futures</v>
          </cell>
          <cell r="C11">
            <v>14</v>
          </cell>
          <cell r="D11">
            <v>-4.5732779849438898E-4</v>
          </cell>
          <cell r="E11">
            <v>3125.43</v>
          </cell>
          <cell r="F11">
            <v>3131.28</v>
          </cell>
          <cell r="G11">
            <v>3106.12</v>
          </cell>
          <cell r="H11">
            <v>293</v>
          </cell>
          <cell r="I11">
            <v>0</v>
          </cell>
          <cell r="J11">
            <v>45792665500</v>
          </cell>
        </row>
        <row r="12">
          <cell r="A12" t="str">
            <v>TRMU26F</v>
          </cell>
          <cell r="B12" t="str">
            <v>Futuros sobre Divisas / FX Futures</v>
          </cell>
          <cell r="C12">
            <v>63</v>
          </cell>
          <cell r="D12">
            <v>5.4327266947469298E-3</v>
          </cell>
          <cell r="E12">
            <v>3162.84</v>
          </cell>
          <cell r="F12">
            <v>3162.84</v>
          </cell>
          <cell r="G12">
            <v>3125.15</v>
          </cell>
          <cell r="H12">
            <v>473</v>
          </cell>
          <cell r="I12">
            <v>5883</v>
          </cell>
          <cell r="J12">
            <v>74500121500</v>
          </cell>
        </row>
        <row r="13">
          <cell r="A13" t="str">
            <v>TRMX26F</v>
          </cell>
          <cell r="B13" t="str">
            <v>Futuros sobre Divisas / FX Futures</v>
          </cell>
          <cell r="C13">
            <v>1</v>
          </cell>
          <cell r="D13">
            <v>-1.9109085526802801E-2</v>
          </cell>
          <cell r="E13">
            <v>3180.99</v>
          </cell>
          <cell r="F13">
            <v>3180.99</v>
          </cell>
          <cell r="G13">
            <v>3180.99</v>
          </cell>
          <cell r="H13">
            <v>6</v>
          </cell>
          <cell r="I13">
            <v>14947</v>
          </cell>
          <cell r="J13">
            <v>954297000</v>
          </cell>
        </row>
        <row r="14">
          <cell r="A14" t="str">
            <v>TRMZ26F</v>
          </cell>
          <cell r="B14" t="str">
            <v>Futuros sobre Divisas / FX Futures</v>
          </cell>
          <cell r="C14">
            <v>1</v>
          </cell>
          <cell r="D14">
            <v>-3.7081081081081102E-2</v>
          </cell>
          <cell r="E14">
            <v>3206.52</v>
          </cell>
          <cell r="F14">
            <v>3206.52</v>
          </cell>
          <cell r="G14">
            <v>3206.52</v>
          </cell>
          <cell r="H14">
            <v>2</v>
          </cell>
          <cell r="I14">
            <v>3610</v>
          </cell>
          <cell r="J14">
            <v>320652000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46246</v>
      </c>
      <c r="H6" s="1"/>
      <c r="I6" s="1"/>
      <c r="J6" s="6"/>
      <c r="K6" s="1"/>
      <c r="L6" s="1"/>
    </row>
    <row r="7" spans="1:12" ht="17.5" x14ac:dyDescent="0.35">
      <c r="A7" s="1"/>
      <c r="B7" s="5"/>
      <c r="C7" s="1"/>
      <c r="D7" s="1"/>
      <c r="E7" s="1"/>
      <c r="F7" s="1"/>
      <c r="G7" s="8">
        <v>46246</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2430.4499999999998</v>
      </c>
      <c r="F8" s="21">
        <v>2423.37</v>
      </c>
      <c r="G8" s="21">
        <v>-7.0799999999999299</v>
      </c>
      <c r="H8" s="22">
        <v>2.92155139330763E-3</v>
      </c>
      <c r="I8" s="21">
        <v>0.332249824592177</v>
      </c>
      <c r="J8" s="22">
        <v>0.17526027437004599</v>
      </c>
      <c r="K8" s="22">
        <v>1.6031938464110999E-2</v>
      </c>
      <c r="L8" s="1"/>
      <c r="M8" s="1"/>
      <c r="N8" s="1"/>
      <c r="O8" s="1"/>
      <c r="P8" s="1"/>
      <c r="Q8" s="1"/>
      <c r="R8" s="6"/>
      <c r="S8" s="1"/>
      <c r="T8" s="1"/>
    </row>
    <row r="9" spans="1:20" x14ac:dyDescent="0.35">
      <c r="A9" s="1"/>
      <c r="B9" s="5"/>
      <c r="C9" s="71" t="s">
        <v>220</v>
      </c>
      <c r="D9" s="20" t="s">
        <v>221</v>
      </c>
      <c r="E9" s="21">
        <v>384.99</v>
      </c>
      <c r="F9" s="21">
        <v>384.07</v>
      </c>
      <c r="G9" s="21">
        <v>-0.92000000000001603</v>
      </c>
      <c r="H9" s="22">
        <v>2.3953966724816799E-3</v>
      </c>
      <c r="I9" s="21">
        <v>7.6022247687190805E-2</v>
      </c>
      <c r="J9" s="22">
        <v>9.6400296178162703E-2</v>
      </c>
      <c r="K9" s="22">
        <v>1.35850248795515E-2</v>
      </c>
      <c r="L9" s="1"/>
      <c r="M9" s="1"/>
      <c r="N9" s="1"/>
      <c r="O9" s="1"/>
      <c r="P9" s="1"/>
      <c r="Q9" s="1"/>
      <c r="R9" s="6"/>
      <c r="S9" s="1"/>
      <c r="T9" s="1"/>
    </row>
    <row r="10" spans="1:20" x14ac:dyDescent="0.35">
      <c r="A10" s="1"/>
      <c r="B10" s="5"/>
      <c r="C10" s="72"/>
      <c r="D10" s="20" t="s">
        <v>222</v>
      </c>
      <c r="E10" s="21">
        <v>413.72</v>
      </c>
      <c r="F10" s="21">
        <v>410.98</v>
      </c>
      <c r="G10" s="21">
        <v>-2.74000000000001</v>
      </c>
      <c r="H10" s="22">
        <v>6.6669910944572299E-3</v>
      </c>
      <c r="I10" s="21">
        <v>0.11463749764259</v>
      </c>
      <c r="J10" s="22">
        <v>0.124147487976524</v>
      </c>
      <c r="K10" s="22">
        <v>1.8538122553484901E-2</v>
      </c>
      <c r="L10" s="1"/>
      <c r="M10" s="1"/>
      <c r="N10" s="1"/>
      <c r="O10" s="1"/>
      <c r="P10" s="1"/>
      <c r="Q10" s="1"/>
      <c r="R10" s="6"/>
      <c r="S10" s="1"/>
      <c r="T10" s="1"/>
    </row>
    <row r="11" spans="1:20" x14ac:dyDescent="0.35">
      <c r="A11" s="1"/>
      <c r="B11" s="5"/>
      <c r="C11" s="72"/>
      <c r="D11" s="20" t="s">
        <v>223</v>
      </c>
      <c r="E11" s="21">
        <v>452.56</v>
      </c>
      <c r="F11" s="21">
        <v>448.3</v>
      </c>
      <c r="G11" s="21">
        <v>-4.25999999999999</v>
      </c>
      <c r="H11" s="22">
        <v>9.5025652464866307E-3</v>
      </c>
      <c r="I11" s="21">
        <v>0.13520292981488</v>
      </c>
      <c r="J11" s="22">
        <v>0.14141592473959</v>
      </c>
      <c r="K11" s="22">
        <v>2.1833863939127101E-2</v>
      </c>
      <c r="L11" s="1"/>
      <c r="M11" s="1"/>
      <c r="N11" s="1"/>
      <c r="O11" s="1"/>
      <c r="P11" s="1"/>
      <c r="Q11" s="1"/>
      <c r="R11" s="6"/>
      <c r="S11" s="1"/>
      <c r="T11" s="1"/>
    </row>
    <row r="12" spans="1:20" x14ac:dyDescent="0.35">
      <c r="A12" s="1"/>
      <c r="B12" s="5"/>
      <c r="C12" s="72"/>
      <c r="D12" s="20" t="s">
        <v>224</v>
      </c>
      <c r="E12" s="21">
        <v>516.29999999999995</v>
      </c>
      <c r="F12" s="21">
        <v>513.48</v>
      </c>
      <c r="G12" s="21">
        <v>-2.8199999999999399</v>
      </c>
      <c r="H12" s="22">
        <v>5.4919373685440301E-3</v>
      </c>
      <c r="I12" s="21">
        <v>0.188481193315225</v>
      </c>
      <c r="J12" s="22">
        <v>0.156068069861173</v>
      </c>
      <c r="K12" s="22">
        <v>2.1041806747616802E-2</v>
      </c>
      <c r="L12" s="1"/>
      <c r="M12" s="1"/>
      <c r="N12" s="1"/>
      <c r="O12" s="1"/>
      <c r="P12" s="1"/>
      <c r="Q12" s="1"/>
      <c r="R12" s="6"/>
      <c r="S12" s="1"/>
      <c r="T12" s="1"/>
    </row>
    <row r="13" spans="1:20" ht="23" x14ac:dyDescent="0.35">
      <c r="A13" s="1"/>
      <c r="B13" s="5"/>
      <c r="C13" s="72"/>
      <c r="D13" s="20" t="s">
        <v>225</v>
      </c>
      <c r="E13" s="21">
        <v>178.54</v>
      </c>
      <c r="F13" s="21">
        <v>178.27</v>
      </c>
      <c r="G13" s="21">
        <v>-0.26999999999998198</v>
      </c>
      <c r="H13" s="22">
        <v>1.51455657149269E-3</v>
      </c>
      <c r="I13" s="21">
        <v>0.155972806733571</v>
      </c>
      <c r="J13" s="22">
        <v>0.12254008173530299</v>
      </c>
      <c r="K13" s="22">
        <v>1.02987777274786E-2</v>
      </c>
      <c r="L13" s="1"/>
      <c r="M13" s="1"/>
      <c r="N13" s="1"/>
      <c r="O13" s="1"/>
      <c r="P13" s="1"/>
      <c r="Q13" s="1"/>
      <c r="R13" s="6"/>
      <c r="S13" s="1"/>
      <c r="T13" s="1"/>
    </row>
    <row r="14" spans="1:20" x14ac:dyDescent="0.35">
      <c r="A14" s="1"/>
      <c r="B14" s="5"/>
      <c r="C14" s="73"/>
      <c r="D14" s="20" t="s">
        <v>226</v>
      </c>
      <c r="E14" s="21">
        <v>154.13</v>
      </c>
      <c r="F14" s="21">
        <v>153.12</v>
      </c>
      <c r="G14" s="21">
        <v>-1.00999999999999</v>
      </c>
      <c r="H14" s="22">
        <v>6.5961337513060804E-3</v>
      </c>
      <c r="I14" s="21">
        <v>0.19545489800667001</v>
      </c>
      <c r="J14" s="22">
        <v>0.161667169128731</v>
      </c>
      <c r="K14" s="22">
        <v>2.3983523784214499E-2</v>
      </c>
      <c r="L14" s="1"/>
      <c r="M14" s="1"/>
      <c r="N14" s="1"/>
      <c r="O14" s="1"/>
      <c r="P14" s="1"/>
      <c r="Q14" s="1"/>
      <c r="R14" s="6"/>
      <c r="S14" s="1"/>
      <c r="T14" s="1"/>
    </row>
    <row r="15" spans="1:20" x14ac:dyDescent="0.35">
      <c r="A15" s="1"/>
      <c r="B15" s="5"/>
      <c r="C15" s="20" t="s">
        <v>227</v>
      </c>
      <c r="D15" s="20" t="s">
        <v>228</v>
      </c>
      <c r="E15" s="21">
        <v>299.07701514611898</v>
      </c>
      <c r="F15" s="21">
        <v>298.98413904537102</v>
      </c>
      <c r="G15" s="21">
        <v>-9.2876100748469498E-2</v>
      </c>
      <c r="H15" s="22">
        <v>3.1063888888893697E-4</v>
      </c>
      <c r="I15" s="21">
        <v>0.102218214440376</v>
      </c>
      <c r="J15" s="22">
        <v>6.5464149481178097E-2</v>
      </c>
      <c r="K15" s="22">
        <v>3.7340906064520199E-3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174024.1081638</v>
      </c>
      <c r="E21" s="27">
        <v>30410602</v>
      </c>
      <c r="F21" s="28">
        <v>0.84606266130192098</v>
      </c>
      <c r="G21" s="26">
        <v>7322.4351569999999</v>
      </c>
      <c r="H21" s="27">
        <v>406750</v>
      </c>
      <c r="I21" s="28">
        <v>3.5599889242419802E-2</v>
      </c>
      <c r="J21" s="26">
        <v>17387.294337679999</v>
      </c>
      <c r="K21" s="27">
        <v>1196228</v>
      </c>
      <c r="L21" s="28">
        <v>8.4532773507052794E-2</v>
      </c>
      <c r="M21" s="26">
        <v>6953.1830829999999</v>
      </c>
      <c r="N21" s="27">
        <v>106833</v>
      </c>
      <c r="O21" s="28">
        <v>3.3804675948606297E-2</v>
      </c>
      <c r="P21" s="26">
        <v>0</v>
      </c>
      <c r="Q21" s="25"/>
      <c r="R21" s="28">
        <v>0</v>
      </c>
      <c r="S21" s="1"/>
      <c r="T21" s="1"/>
    </row>
    <row r="22" spans="1:20" x14ac:dyDescent="0.35">
      <c r="A22" s="1"/>
      <c r="B22" s="5"/>
      <c r="C22" s="25" t="s">
        <v>239</v>
      </c>
      <c r="D22" s="26">
        <v>272598.69870776002</v>
      </c>
      <c r="E22" s="27">
        <v>34962360</v>
      </c>
      <c r="F22" s="28">
        <v>0.83754888433430696</v>
      </c>
      <c r="G22" s="26">
        <v>18185.638371500001</v>
      </c>
      <c r="H22" s="27">
        <v>960171</v>
      </c>
      <c r="I22" s="28">
        <v>5.58746655841003E-2</v>
      </c>
      <c r="J22" s="26">
        <v>32433.4547427</v>
      </c>
      <c r="K22" s="27">
        <v>1206493</v>
      </c>
      <c r="L22" s="28">
        <v>9.9650526446487198E-2</v>
      </c>
      <c r="M22" s="26">
        <v>2254.1941200000001</v>
      </c>
      <c r="N22" s="27">
        <v>379018</v>
      </c>
      <c r="O22" s="28">
        <v>6.9259236351050498E-3</v>
      </c>
      <c r="P22" s="26">
        <v>0</v>
      </c>
      <c r="Q22" s="25"/>
      <c r="R22" s="28">
        <v>0</v>
      </c>
      <c r="S22" s="1"/>
      <c r="T22" s="1"/>
    </row>
    <row r="23" spans="1:20" x14ac:dyDescent="0.35">
      <c r="A23" s="1"/>
      <c r="B23" s="5"/>
      <c r="C23" s="25" t="s">
        <v>240</v>
      </c>
      <c r="D23" s="26">
        <v>186770.075221523</v>
      </c>
      <c r="E23" s="27">
        <v>42866812.142857097</v>
      </c>
      <c r="F23" s="28">
        <v>0.83879826711735705</v>
      </c>
      <c r="G23" s="26">
        <v>11708.129308285699</v>
      </c>
      <c r="H23" s="27">
        <v>583505.14285714296</v>
      </c>
      <c r="I23" s="28">
        <v>5.2582077526754999E-2</v>
      </c>
      <c r="J23" s="26">
        <v>19091.272486175701</v>
      </c>
      <c r="K23" s="27">
        <v>3617211.57142857</v>
      </c>
      <c r="L23" s="28">
        <v>8.5740321405749803E-2</v>
      </c>
      <c r="M23" s="26">
        <v>5094.4012290000001</v>
      </c>
      <c r="N23" s="27">
        <v>722559.28571428603</v>
      </c>
      <c r="O23" s="28">
        <v>2.2879333950138601E-2</v>
      </c>
      <c r="P23" s="26">
        <v>0</v>
      </c>
      <c r="Q23" s="25"/>
      <c r="R23" s="28">
        <v>0</v>
      </c>
      <c r="S23" s="1"/>
      <c r="T23" s="1"/>
    </row>
    <row r="24" spans="1:20" x14ac:dyDescent="0.35">
      <c r="A24" s="1"/>
      <c r="B24" s="5"/>
      <c r="C24" s="25" t="s">
        <v>241</v>
      </c>
      <c r="D24" s="26">
        <v>1307390.5265506599</v>
      </c>
      <c r="E24" s="27">
        <v>300067685</v>
      </c>
      <c r="F24" s="28">
        <v>0.83879826711735594</v>
      </c>
      <c r="G24" s="26">
        <v>81956.905157999994</v>
      </c>
      <c r="H24" s="27">
        <v>4084536</v>
      </c>
      <c r="I24" s="28">
        <v>5.2582077526755103E-2</v>
      </c>
      <c r="J24" s="26">
        <v>133638.90740323</v>
      </c>
      <c r="K24" s="27">
        <v>25320481</v>
      </c>
      <c r="L24" s="28">
        <v>8.57403214057499E-2</v>
      </c>
      <c r="M24" s="26">
        <v>35660.808602999998</v>
      </c>
      <c r="N24" s="27">
        <v>5057915</v>
      </c>
      <c r="O24" s="28">
        <v>2.2879333950138601E-2</v>
      </c>
      <c r="P24" s="26">
        <v>0</v>
      </c>
      <c r="Q24" s="25"/>
      <c r="R24" s="28">
        <v>0</v>
      </c>
      <c r="S24" s="1"/>
      <c r="T24" s="1"/>
    </row>
    <row r="25" spans="1:20" x14ac:dyDescent="0.35">
      <c r="A25" s="1"/>
      <c r="B25" s="5"/>
      <c r="C25" s="25" t="s">
        <v>242</v>
      </c>
      <c r="D25" s="26">
        <v>226727.89439139899</v>
      </c>
      <c r="E25" s="27">
        <v>43605283.571428597</v>
      </c>
      <c r="F25" s="28">
        <v>0.78084541352360604</v>
      </c>
      <c r="G25" s="26">
        <v>20374.526035037401</v>
      </c>
      <c r="H25" s="27">
        <v>1167085.82312925</v>
      </c>
      <c r="I25" s="28">
        <v>7.0169377481678702E-2</v>
      </c>
      <c r="J25" s="26">
        <v>16987.5490774481</v>
      </c>
      <c r="K25" s="27">
        <v>3657460.42857143</v>
      </c>
      <c r="L25" s="28">
        <v>5.8504710325734503E-2</v>
      </c>
      <c r="M25" s="26">
        <v>5695.2407293265296</v>
      </c>
      <c r="N25" s="27">
        <v>922712.46938775503</v>
      </c>
      <c r="O25" s="28">
        <v>1.9614272052165101E-2</v>
      </c>
      <c r="P25" s="26">
        <v>20576.864595758401</v>
      </c>
      <c r="Q25" s="27">
        <v>17561858.775510199</v>
      </c>
      <c r="R25" s="28">
        <v>7.0866226616815201E-2</v>
      </c>
      <c r="S25" s="1"/>
      <c r="T25" s="1"/>
    </row>
    <row r="26" spans="1:20" x14ac:dyDescent="0.35">
      <c r="A26" s="1"/>
      <c r="B26" s="5"/>
      <c r="C26" s="25" t="s">
        <v>243</v>
      </c>
      <c r="D26" s="26">
        <v>33329000.475535698</v>
      </c>
      <c r="E26" s="27">
        <v>6409976685</v>
      </c>
      <c r="F26" s="28">
        <v>0.78084541352360604</v>
      </c>
      <c r="G26" s="26">
        <v>2995055.3271504999</v>
      </c>
      <c r="H26" s="27">
        <v>171561616</v>
      </c>
      <c r="I26" s="28">
        <v>7.0169377481678799E-2</v>
      </c>
      <c r="J26" s="26">
        <v>2497169.7143848701</v>
      </c>
      <c r="K26" s="27">
        <v>537646683</v>
      </c>
      <c r="L26" s="28">
        <v>5.8504710325734503E-2</v>
      </c>
      <c r="M26" s="26">
        <v>837200.38721099996</v>
      </c>
      <c r="N26" s="27">
        <v>135638733</v>
      </c>
      <c r="O26" s="28">
        <v>1.9614272052165101E-2</v>
      </c>
      <c r="P26" s="26">
        <v>3024799.0955764898</v>
      </c>
      <c r="Q26" s="27">
        <v>2581593240</v>
      </c>
      <c r="R26" s="28">
        <v>7.0866226616815298E-2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3907327.4552640002</v>
      </c>
      <c r="E32" s="28">
        <v>0.30950307738605198</v>
      </c>
      <c r="F32" s="26">
        <v>8526588.9437189996</v>
      </c>
      <c r="G32" s="28">
        <v>0.67539911817004605</v>
      </c>
      <c r="H32" s="26">
        <v>190602.517804</v>
      </c>
      <c r="I32" s="28">
        <v>1.50978044439027E-2</v>
      </c>
      <c r="J32" s="1"/>
      <c r="K32" s="1"/>
      <c r="L32" s="1"/>
      <c r="M32" s="1"/>
      <c r="N32" s="1"/>
      <c r="O32" s="1"/>
      <c r="P32" s="1"/>
      <c r="Q32" s="1"/>
      <c r="R32" s="6"/>
      <c r="S32" s="1"/>
      <c r="T32" s="1"/>
    </row>
    <row r="33" spans="1:20" x14ac:dyDescent="0.35">
      <c r="A33" s="1"/>
      <c r="B33" s="5"/>
      <c r="C33" s="25" t="s">
        <v>239</v>
      </c>
      <c r="D33" s="26">
        <v>4558920.5622230005</v>
      </c>
      <c r="E33" s="28">
        <v>0.335478061754583</v>
      </c>
      <c r="F33" s="26">
        <v>8904738.6847530007</v>
      </c>
      <c r="G33" s="28">
        <v>0.65527451808357695</v>
      </c>
      <c r="H33" s="26">
        <v>125666.202144</v>
      </c>
      <c r="I33" s="28">
        <v>9.2474201618401707E-3</v>
      </c>
      <c r="J33" s="1"/>
      <c r="K33" s="1"/>
      <c r="L33" s="1"/>
      <c r="M33" s="1"/>
      <c r="N33" s="1"/>
      <c r="O33" s="1"/>
      <c r="P33" s="1"/>
      <c r="Q33" s="1"/>
      <c r="R33" s="6"/>
      <c r="S33" s="1"/>
      <c r="T33" s="1"/>
    </row>
    <row r="34" spans="1:20" x14ac:dyDescent="0.35">
      <c r="A34" s="1"/>
      <c r="B34" s="5"/>
      <c r="C34" s="25" t="s">
        <v>240</v>
      </c>
      <c r="D34" s="26">
        <v>4192715.51493969</v>
      </c>
      <c r="E34" s="28">
        <v>0.32885846366377403</v>
      </c>
      <c r="F34" s="26">
        <v>8511404.1642228495</v>
      </c>
      <c r="G34" s="28">
        <v>0.66759771491628195</v>
      </c>
      <c r="H34" s="26">
        <v>45181.245706857102</v>
      </c>
      <c r="I34" s="28">
        <v>3.5438214199434602E-3</v>
      </c>
      <c r="J34" s="1"/>
      <c r="K34" s="1"/>
      <c r="L34" s="1"/>
      <c r="M34" s="1"/>
      <c r="N34" s="1"/>
      <c r="O34" s="1"/>
      <c r="P34" s="1"/>
      <c r="Q34" s="1"/>
      <c r="R34" s="6"/>
      <c r="S34" s="1"/>
      <c r="T34" s="1"/>
    </row>
    <row r="35" spans="1:20" x14ac:dyDescent="0.35">
      <c r="A35" s="1"/>
      <c r="B35" s="5"/>
      <c r="C35" s="25" t="s">
        <v>241</v>
      </c>
      <c r="D35" s="26">
        <v>29349008.604577798</v>
      </c>
      <c r="E35" s="28">
        <v>0.32885846366377403</v>
      </c>
      <c r="F35" s="26">
        <v>59579829.149559997</v>
      </c>
      <c r="G35" s="28">
        <v>0.66759771491628195</v>
      </c>
      <c r="H35" s="26">
        <v>316268.71994799998</v>
      </c>
      <c r="I35" s="28">
        <v>3.5438214199434602E-3</v>
      </c>
      <c r="J35" s="1"/>
      <c r="K35" s="1"/>
      <c r="L35" s="1"/>
      <c r="M35" s="1"/>
      <c r="N35" s="1"/>
      <c r="O35" s="1"/>
      <c r="P35" s="1"/>
      <c r="Q35" s="1"/>
      <c r="R35" s="6"/>
      <c r="S35" s="1"/>
      <c r="T35" s="1"/>
    </row>
    <row r="36" spans="1:20" x14ac:dyDescent="0.35">
      <c r="A36" s="1"/>
      <c r="B36" s="5"/>
      <c r="C36" s="25" t="s">
        <v>242</v>
      </c>
      <c r="D36" s="26">
        <v>4554356.1935368804</v>
      </c>
      <c r="E36" s="28">
        <v>0.41311010114239899</v>
      </c>
      <c r="F36" s="26">
        <v>6341596.0082052099</v>
      </c>
      <c r="G36" s="28">
        <v>0.57522452285827697</v>
      </c>
      <c r="H36" s="26">
        <v>128605.612125054</v>
      </c>
      <c r="I36" s="28">
        <v>1.16653759993248E-2</v>
      </c>
      <c r="J36" s="1"/>
      <c r="K36" s="1"/>
      <c r="L36" s="1"/>
      <c r="M36" s="1"/>
      <c r="N36" s="1"/>
      <c r="O36" s="1"/>
      <c r="P36" s="1"/>
      <c r="Q36" s="1"/>
      <c r="R36" s="6"/>
      <c r="S36" s="1"/>
      <c r="T36" s="1"/>
    </row>
    <row r="37" spans="1:20" x14ac:dyDescent="0.35">
      <c r="A37" s="1"/>
      <c r="B37" s="5"/>
      <c r="C37" s="25" t="s">
        <v>243</v>
      </c>
      <c r="D37" s="26">
        <v>669490360.44992101</v>
      </c>
      <c r="E37" s="28">
        <v>0.41311010114239899</v>
      </c>
      <c r="F37" s="26">
        <v>932214613.20616603</v>
      </c>
      <c r="G37" s="28">
        <v>0.57522452285827697</v>
      </c>
      <c r="H37" s="26">
        <v>18905024.982383002</v>
      </c>
      <c r="I37" s="28">
        <v>1.16653759993248E-2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2055.3409999999999</v>
      </c>
      <c r="E43" s="26">
        <v>108</v>
      </c>
      <c r="F43" s="28">
        <v>1.9108014314115299E-3</v>
      </c>
      <c r="G43" s="26">
        <v>952020.35</v>
      </c>
      <c r="H43" s="26">
        <v>4086</v>
      </c>
      <c r="I43" s="28">
        <v>0.88507057831907299</v>
      </c>
      <c r="J43" s="26">
        <v>121567.736</v>
      </c>
      <c r="K43" s="26">
        <v>774</v>
      </c>
      <c r="L43" s="28">
        <v>0.11301862024951501</v>
      </c>
      <c r="M43" s="26">
        <v>0</v>
      </c>
      <c r="N43" s="25"/>
      <c r="O43" s="28">
        <v>0</v>
      </c>
      <c r="P43" s="26">
        <v>0</v>
      </c>
      <c r="Q43" s="25"/>
      <c r="R43" s="28">
        <v>0</v>
      </c>
      <c r="S43" s="1"/>
      <c r="T43" s="1"/>
    </row>
    <row r="44" spans="1:20" x14ac:dyDescent="0.35">
      <c r="A44" s="1"/>
      <c r="B44" s="5"/>
      <c r="C44" s="25" t="s">
        <v>239</v>
      </c>
      <c r="D44" s="26">
        <v>2193.6439999999998</v>
      </c>
      <c r="E44" s="26">
        <v>229</v>
      </c>
      <c r="F44" s="28">
        <v>2.3700829921014998E-3</v>
      </c>
      <c r="G44" s="26">
        <v>514222.62</v>
      </c>
      <c r="H44" s="26">
        <v>2208</v>
      </c>
      <c r="I44" s="28">
        <v>0.55558253108338096</v>
      </c>
      <c r="J44" s="26">
        <v>409139.51075999998</v>
      </c>
      <c r="K44" s="26">
        <v>18197</v>
      </c>
      <c r="L44" s="28">
        <v>0.44204738592451798</v>
      </c>
      <c r="M44" s="26">
        <v>0</v>
      </c>
      <c r="N44" s="25"/>
      <c r="O44" s="28">
        <v>0</v>
      </c>
      <c r="P44" s="26">
        <v>0</v>
      </c>
      <c r="Q44" s="25"/>
      <c r="R44" s="28">
        <v>0</v>
      </c>
      <c r="S44" s="1"/>
      <c r="T44" s="1"/>
    </row>
    <row r="45" spans="1:20" x14ac:dyDescent="0.35">
      <c r="A45" s="1"/>
      <c r="B45" s="5"/>
      <c r="C45" s="25" t="s">
        <v>252</v>
      </c>
      <c r="D45" s="26">
        <v>42791.171285714299</v>
      </c>
      <c r="E45" s="26">
        <v>7752.1428571428596</v>
      </c>
      <c r="F45" s="28">
        <v>1.56898238873833E-3</v>
      </c>
      <c r="G45" s="26">
        <v>12813882.8514286</v>
      </c>
      <c r="H45" s="26">
        <v>57295.285714285703</v>
      </c>
      <c r="I45" s="28">
        <v>0.46983421862909902</v>
      </c>
      <c r="J45" s="26">
        <v>14416064.7382771</v>
      </c>
      <c r="K45" s="26">
        <v>148557.85714285701</v>
      </c>
      <c r="L45" s="28">
        <v>0.52857986845570404</v>
      </c>
      <c r="M45" s="26">
        <v>212.23428571428599</v>
      </c>
      <c r="N45" s="26">
        <v>73.142857142857096</v>
      </c>
      <c r="O45" s="28">
        <v>7.7817887794845493E-6</v>
      </c>
      <c r="P45" s="26">
        <v>249.515357142857</v>
      </c>
      <c r="Q45" s="26">
        <v>42.857142857142897</v>
      </c>
      <c r="R45" s="28">
        <v>9.1487376791574907E-6</v>
      </c>
      <c r="S45" s="1"/>
      <c r="T45" s="1"/>
    </row>
    <row r="46" spans="1:20" x14ac:dyDescent="0.35">
      <c r="A46" s="1"/>
      <c r="B46" s="5"/>
      <c r="C46" s="25" t="s">
        <v>241</v>
      </c>
      <c r="D46" s="26">
        <v>15532.27</v>
      </c>
      <c r="E46" s="26">
        <v>1564</v>
      </c>
      <c r="F46" s="28">
        <v>9.9768071104092506E-4</v>
      </c>
      <c r="G46" s="26">
        <v>8613161.8200000003</v>
      </c>
      <c r="H46" s="26">
        <v>36972</v>
      </c>
      <c r="I46" s="28">
        <v>0.55324723359097805</v>
      </c>
      <c r="J46" s="26">
        <v>6939667.2762000002</v>
      </c>
      <c r="K46" s="26">
        <v>77362</v>
      </c>
      <c r="L46" s="28">
        <v>0.44575404512712302</v>
      </c>
      <c r="M46" s="26">
        <v>16.2</v>
      </c>
      <c r="N46" s="26">
        <v>12</v>
      </c>
      <c r="O46" s="28">
        <v>1.0405708578889599E-6</v>
      </c>
      <c r="P46" s="26">
        <v>0</v>
      </c>
      <c r="Q46" s="25"/>
      <c r="R46" s="28">
        <v>0</v>
      </c>
      <c r="S46" s="1"/>
      <c r="T46" s="1"/>
    </row>
    <row r="47" spans="1:20" x14ac:dyDescent="0.35">
      <c r="A47" s="1"/>
      <c r="B47" s="5"/>
      <c r="C47" s="25" t="s">
        <v>242</v>
      </c>
      <c r="D47" s="26">
        <v>2037.6748231292499</v>
      </c>
      <c r="E47" s="26">
        <v>369.149659863946</v>
      </c>
      <c r="F47" s="28">
        <v>1.56898238873832E-3</v>
      </c>
      <c r="G47" s="26">
        <v>610184.89768707496</v>
      </c>
      <c r="H47" s="26">
        <v>2728.3469387755099</v>
      </c>
      <c r="I47" s="28">
        <v>0.46983421862909802</v>
      </c>
      <c r="J47" s="26">
        <v>686479.27325129195</v>
      </c>
      <c r="K47" s="26">
        <v>7074.1836734693898</v>
      </c>
      <c r="L47" s="28">
        <v>0.52857986845570504</v>
      </c>
      <c r="M47" s="26">
        <v>10.1063945578231</v>
      </c>
      <c r="N47" s="26">
        <v>3.4829931972789101</v>
      </c>
      <c r="O47" s="28">
        <v>7.7817887794845103E-6</v>
      </c>
      <c r="P47" s="26">
        <v>11.8816836734694</v>
      </c>
      <c r="Q47" s="26">
        <v>2.0408163265306101</v>
      </c>
      <c r="R47" s="28">
        <v>9.1487376791574992E-6</v>
      </c>
      <c r="S47" s="1"/>
      <c r="T47" s="1"/>
    </row>
    <row r="48" spans="1:20" x14ac:dyDescent="0.35">
      <c r="A48" s="1"/>
      <c r="B48" s="9"/>
      <c r="C48" s="25" t="s">
        <v>243</v>
      </c>
      <c r="D48" s="26">
        <v>299538.19900000002</v>
      </c>
      <c r="E48" s="26">
        <v>54265</v>
      </c>
      <c r="F48" s="28">
        <v>1.56898238873832E-3</v>
      </c>
      <c r="G48" s="26">
        <v>89697179.959999993</v>
      </c>
      <c r="H48" s="26">
        <v>401067</v>
      </c>
      <c r="I48" s="28">
        <v>0.46983421862909802</v>
      </c>
      <c r="J48" s="26">
        <v>100912453.16794001</v>
      </c>
      <c r="K48" s="26">
        <v>1039905</v>
      </c>
      <c r="L48" s="28">
        <v>0.52857986845570504</v>
      </c>
      <c r="M48" s="26">
        <v>1485.64</v>
      </c>
      <c r="N48" s="26">
        <v>512</v>
      </c>
      <c r="O48" s="28">
        <v>7.7817887794845306E-6</v>
      </c>
      <c r="P48" s="26">
        <v>1746.6075000000001</v>
      </c>
      <c r="Q48" s="26">
        <v>300</v>
      </c>
      <c r="R48" s="28">
        <v>9.1487376791574907E-6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39380</v>
      </c>
      <c r="G8" s="32">
        <v>6.6927528460621003E-3</v>
      </c>
      <c r="H8" s="1"/>
      <c r="I8" s="6"/>
      <c r="J8" s="1"/>
      <c r="K8" s="1"/>
    </row>
    <row r="9" spans="1:11" x14ac:dyDescent="0.35">
      <c r="A9" s="1"/>
      <c r="B9" s="5"/>
      <c r="C9" s="20" t="s">
        <v>260</v>
      </c>
      <c r="D9" s="20" t="s">
        <v>261</v>
      </c>
      <c r="E9" s="30">
        <v>7.8527323043468995E-3</v>
      </c>
      <c r="F9" s="31">
        <v>4955</v>
      </c>
      <c r="G9" s="32">
        <v>1.6009499709123399E-2</v>
      </c>
      <c r="H9" s="1"/>
      <c r="I9" s="6"/>
      <c r="J9" s="1"/>
      <c r="K9" s="1"/>
    </row>
    <row r="10" spans="1:11" x14ac:dyDescent="0.35">
      <c r="A10" s="1"/>
      <c r="B10" s="5"/>
      <c r="C10" s="20" t="s">
        <v>262</v>
      </c>
      <c r="D10" s="20" t="s">
        <v>263</v>
      </c>
      <c r="E10" s="30">
        <v>9.8277651090288003E-3</v>
      </c>
      <c r="F10" s="31">
        <v>11200</v>
      </c>
      <c r="G10" s="32">
        <v>4.5288308428942201E-2</v>
      </c>
      <c r="H10" s="1"/>
      <c r="I10" s="6"/>
      <c r="J10" s="1"/>
      <c r="K10" s="1"/>
    </row>
    <row r="11" spans="1:11" x14ac:dyDescent="0.35">
      <c r="A11" s="1"/>
      <c r="B11" s="5"/>
      <c r="C11" s="20" t="s">
        <v>264</v>
      </c>
      <c r="D11" s="20" t="s">
        <v>265</v>
      </c>
      <c r="E11" s="30">
        <v>4.1029674441539999E-3</v>
      </c>
      <c r="F11" s="31">
        <v>87900</v>
      </c>
      <c r="G11" s="32">
        <v>0.14838850350393601</v>
      </c>
      <c r="H11" s="1"/>
      <c r="I11" s="6"/>
      <c r="J11" s="1"/>
      <c r="K11" s="1"/>
    </row>
    <row r="12" spans="1:11" x14ac:dyDescent="0.35">
      <c r="A12" s="1"/>
      <c r="B12" s="5"/>
      <c r="C12" s="20" t="s">
        <v>266</v>
      </c>
      <c r="D12" s="20" t="s">
        <v>267</v>
      </c>
      <c r="E12" s="30">
        <v>1.4871708505101E-3</v>
      </c>
      <c r="F12" s="31">
        <v>21800</v>
      </c>
      <c r="G12" s="32">
        <v>1.3339227114781501E-2</v>
      </c>
      <c r="H12" s="1"/>
      <c r="I12" s="6"/>
      <c r="J12" s="1"/>
      <c r="K12" s="1"/>
    </row>
    <row r="13" spans="1:11" x14ac:dyDescent="0.35">
      <c r="A13" s="1"/>
      <c r="B13" s="5"/>
      <c r="C13" s="20" t="s">
        <v>268</v>
      </c>
      <c r="D13" s="20" t="s">
        <v>269</v>
      </c>
      <c r="E13" s="30">
        <v>8.4582993876545304E-2</v>
      </c>
      <c r="F13" s="31">
        <v>2655</v>
      </c>
      <c r="G13" s="32">
        <v>9.2397641894393201E-2</v>
      </c>
      <c r="H13" s="1"/>
      <c r="I13" s="6"/>
      <c r="J13" s="1"/>
      <c r="K13" s="1"/>
    </row>
    <row r="14" spans="1:11" x14ac:dyDescent="0.35">
      <c r="A14" s="1"/>
      <c r="B14" s="5"/>
      <c r="C14" s="20" t="s">
        <v>270</v>
      </c>
      <c r="D14" s="20" t="s">
        <v>271</v>
      </c>
      <c r="E14" s="30">
        <v>2.4377301188076E-3</v>
      </c>
      <c r="F14" s="31">
        <v>4730</v>
      </c>
      <c r="G14" s="32">
        <v>4.7441681425087001E-3</v>
      </c>
      <c r="H14" s="1"/>
      <c r="I14" s="6"/>
      <c r="J14" s="1"/>
      <c r="K14" s="1"/>
    </row>
    <row r="15" spans="1:11" x14ac:dyDescent="0.35">
      <c r="A15" s="1"/>
      <c r="B15" s="5"/>
      <c r="C15" s="20" t="s">
        <v>272</v>
      </c>
      <c r="D15" s="20" t="s">
        <v>273</v>
      </c>
      <c r="E15" s="30">
        <v>4.51645900395415E-2</v>
      </c>
      <c r="F15" s="31">
        <v>2885</v>
      </c>
      <c r="G15" s="32">
        <v>5.3611406226862203E-2</v>
      </c>
      <c r="H15" s="1"/>
      <c r="I15" s="6"/>
      <c r="J15" s="1"/>
      <c r="K15" s="1"/>
    </row>
    <row r="16" spans="1:11" x14ac:dyDescent="0.35">
      <c r="A16" s="1"/>
      <c r="B16" s="5"/>
      <c r="C16" s="20" t="s">
        <v>274</v>
      </c>
      <c r="D16" s="20" t="s">
        <v>275</v>
      </c>
      <c r="E16" s="30">
        <v>2.410139499907E-4</v>
      </c>
      <c r="F16" s="31">
        <v>79600</v>
      </c>
      <c r="G16" s="32">
        <v>7.8934808036622006E-3</v>
      </c>
      <c r="H16" s="1"/>
      <c r="I16" s="6"/>
      <c r="J16" s="1"/>
      <c r="K16" s="1"/>
    </row>
    <row r="17" spans="1:11" x14ac:dyDescent="0.35">
      <c r="A17" s="1"/>
      <c r="B17" s="5"/>
      <c r="C17" s="20" t="s">
        <v>276</v>
      </c>
      <c r="D17" s="20" t="s">
        <v>277</v>
      </c>
      <c r="E17" s="30">
        <v>5.7671933858068998E-3</v>
      </c>
      <c r="F17" s="31">
        <v>19360</v>
      </c>
      <c r="G17" s="32">
        <v>4.5939173383209998E-2</v>
      </c>
      <c r="H17" s="1"/>
      <c r="I17" s="6"/>
      <c r="J17" s="1"/>
      <c r="K17" s="1"/>
    </row>
    <row r="18" spans="1:11" x14ac:dyDescent="0.35">
      <c r="A18" s="1"/>
      <c r="B18" s="5"/>
      <c r="C18" s="20" t="s">
        <v>278</v>
      </c>
      <c r="D18" s="20" t="s">
        <v>279</v>
      </c>
      <c r="E18" s="30">
        <v>2.2248560936720002E-3</v>
      </c>
      <c r="F18" s="31">
        <v>58000</v>
      </c>
      <c r="G18" s="32">
        <v>5.3093728911510603E-2</v>
      </c>
      <c r="H18" s="1"/>
      <c r="I18" s="6"/>
      <c r="J18" s="1"/>
      <c r="K18" s="1"/>
    </row>
    <row r="19" spans="1:11" x14ac:dyDescent="0.35">
      <c r="A19" s="1"/>
      <c r="B19" s="5"/>
      <c r="C19" s="20" t="s">
        <v>280</v>
      </c>
      <c r="D19" s="20" t="s">
        <v>281</v>
      </c>
      <c r="E19" s="30">
        <v>7.9257523416149007E-3</v>
      </c>
      <c r="F19" s="31">
        <v>29420</v>
      </c>
      <c r="G19" s="32">
        <v>9.5939284449510595E-2</v>
      </c>
      <c r="H19" s="1"/>
      <c r="I19" s="6"/>
      <c r="J19" s="1"/>
      <c r="K19" s="1"/>
    </row>
    <row r="20" spans="1:11" x14ac:dyDescent="0.35">
      <c r="A20" s="1"/>
      <c r="B20" s="5"/>
      <c r="C20" s="20" t="s">
        <v>282</v>
      </c>
      <c r="D20" s="20" t="s">
        <v>283</v>
      </c>
      <c r="E20" s="30">
        <v>1.4550210465666001E-3</v>
      </c>
      <c r="F20" s="31">
        <v>16980</v>
      </c>
      <c r="G20" s="32">
        <v>1.0165301639902501E-2</v>
      </c>
      <c r="H20" s="1"/>
      <c r="I20" s="6"/>
      <c r="J20" s="1"/>
      <c r="K20" s="1"/>
    </row>
    <row r="21" spans="1:11" x14ac:dyDescent="0.35">
      <c r="A21" s="1"/>
      <c r="B21" s="5"/>
      <c r="C21" s="20" t="s">
        <v>284</v>
      </c>
      <c r="D21" s="20" t="s">
        <v>285</v>
      </c>
      <c r="E21" s="30">
        <v>5.3614852097960003E-4</v>
      </c>
      <c r="F21" s="31">
        <v>68280</v>
      </c>
      <c r="G21" s="32">
        <v>1.5062322208845401E-2</v>
      </c>
      <c r="H21" s="1"/>
      <c r="I21" s="6"/>
      <c r="J21" s="1"/>
      <c r="K21" s="1"/>
    </row>
    <row r="22" spans="1:11" x14ac:dyDescent="0.35">
      <c r="A22" s="1"/>
      <c r="B22" s="5"/>
      <c r="C22" s="20" t="s">
        <v>286</v>
      </c>
      <c r="D22" s="20" t="s">
        <v>287</v>
      </c>
      <c r="E22" s="30">
        <v>7.1019350628283004E-2</v>
      </c>
      <c r="F22" s="31">
        <v>855</v>
      </c>
      <c r="G22" s="32">
        <v>2.49836634315381E-2</v>
      </c>
      <c r="H22" s="1"/>
      <c r="I22" s="6"/>
      <c r="J22" s="1"/>
      <c r="K22" s="1"/>
    </row>
    <row r="23" spans="1:11" x14ac:dyDescent="0.35">
      <c r="A23" s="1"/>
      <c r="B23" s="5"/>
      <c r="C23" s="20" t="s">
        <v>288</v>
      </c>
      <c r="D23" s="20" t="s">
        <v>265</v>
      </c>
      <c r="E23" s="30">
        <v>7.9443627830654995E-3</v>
      </c>
      <c r="F23" s="31">
        <v>75020</v>
      </c>
      <c r="G23" s="32">
        <v>0.24521635745873399</v>
      </c>
      <c r="H23" s="1"/>
      <c r="I23" s="6"/>
      <c r="J23" s="1"/>
      <c r="K23" s="1"/>
    </row>
    <row r="24" spans="1:11" x14ac:dyDescent="0.35">
      <c r="A24" s="1"/>
      <c r="B24" s="5"/>
      <c r="C24" s="20" t="s">
        <v>289</v>
      </c>
      <c r="D24" s="20" t="s">
        <v>267</v>
      </c>
      <c r="E24" s="30">
        <v>3.0094580312550002E-4</v>
      </c>
      <c r="F24" s="31">
        <v>18500</v>
      </c>
      <c r="G24" s="32">
        <v>2.2907269673610002E-3</v>
      </c>
      <c r="H24" s="1"/>
      <c r="I24" s="6"/>
      <c r="J24" s="1"/>
      <c r="K24" s="1"/>
    </row>
    <row r="25" spans="1:11" x14ac:dyDescent="0.35">
      <c r="A25" s="1"/>
      <c r="B25" s="5"/>
      <c r="C25" s="20" t="s">
        <v>290</v>
      </c>
      <c r="D25" s="20" t="s">
        <v>291</v>
      </c>
      <c r="E25" s="30">
        <v>1.8944039787343E-3</v>
      </c>
      <c r="F25" s="31">
        <v>32700</v>
      </c>
      <c r="G25" s="32">
        <v>2.5487876773689001E-2</v>
      </c>
      <c r="H25" s="1"/>
      <c r="I25" s="6"/>
      <c r="J25" s="1"/>
      <c r="K25" s="1"/>
    </row>
    <row r="26" spans="1:11" x14ac:dyDescent="0.35">
      <c r="A26" s="1"/>
      <c r="B26" s="5"/>
      <c r="C26" s="20" t="s">
        <v>292</v>
      </c>
      <c r="D26" s="20" t="s">
        <v>277</v>
      </c>
      <c r="E26" s="30">
        <v>4.9389373834562997E-3</v>
      </c>
      <c r="F26" s="31">
        <v>14900</v>
      </c>
      <c r="G26" s="32">
        <v>3.02784122337427E-2</v>
      </c>
      <c r="H26" s="1"/>
      <c r="I26" s="6"/>
      <c r="J26" s="1"/>
      <c r="K26" s="1"/>
    </row>
    <row r="27" spans="1:11" x14ac:dyDescent="0.35">
      <c r="A27" s="1"/>
      <c r="B27" s="5"/>
      <c r="C27" s="20" t="s">
        <v>293</v>
      </c>
      <c r="D27" s="20" t="s">
        <v>279</v>
      </c>
      <c r="E27" s="30">
        <v>2.7508191506189E-3</v>
      </c>
      <c r="F27" s="31">
        <v>46740</v>
      </c>
      <c r="G27" s="32">
        <v>5.2901021251178897E-2</v>
      </c>
      <c r="H27" s="1"/>
      <c r="I27" s="6"/>
      <c r="J27" s="1"/>
      <c r="K27" s="1"/>
    </row>
    <row r="28" spans="1:11" x14ac:dyDescent="0.35">
      <c r="A28" s="1"/>
      <c r="B28" s="5"/>
      <c r="C28" s="20" t="s">
        <v>294</v>
      </c>
      <c r="D28" s="20" t="s">
        <v>295</v>
      </c>
      <c r="E28" s="30">
        <v>2.0300406334064001E-3</v>
      </c>
      <c r="F28" s="31">
        <v>6640</v>
      </c>
      <c r="G28" s="32">
        <v>5.5460798641481998E-3</v>
      </c>
      <c r="H28" s="1"/>
      <c r="I28" s="6"/>
      <c r="J28" s="1"/>
      <c r="K28" s="1"/>
    </row>
    <row r="29" spans="1:11" x14ac:dyDescent="0.35">
      <c r="A29" s="1"/>
      <c r="B29" s="5"/>
      <c r="C29" s="20" t="s">
        <v>296</v>
      </c>
      <c r="D29" s="20" t="s">
        <v>297</v>
      </c>
      <c r="E29" s="30">
        <v>6.4907212788069995E-4</v>
      </c>
      <c r="F29" s="31">
        <v>17720</v>
      </c>
      <c r="G29" s="32">
        <v>4.7322751367223003E-3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9.7718691213218994E-2</v>
      </c>
      <c r="H34" s="1"/>
      <c r="I34" s="6"/>
      <c r="J34" s="1"/>
      <c r="K34" s="1"/>
    </row>
    <row r="35" spans="1:11" x14ac:dyDescent="0.35">
      <c r="A35" s="1"/>
      <c r="B35" s="5"/>
      <c r="C35" s="20" t="s">
        <v>337</v>
      </c>
      <c r="D35" s="20" t="s">
        <v>338</v>
      </c>
      <c r="E35" s="20" t="s">
        <v>339</v>
      </c>
      <c r="F35" s="20" t="s">
        <v>340</v>
      </c>
      <c r="G35" s="32">
        <v>7.6742025634516195E-2</v>
      </c>
      <c r="H35" s="1"/>
      <c r="I35" s="6"/>
      <c r="J35" s="1"/>
      <c r="K35" s="1"/>
    </row>
    <row r="36" spans="1:11" x14ac:dyDescent="0.35">
      <c r="A36" s="1"/>
      <c r="B36" s="5"/>
      <c r="C36" s="20" t="s">
        <v>341</v>
      </c>
      <c r="D36" s="20" t="s">
        <v>342</v>
      </c>
      <c r="E36" s="20" t="s">
        <v>343</v>
      </c>
      <c r="F36" s="20" t="s">
        <v>344</v>
      </c>
      <c r="G36" s="32">
        <v>4.4976338050257303E-2</v>
      </c>
      <c r="H36" s="1"/>
      <c r="I36" s="6"/>
      <c r="J36" s="1"/>
      <c r="K36" s="1"/>
    </row>
    <row r="37" spans="1:11" x14ac:dyDescent="0.35">
      <c r="A37" s="1"/>
      <c r="B37" s="5"/>
      <c r="C37" s="20" t="s">
        <v>345</v>
      </c>
      <c r="D37" s="20" t="s">
        <v>346</v>
      </c>
      <c r="E37" s="20" t="s">
        <v>347</v>
      </c>
      <c r="F37" s="20" t="s">
        <v>348</v>
      </c>
      <c r="G37" s="32">
        <v>5.4998179294567101E-2</v>
      </c>
      <c r="H37" s="1"/>
      <c r="I37" s="6"/>
      <c r="J37" s="1"/>
      <c r="K37" s="1"/>
    </row>
    <row r="38" spans="1:11" x14ac:dyDescent="0.35">
      <c r="A38" s="1"/>
      <c r="B38" s="5"/>
      <c r="C38" s="20" t="s">
        <v>349</v>
      </c>
      <c r="D38" s="20" t="s">
        <v>350</v>
      </c>
      <c r="E38" s="20" t="s">
        <v>351</v>
      </c>
      <c r="F38" s="20" t="s">
        <v>352</v>
      </c>
      <c r="G38" s="32">
        <v>0.116721738428489</v>
      </c>
      <c r="H38" s="1"/>
      <c r="I38" s="6"/>
      <c r="J38" s="1"/>
      <c r="K38" s="1"/>
    </row>
    <row r="39" spans="1:11" x14ac:dyDescent="0.35">
      <c r="A39" s="1"/>
      <c r="B39" s="5"/>
      <c r="C39" s="20" t="s">
        <v>353</v>
      </c>
      <c r="D39" s="20" t="s">
        <v>354</v>
      </c>
      <c r="E39" s="20" t="s">
        <v>355</v>
      </c>
      <c r="F39" s="20" t="s">
        <v>356</v>
      </c>
      <c r="G39" s="32">
        <v>0.101716685108415</v>
      </c>
      <c r="H39" s="1"/>
      <c r="I39" s="6"/>
      <c r="J39" s="1"/>
      <c r="K39" s="1"/>
    </row>
    <row r="40" spans="1:11" x14ac:dyDescent="0.35">
      <c r="A40" s="1"/>
      <c r="B40" s="5"/>
      <c r="C40" s="20" t="s">
        <v>357</v>
      </c>
      <c r="D40" s="20" t="s">
        <v>358</v>
      </c>
      <c r="E40" s="20" t="s">
        <v>359</v>
      </c>
      <c r="F40" s="20" t="s">
        <v>360</v>
      </c>
      <c r="G40" s="32">
        <v>2.2082439210748199E-2</v>
      </c>
      <c r="H40" s="1"/>
      <c r="I40" s="6"/>
      <c r="J40" s="1"/>
      <c r="K40" s="1"/>
    </row>
    <row r="41" spans="1:11" x14ac:dyDescent="0.35">
      <c r="A41" s="1"/>
      <c r="B41" s="5"/>
      <c r="C41" s="20" t="s">
        <v>361</v>
      </c>
      <c r="D41" s="20" t="s">
        <v>362</v>
      </c>
      <c r="E41" s="20" t="s">
        <v>363</v>
      </c>
      <c r="F41" s="20" t="s">
        <v>364</v>
      </c>
      <c r="G41" s="32">
        <v>4.9228515884067597E-2</v>
      </c>
      <c r="H41" s="1"/>
      <c r="I41" s="6"/>
      <c r="J41" s="1"/>
      <c r="K41" s="1"/>
    </row>
    <row r="42" spans="1:11" x14ac:dyDescent="0.35">
      <c r="A42" s="1"/>
      <c r="B42" s="5"/>
      <c r="C42" s="20" t="s">
        <v>365</v>
      </c>
      <c r="D42" s="20" t="s">
        <v>366</v>
      </c>
      <c r="E42" s="20" t="s">
        <v>367</v>
      </c>
      <c r="F42" s="20" t="s">
        <v>368</v>
      </c>
      <c r="G42" s="32">
        <v>2.68706759618874E-2</v>
      </c>
      <c r="H42" s="1"/>
      <c r="I42" s="6"/>
      <c r="J42" s="1"/>
      <c r="K42" s="1"/>
    </row>
    <row r="43" spans="1:11" x14ac:dyDescent="0.35">
      <c r="A43" s="1"/>
      <c r="B43" s="5"/>
      <c r="C43" s="20" t="s">
        <v>369</v>
      </c>
      <c r="D43" s="20" t="s">
        <v>370</v>
      </c>
      <c r="E43" s="20" t="s">
        <v>371</v>
      </c>
      <c r="F43" s="20" t="s">
        <v>372</v>
      </c>
      <c r="G43" s="32">
        <v>7.4032040733021595E-2</v>
      </c>
      <c r="H43" s="1"/>
      <c r="I43" s="6"/>
      <c r="J43" s="1"/>
      <c r="K43" s="1"/>
    </row>
    <row r="44" spans="1:11" x14ac:dyDescent="0.35">
      <c r="A44" s="1"/>
      <c r="B44" s="5"/>
      <c r="C44" s="20" t="s">
        <v>373</v>
      </c>
      <c r="D44" s="20" t="s">
        <v>374</v>
      </c>
      <c r="E44" s="20" t="s">
        <v>375</v>
      </c>
      <c r="F44" s="20" t="s">
        <v>376</v>
      </c>
      <c r="G44" s="32">
        <v>6.4378341763999397E-2</v>
      </c>
      <c r="H44" s="1"/>
      <c r="I44" s="6"/>
      <c r="J44" s="1"/>
      <c r="K44" s="1"/>
    </row>
    <row r="45" spans="1:11" x14ac:dyDescent="0.35">
      <c r="A45" s="1"/>
      <c r="B45" s="5"/>
      <c r="C45" s="20" t="s">
        <v>377</v>
      </c>
      <c r="D45" s="20" t="s">
        <v>378</v>
      </c>
      <c r="E45" s="20" t="s">
        <v>379</v>
      </c>
      <c r="F45" s="20" t="s">
        <v>380</v>
      </c>
      <c r="G45" s="32">
        <v>4.6289224667427402E-2</v>
      </c>
      <c r="H45" s="1"/>
      <c r="I45" s="6"/>
      <c r="J45" s="1"/>
      <c r="K45" s="1"/>
    </row>
    <row r="46" spans="1:11" x14ac:dyDescent="0.35">
      <c r="A46" s="1"/>
      <c r="B46" s="5"/>
      <c r="C46" s="20" t="s">
        <v>381</v>
      </c>
      <c r="D46" s="20" t="s">
        <v>382</v>
      </c>
      <c r="E46" s="20" t="s">
        <v>383</v>
      </c>
      <c r="F46" s="20" t="s">
        <v>384</v>
      </c>
      <c r="G46" s="32">
        <v>8.1907600166033101E-2</v>
      </c>
      <c r="H46" s="1"/>
      <c r="I46" s="6"/>
      <c r="J46" s="1"/>
      <c r="K46" s="1"/>
    </row>
    <row r="47" spans="1:11" x14ac:dyDescent="0.35">
      <c r="A47" s="1"/>
      <c r="B47" s="5"/>
      <c r="C47" s="20" t="s">
        <v>385</v>
      </c>
      <c r="D47" s="20" t="s">
        <v>386</v>
      </c>
      <c r="E47" s="20" t="s">
        <v>387</v>
      </c>
      <c r="F47" s="20" t="s">
        <v>388</v>
      </c>
      <c r="G47" s="32">
        <v>7.8044096494939999E-2</v>
      </c>
      <c r="H47" s="1"/>
      <c r="I47" s="6"/>
      <c r="J47" s="1"/>
      <c r="K47" s="1"/>
    </row>
    <row r="48" spans="1:11" x14ac:dyDescent="0.35">
      <c r="A48" s="1"/>
      <c r="B48" s="5"/>
      <c r="C48" s="20" t="s">
        <v>389</v>
      </c>
      <c r="D48" s="20" t="s">
        <v>390</v>
      </c>
      <c r="E48" s="20" t="s">
        <v>391</v>
      </c>
      <c r="F48" s="20" t="s">
        <v>392</v>
      </c>
      <c r="G48" s="32">
        <v>2.9006145967607901E-2</v>
      </c>
      <c r="H48" s="1"/>
      <c r="I48" s="6"/>
      <c r="J48" s="1"/>
      <c r="K48" s="1"/>
    </row>
    <row r="49" spans="1:11" x14ac:dyDescent="0.35">
      <c r="A49" s="1"/>
      <c r="B49" s="5"/>
      <c r="C49" s="20" t="s">
        <v>393</v>
      </c>
      <c r="D49" s="20" t="s">
        <v>394</v>
      </c>
      <c r="E49" s="20" t="s">
        <v>395</v>
      </c>
      <c r="F49" s="20" t="s">
        <v>396</v>
      </c>
      <c r="G49" s="32">
        <v>3.5287261420803302E-2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0.24571215855520301</v>
      </c>
      <c r="H55" s="1"/>
      <c r="I55" s="6"/>
      <c r="J55" s="1"/>
      <c r="K55" s="1"/>
    </row>
    <row r="56" spans="1:11" x14ac:dyDescent="0.35">
      <c r="A56" s="1"/>
      <c r="B56" s="5"/>
      <c r="C56" s="20" t="s">
        <v>337</v>
      </c>
      <c r="D56" s="20" t="s">
        <v>399</v>
      </c>
      <c r="E56" s="20" t="s">
        <v>400</v>
      </c>
      <c r="F56" s="20" t="s">
        <v>340</v>
      </c>
      <c r="G56" s="32">
        <v>0.192966652909103</v>
      </c>
      <c r="H56" s="1"/>
      <c r="I56" s="6"/>
      <c r="J56" s="1"/>
      <c r="K56" s="1"/>
    </row>
    <row r="57" spans="1:11" x14ac:dyDescent="0.35">
      <c r="A57" s="1"/>
      <c r="B57" s="5"/>
      <c r="C57" s="20" t="s">
        <v>341</v>
      </c>
      <c r="D57" s="20" t="s">
        <v>401</v>
      </c>
      <c r="E57" s="20" t="s">
        <v>402</v>
      </c>
      <c r="F57" s="20" t="s">
        <v>344</v>
      </c>
      <c r="G57" s="32">
        <v>0.113092315997462</v>
      </c>
      <c r="H57" s="1"/>
      <c r="I57" s="6"/>
      <c r="J57" s="1"/>
      <c r="K57" s="1"/>
    </row>
    <row r="58" spans="1:11" x14ac:dyDescent="0.35">
      <c r="A58" s="1"/>
      <c r="B58" s="5"/>
      <c r="C58" s="20" t="s">
        <v>345</v>
      </c>
      <c r="D58" s="20" t="s">
        <v>403</v>
      </c>
      <c r="E58" s="20" t="s">
        <v>404</v>
      </c>
      <c r="F58" s="20" t="s">
        <v>348</v>
      </c>
      <c r="G58" s="32">
        <v>0.138292082958757</v>
      </c>
      <c r="H58" s="1"/>
      <c r="I58" s="6"/>
      <c r="J58" s="1"/>
      <c r="K58" s="1"/>
    </row>
    <row r="59" spans="1:11" x14ac:dyDescent="0.35">
      <c r="A59" s="1"/>
      <c r="B59" s="5"/>
      <c r="C59" s="20" t="s">
        <v>361</v>
      </c>
      <c r="D59" s="20" t="s">
        <v>405</v>
      </c>
      <c r="E59" s="20" t="s">
        <v>406</v>
      </c>
      <c r="F59" s="20" t="s">
        <v>364</v>
      </c>
      <c r="G59" s="32">
        <v>0.12378435234248999</v>
      </c>
      <c r="H59" s="1"/>
      <c r="I59" s="6"/>
      <c r="J59" s="1"/>
      <c r="K59" s="1"/>
    </row>
    <row r="60" spans="1:11" x14ac:dyDescent="0.35">
      <c r="A60" s="1"/>
      <c r="B60" s="5"/>
      <c r="C60" s="20" t="s">
        <v>369</v>
      </c>
      <c r="D60" s="20" t="s">
        <v>407</v>
      </c>
      <c r="E60" s="20" t="s">
        <v>408</v>
      </c>
      <c r="F60" s="20" t="s">
        <v>372</v>
      </c>
      <c r="G60" s="32">
        <v>0.18615243723698499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0.193792001847821</v>
      </c>
      <c r="H66" s="1"/>
      <c r="I66" s="6"/>
      <c r="J66" s="1"/>
      <c r="K66" s="1"/>
    </row>
    <row r="67" spans="1:11" x14ac:dyDescent="0.35">
      <c r="A67" s="1"/>
      <c r="B67" s="5"/>
      <c r="C67" s="20" t="s">
        <v>353</v>
      </c>
      <c r="D67" s="20" t="s">
        <v>411</v>
      </c>
      <c r="E67" s="20" t="s">
        <v>412</v>
      </c>
      <c r="F67" s="20" t="s">
        <v>356</v>
      </c>
      <c r="G67" s="32">
        <v>0.168879253307162</v>
      </c>
      <c r="H67" s="1"/>
      <c r="I67" s="6"/>
      <c r="J67" s="1"/>
      <c r="K67" s="1"/>
    </row>
    <row r="68" spans="1:11" x14ac:dyDescent="0.35">
      <c r="A68" s="1"/>
      <c r="B68" s="5"/>
      <c r="C68" s="20" t="s">
        <v>357</v>
      </c>
      <c r="D68" s="20" t="s">
        <v>413</v>
      </c>
      <c r="E68" s="20" t="s">
        <v>414</v>
      </c>
      <c r="F68" s="20" t="s">
        <v>360</v>
      </c>
      <c r="G68" s="32">
        <v>3.6663265644972999E-2</v>
      </c>
      <c r="H68" s="1"/>
      <c r="I68" s="6"/>
      <c r="J68" s="1"/>
      <c r="K68" s="1"/>
    </row>
    <row r="69" spans="1:11" x14ac:dyDescent="0.35">
      <c r="A69" s="1"/>
      <c r="B69" s="5"/>
      <c r="C69" s="20" t="s">
        <v>365</v>
      </c>
      <c r="D69" s="20" t="s">
        <v>415</v>
      </c>
      <c r="E69" s="20" t="s">
        <v>416</v>
      </c>
      <c r="F69" s="20" t="s">
        <v>368</v>
      </c>
      <c r="G69" s="32">
        <v>4.4613129961918803E-2</v>
      </c>
      <c r="H69" s="1"/>
      <c r="I69" s="6"/>
      <c r="J69" s="1"/>
      <c r="K69" s="1"/>
    </row>
    <row r="70" spans="1:11" x14ac:dyDescent="0.35">
      <c r="A70" s="1"/>
      <c r="B70" s="5"/>
      <c r="C70" s="20" t="s">
        <v>373</v>
      </c>
      <c r="D70" s="20" t="s">
        <v>417</v>
      </c>
      <c r="E70" s="20" t="s">
        <v>418</v>
      </c>
      <c r="F70" s="20" t="s">
        <v>376</v>
      </c>
      <c r="G70" s="32">
        <v>0.106886753864557</v>
      </c>
      <c r="H70" s="1"/>
      <c r="I70" s="6"/>
      <c r="J70" s="1"/>
      <c r="K70" s="1"/>
    </row>
    <row r="71" spans="1:11" x14ac:dyDescent="0.35">
      <c r="A71" s="1"/>
      <c r="B71" s="5"/>
      <c r="C71" s="20" t="s">
        <v>377</v>
      </c>
      <c r="D71" s="20" t="s">
        <v>419</v>
      </c>
      <c r="E71" s="20" t="s">
        <v>420</v>
      </c>
      <c r="F71" s="20" t="s">
        <v>380</v>
      </c>
      <c r="G71" s="32">
        <v>7.6853563302633904E-2</v>
      </c>
      <c r="H71" s="1"/>
      <c r="I71" s="6"/>
      <c r="J71" s="1"/>
      <c r="K71" s="1"/>
    </row>
    <row r="72" spans="1:11" x14ac:dyDescent="0.35">
      <c r="A72" s="1"/>
      <c r="B72" s="5"/>
      <c r="C72" s="20" t="s">
        <v>381</v>
      </c>
      <c r="D72" s="20" t="s">
        <v>421</v>
      </c>
      <c r="E72" s="20" t="s">
        <v>422</v>
      </c>
      <c r="F72" s="20" t="s">
        <v>384</v>
      </c>
      <c r="G72" s="32">
        <v>0.13599041633339801</v>
      </c>
      <c r="H72" s="1"/>
      <c r="I72" s="6"/>
      <c r="J72" s="1"/>
      <c r="K72" s="1"/>
    </row>
    <row r="73" spans="1:11" x14ac:dyDescent="0.35">
      <c r="A73" s="1"/>
      <c r="B73" s="5"/>
      <c r="C73" s="20" t="s">
        <v>385</v>
      </c>
      <c r="D73" s="20" t="s">
        <v>423</v>
      </c>
      <c r="E73" s="20" t="s">
        <v>424</v>
      </c>
      <c r="F73" s="20" t="s">
        <v>388</v>
      </c>
      <c r="G73" s="32">
        <v>0.129575877603124</v>
      </c>
      <c r="H73" s="1"/>
      <c r="I73" s="6"/>
      <c r="J73" s="1"/>
      <c r="K73" s="1"/>
    </row>
    <row r="74" spans="1:11" x14ac:dyDescent="0.35">
      <c r="A74" s="1"/>
      <c r="B74" s="5"/>
      <c r="C74" s="20" t="s">
        <v>389</v>
      </c>
      <c r="D74" s="20" t="s">
        <v>425</v>
      </c>
      <c r="E74" s="20" t="s">
        <v>426</v>
      </c>
      <c r="F74" s="20" t="s">
        <v>392</v>
      </c>
      <c r="G74" s="32">
        <v>4.8158630690081E-2</v>
      </c>
      <c r="H74" s="1"/>
      <c r="I74" s="6"/>
      <c r="J74" s="1"/>
      <c r="K74" s="1"/>
    </row>
    <row r="75" spans="1:11" x14ac:dyDescent="0.35">
      <c r="A75" s="1"/>
      <c r="B75" s="5"/>
      <c r="C75" s="20" t="s">
        <v>393</v>
      </c>
      <c r="D75" s="20" t="s">
        <v>427</v>
      </c>
      <c r="E75" s="20" t="s">
        <v>428</v>
      </c>
      <c r="F75" s="20" t="s">
        <v>396</v>
      </c>
      <c r="G75" s="32">
        <v>5.8587107444331397E-2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0.15024881268395801</v>
      </c>
      <c r="H80" s="1"/>
      <c r="I80" s="6"/>
      <c r="J80" s="1"/>
      <c r="K80" s="1"/>
    </row>
    <row r="81" spans="1:11" x14ac:dyDescent="0.35">
      <c r="A81" s="1"/>
      <c r="B81" s="5"/>
      <c r="C81" s="20" t="s">
        <v>433</v>
      </c>
      <c r="D81" s="20" t="s">
        <v>434</v>
      </c>
      <c r="E81" s="20" t="s">
        <v>435</v>
      </c>
      <c r="F81" s="20" t="s">
        <v>436</v>
      </c>
      <c r="G81" s="32">
        <v>6.1401342811995899E-2</v>
      </c>
      <c r="H81" s="1"/>
      <c r="I81" s="6"/>
      <c r="J81" s="1"/>
      <c r="K81" s="1"/>
    </row>
    <row r="82" spans="1:11" x14ac:dyDescent="0.35">
      <c r="A82" s="1"/>
      <c r="B82" s="5"/>
      <c r="C82" s="20" t="s">
        <v>437</v>
      </c>
      <c r="D82" s="20" t="s">
        <v>438</v>
      </c>
      <c r="E82" s="20" t="s">
        <v>439</v>
      </c>
      <c r="F82" s="20" t="s">
        <v>440</v>
      </c>
      <c r="G82" s="32">
        <v>4.1782197389739401E-2</v>
      </c>
      <c r="H82" s="1"/>
      <c r="I82" s="6"/>
      <c r="J82" s="1"/>
      <c r="K82" s="1"/>
    </row>
    <row r="83" spans="1:11" x14ac:dyDescent="0.35">
      <c r="A83" s="1"/>
      <c r="B83" s="5"/>
      <c r="C83" s="20" t="s">
        <v>441</v>
      </c>
      <c r="D83" s="20" t="s">
        <v>442</v>
      </c>
      <c r="E83" s="20" t="s">
        <v>443</v>
      </c>
      <c r="F83" s="20" t="s">
        <v>444</v>
      </c>
      <c r="G83" s="32">
        <v>0.192160115771391</v>
      </c>
      <c r="H83" s="1"/>
      <c r="I83" s="6"/>
      <c r="J83" s="1"/>
      <c r="K83" s="1"/>
    </row>
    <row r="84" spans="1:11" x14ac:dyDescent="0.35">
      <c r="A84" s="1"/>
      <c r="B84" s="5"/>
      <c r="C84" s="20" t="s">
        <v>445</v>
      </c>
      <c r="D84" s="20" t="s">
        <v>446</v>
      </c>
      <c r="E84" s="20" t="s">
        <v>447</v>
      </c>
      <c r="F84" s="20" t="s">
        <v>448</v>
      </c>
      <c r="G84" s="32">
        <v>0.14625879394239699</v>
      </c>
      <c r="H84" s="1"/>
      <c r="I84" s="6"/>
      <c r="J84" s="1"/>
      <c r="K84" s="1"/>
    </row>
    <row r="85" spans="1:11" x14ac:dyDescent="0.35">
      <c r="A85" s="1"/>
      <c r="B85" s="5"/>
      <c r="C85" s="20" t="s">
        <v>449</v>
      </c>
      <c r="D85" s="20" t="s">
        <v>450</v>
      </c>
      <c r="E85" s="20" t="s">
        <v>451</v>
      </c>
      <c r="F85" s="20" t="s">
        <v>452</v>
      </c>
      <c r="G85" s="32">
        <v>6.3651889853699004E-2</v>
      </c>
      <c r="H85" s="1"/>
      <c r="I85" s="6"/>
      <c r="J85" s="1"/>
      <c r="K85" s="1"/>
    </row>
    <row r="86" spans="1:11" x14ac:dyDescent="0.35">
      <c r="A86" s="1"/>
      <c r="B86" s="5"/>
      <c r="C86" s="20" t="s">
        <v>453</v>
      </c>
      <c r="D86" s="20" t="s">
        <v>454</v>
      </c>
      <c r="E86" s="20" t="s">
        <v>455</v>
      </c>
      <c r="F86" s="20" t="s">
        <v>456</v>
      </c>
      <c r="G86" s="32">
        <v>5.4622508608568099E-2</v>
      </c>
      <c r="H86" s="1"/>
      <c r="I86" s="6"/>
      <c r="J86" s="1"/>
      <c r="K86" s="1"/>
    </row>
    <row r="87" spans="1:11" x14ac:dyDescent="0.35">
      <c r="A87" s="1"/>
      <c r="B87" s="5"/>
      <c r="C87" s="20" t="s">
        <v>457</v>
      </c>
      <c r="D87" s="20" t="s">
        <v>458</v>
      </c>
      <c r="E87" s="20" t="s">
        <v>459</v>
      </c>
      <c r="F87" s="20" t="s">
        <v>460</v>
      </c>
      <c r="G87" s="32">
        <v>0.12582445193131001</v>
      </c>
      <c r="H87" s="1"/>
      <c r="I87" s="6"/>
      <c r="J87" s="1"/>
      <c r="K87" s="1"/>
    </row>
    <row r="88" spans="1:11" x14ac:dyDescent="0.35">
      <c r="A88" s="1"/>
      <c r="B88" s="5"/>
      <c r="C88" s="20" t="s">
        <v>461</v>
      </c>
      <c r="D88" s="20" t="s">
        <v>462</v>
      </c>
      <c r="E88" s="20" t="s">
        <v>463</v>
      </c>
      <c r="F88" s="20" t="s">
        <v>464</v>
      </c>
      <c r="G88" s="32">
        <v>0.16404988700694201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0.70989228578570096</v>
      </c>
      <c r="H93" s="1"/>
      <c r="I93" s="6"/>
      <c r="J93" s="1"/>
      <c r="K93" s="1"/>
    </row>
    <row r="94" spans="1:11" x14ac:dyDescent="0.35">
      <c r="A94" s="1"/>
      <c r="B94" s="5"/>
      <c r="C94" s="20" t="s">
        <v>433</v>
      </c>
      <c r="D94" s="20" t="s">
        <v>467</v>
      </c>
      <c r="E94" s="20" t="s">
        <v>468</v>
      </c>
      <c r="F94" s="20" t="s">
        <v>436</v>
      </c>
      <c r="G94" s="32">
        <v>0.29010771421429898</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5.2999563146792203E-2</v>
      </c>
      <c r="H99" s="1"/>
      <c r="I99" s="6"/>
      <c r="J99" s="1"/>
      <c r="K99" s="1"/>
    </row>
    <row r="100" spans="1:11" x14ac:dyDescent="0.35">
      <c r="A100" s="1"/>
      <c r="B100" s="5"/>
      <c r="C100" s="20" t="s">
        <v>441</v>
      </c>
      <c r="D100" s="20" t="s">
        <v>471</v>
      </c>
      <c r="E100" s="20" t="s">
        <v>472</v>
      </c>
      <c r="F100" s="20" t="s">
        <v>444</v>
      </c>
      <c r="G100" s="32">
        <v>0.24374979852644199</v>
      </c>
      <c r="H100" s="1"/>
      <c r="I100" s="6"/>
      <c r="J100" s="1"/>
      <c r="K100" s="1"/>
    </row>
    <row r="101" spans="1:11" x14ac:dyDescent="0.35">
      <c r="A101" s="1"/>
      <c r="B101" s="5"/>
      <c r="C101" s="20" t="s">
        <v>445</v>
      </c>
      <c r="D101" s="20" t="s">
        <v>473</v>
      </c>
      <c r="E101" s="20" t="s">
        <v>474</v>
      </c>
      <c r="F101" s="20" t="s">
        <v>448</v>
      </c>
      <c r="G101" s="32">
        <v>0.18552523981212901</v>
      </c>
      <c r="H101" s="1"/>
      <c r="I101" s="6"/>
      <c r="J101" s="1"/>
      <c r="K101" s="1"/>
    </row>
    <row r="102" spans="1:11" x14ac:dyDescent="0.35">
      <c r="A102" s="1"/>
      <c r="B102" s="5"/>
      <c r="C102" s="20" t="s">
        <v>449</v>
      </c>
      <c r="D102" s="20" t="s">
        <v>475</v>
      </c>
      <c r="E102" s="20" t="s">
        <v>476</v>
      </c>
      <c r="F102" s="20" t="s">
        <v>452</v>
      </c>
      <c r="G102" s="32">
        <v>8.0740663940077395E-2</v>
      </c>
      <c r="H102" s="1"/>
      <c r="I102" s="6"/>
      <c r="J102" s="1"/>
      <c r="K102" s="1"/>
    </row>
    <row r="103" spans="1:11" x14ac:dyDescent="0.35">
      <c r="A103" s="1"/>
      <c r="B103" s="5"/>
      <c r="C103" s="20" t="s">
        <v>453</v>
      </c>
      <c r="D103" s="20" t="s">
        <v>477</v>
      </c>
      <c r="E103" s="20" t="s">
        <v>478</v>
      </c>
      <c r="F103" s="20" t="s">
        <v>456</v>
      </c>
      <c r="G103" s="32">
        <v>6.9287143267239698E-2</v>
      </c>
      <c r="H103" s="1"/>
      <c r="I103" s="6"/>
      <c r="J103" s="1"/>
      <c r="K103" s="1"/>
    </row>
    <row r="104" spans="1:11" x14ac:dyDescent="0.35">
      <c r="A104" s="1"/>
      <c r="B104" s="5"/>
      <c r="C104" s="20" t="s">
        <v>457</v>
      </c>
      <c r="D104" s="20" t="s">
        <v>479</v>
      </c>
      <c r="E104" s="20" t="s">
        <v>480</v>
      </c>
      <c r="F104" s="20" t="s">
        <v>460</v>
      </c>
      <c r="G104" s="32">
        <v>0.15960484142700701</v>
      </c>
      <c r="H104" s="1"/>
      <c r="I104" s="6"/>
      <c r="J104" s="1"/>
      <c r="K104" s="1"/>
    </row>
    <row r="105" spans="1:11" x14ac:dyDescent="0.35">
      <c r="A105" s="1"/>
      <c r="B105" s="5"/>
      <c r="C105" s="20" t="s">
        <v>461</v>
      </c>
      <c r="D105" s="20" t="s">
        <v>481</v>
      </c>
      <c r="E105" s="20" t="s">
        <v>482</v>
      </c>
      <c r="F105" s="20" t="s">
        <v>464</v>
      </c>
      <c r="G105" s="32">
        <v>0.20809274988031301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2286.19</v>
      </c>
      <c r="H7" s="31">
        <v>404.96</v>
      </c>
      <c r="I7" s="31">
        <v>377.38</v>
      </c>
      <c r="J7" s="31">
        <v>442.53</v>
      </c>
      <c r="K7" s="31">
        <v>497.03</v>
      </c>
      <c r="L7" s="31">
        <v>173.44</v>
      </c>
      <c r="M7" s="31">
        <v>148.01</v>
      </c>
      <c r="N7" s="31">
        <v>294.769835437523</v>
      </c>
      <c r="O7" s="1"/>
      <c r="P7" s="1"/>
    </row>
    <row r="8" spans="1:16" x14ac:dyDescent="0.35">
      <c r="A8" s="1"/>
      <c r="B8" s="5"/>
      <c r="C8" s="20" t="s">
        <v>488</v>
      </c>
      <c r="D8" s="31"/>
      <c r="E8" s="31"/>
      <c r="F8" s="31"/>
      <c r="G8" s="31">
        <v>2269.08</v>
      </c>
      <c r="H8" s="31">
        <v>406.3</v>
      </c>
      <c r="I8" s="31">
        <v>378.62</v>
      </c>
      <c r="J8" s="31">
        <v>444</v>
      </c>
      <c r="K8" s="31">
        <v>496.58</v>
      </c>
      <c r="L8" s="31">
        <v>173.73</v>
      </c>
      <c r="M8" s="31">
        <v>147.77000000000001</v>
      </c>
      <c r="N8" s="31">
        <v>295.11451963176103</v>
      </c>
      <c r="O8" s="1"/>
      <c r="P8" s="1"/>
    </row>
    <row r="9" spans="1:16" x14ac:dyDescent="0.35">
      <c r="A9" s="1"/>
      <c r="B9" s="5"/>
      <c r="C9" s="20" t="s">
        <v>489</v>
      </c>
      <c r="D9" s="31"/>
      <c r="E9" s="31"/>
      <c r="F9" s="31"/>
      <c r="G9" s="31">
        <v>2259.83</v>
      </c>
      <c r="H9" s="31">
        <v>407.3</v>
      </c>
      <c r="I9" s="31">
        <v>378.84</v>
      </c>
      <c r="J9" s="31">
        <v>445.62</v>
      </c>
      <c r="K9" s="31">
        <v>497.39</v>
      </c>
      <c r="L9" s="31">
        <v>174.03</v>
      </c>
      <c r="M9" s="31">
        <v>148.01</v>
      </c>
      <c r="N9" s="31">
        <v>295.20090620975799</v>
      </c>
      <c r="O9" s="1"/>
      <c r="P9" s="1"/>
    </row>
    <row r="10" spans="1:16" x14ac:dyDescent="0.35">
      <c r="A10" s="1"/>
      <c r="B10" s="5"/>
      <c r="C10" s="20" t="s">
        <v>490</v>
      </c>
      <c r="D10" s="31"/>
      <c r="E10" s="31"/>
      <c r="F10" s="31"/>
      <c r="G10" s="31">
        <v>2260.13</v>
      </c>
      <c r="H10" s="31">
        <v>410.75</v>
      </c>
      <c r="I10" s="31">
        <v>380.61</v>
      </c>
      <c r="J10" s="31">
        <v>450.51</v>
      </c>
      <c r="K10" s="31">
        <v>499.1</v>
      </c>
      <c r="L10" s="31">
        <v>174.91</v>
      </c>
      <c r="M10" s="31">
        <v>148.44999999999999</v>
      </c>
      <c r="N10" s="31">
        <v>295.292680891489</v>
      </c>
      <c r="O10" s="1"/>
      <c r="P10" s="1"/>
    </row>
    <row r="11" spans="1:16" x14ac:dyDescent="0.35">
      <c r="A11" s="1"/>
      <c r="B11" s="5"/>
      <c r="C11" s="20" t="s">
        <v>491</v>
      </c>
      <c r="D11" s="31"/>
      <c r="E11" s="31"/>
      <c r="F11" s="31"/>
      <c r="G11" s="31">
        <v>2295.7199999999998</v>
      </c>
      <c r="H11" s="31">
        <v>409.06</v>
      </c>
      <c r="I11" s="31">
        <v>380.42</v>
      </c>
      <c r="J11" s="31">
        <v>447.61</v>
      </c>
      <c r="K11" s="31">
        <v>499.59</v>
      </c>
      <c r="L11" s="31">
        <v>174.88</v>
      </c>
      <c r="M11" s="31">
        <v>148.63999999999999</v>
      </c>
      <c r="N11" s="31">
        <v>295.38450871267202</v>
      </c>
      <c r="O11" s="1"/>
      <c r="P11" s="1"/>
    </row>
    <row r="12" spans="1:16" x14ac:dyDescent="0.35">
      <c r="A12" s="1"/>
      <c r="B12" s="5"/>
      <c r="C12" s="20" t="s">
        <v>492</v>
      </c>
      <c r="D12" s="31"/>
      <c r="E12" s="31"/>
      <c r="F12" s="31"/>
      <c r="G12" s="31">
        <v>2295.85</v>
      </c>
      <c r="H12" s="31">
        <v>407.68</v>
      </c>
      <c r="I12" s="31">
        <v>379.8</v>
      </c>
      <c r="J12" s="31">
        <v>445.58</v>
      </c>
      <c r="K12" s="31">
        <v>497.67</v>
      </c>
      <c r="L12" s="31">
        <v>174.87</v>
      </c>
      <c r="M12" s="31">
        <v>147.91999999999999</v>
      </c>
      <c r="N12" s="31">
        <v>295.659634767162</v>
      </c>
      <c r="O12" s="1"/>
      <c r="P12" s="1"/>
    </row>
    <row r="13" spans="1:16" x14ac:dyDescent="0.35">
      <c r="A13" s="1"/>
      <c r="B13" s="5"/>
      <c r="C13" s="20" t="s">
        <v>493</v>
      </c>
      <c r="D13" s="31"/>
      <c r="E13" s="31"/>
      <c r="F13" s="31"/>
      <c r="G13" s="31">
        <v>2294.46</v>
      </c>
      <c r="H13" s="31">
        <v>408.53</v>
      </c>
      <c r="I13" s="31">
        <v>380.21</v>
      </c>
      <c r="J13" s="31">
        <v>446.81</v>
      </c>
      <c r="K13" s="31">
        <v>497.79</v>
      </c>
      <c r="L13" s="31">
        <v>174.86</v>
      </c>
      <c r="M13" s="31">
        <v>147.96</v>
      </c>
      <c r="N13" s="31">
        <v>295.75149457313103</v>
      </c>
      <c r="O13" s="1"/>
      <c r="P13" s="1"/>
    </row>
    <row r="14" spans="1:16" x14ac:dyDescent="0.35">
      <c r="A14" s="1"/>
      <c r="B14" s="5"/>
      <c r="C14" s="20" t="s">
        <v>494</v>
      </c>
      <c r="D14" s="31"/>
      <c r="E14" s="31"/>
      <c r="F14" s="31"/>
      <c r="G14" s="31">
        <v>2312.96</v>
      </c>
      <c r="H14" s="31">
        <v>407.43</v>
      </c>
      <c r="I14" s="31">
        <v>379.56</v>
      </c>
      <c r="J14" s="31">
        <v>445.32</v>
      </c>
      <c r="K14" s="31">
        <v>496.59</v>
      </c>
      <c r="L14" s="31">
        <v>174.68</v>
      </c>
      <c r="M14" s="31">
        <v>147.55000000000001</v>
      </c>
      <c r="N14" s="31">
        <v>295.84338291943101</v>
      </c>
      <c r="O14" s="1"/>
      <c r="P14" s="1"/>
    </row>
    <row r="15" spans="1:16" x14ac:dyDescent="0.35">
      <c r="A15" s="1"/>
      <c r="B15" s="5"/>
      <c r="C15" s="20" t="s">
        <v>495</v>
      </c>
      <c r="D15" s="31"/>
      <c r="E15" s="31"/>
      <c r="F15" s="31"/>
      <c r="G15" s="31">
        <v>2292.75</v>
      </c>
      <c r="H15" s="31">
        <v>407.93</v>
      </c>
      <c r="I15" s="31">
        <v>379.98</v>
      </c>
      <c r="J15" s="31">
        <v>445.9</v>
      </c>
      <c r="K15" s="31">
        <v>497.8</v>
      </c>
      <c r="L15" s="31">
        <v>174.9</v>
      </c>
      <c r="M15" s="31">
        <v>147.96</v>
      </c>
      <c r="N15" s="31">
        <v>295.93534912216001</v>
      </c>
      <c r="O15" s="1"/>
      <c r="P15" s="1"/>
    </row>
    <row r="16" spans="1:16" x14ac:dyDescent="0.35">
      <c r="A16" s="1"/>
      <c r="B16" s="5"/>
      <c r="C16" s="20" t="s">
        <v>496</v>
      </c>
      <c r="D16" s="31"/>
      <c r="E16" s="31"/>
      <c r="F16" s="31"/>
      <c r="G16" s="31">
        <v>2307.67</v>
      </c>
      <c r="H16" s="31">
        <v>409.49</v>
      </c>
      <c r="I16" s="31">
        <v>380.93</v>
      </c>
      <c r="J16" s="31">
        <v>447.98</v>
      </c>
      <c r="K16" s="31">
        <v>500.05</v>
      </c>
      <c r="L16" s="31">
        <v>175.3</v>
      </c>
      <c r="M16" s="31">
        <v>148.72</v>
      </c>
      <c r="N16" s="31">
        <v>296.027294591047</v>
      </c>
      <c r="O16" s="1"/>
      <c r="P16" s="1"/>
    </row>
    <row r="17" spans="1:16" x14ac:dyDescent="0.35">
      <c r="A17" s="1"/>
      <c r="B17" s="5"/>
      <c r="C17" s="20" t="s">
        <v>497</v>
      </c>
      <c r="D17" s="31"/>
      <c r="E17" s="31"/>
      <c r="F17" s="31"/>
      <c r="G17" s="31">
        <v>2298.73</v>
      </c>
      <c r="H17" s="31">
        <v>408.6</v>
      </c>
      <c r="I17" s="31">
        <v>381.04</v>
      </c>
      <c r="J17" s="31">
        <v>446.3</v>
      </c>
      <c r="K17" s="31">
        <v>500.5</v>
      </c>
      <c r="L17" s="31">
        <v>175.67</v>
      </c>
      <c r="M17" s="31">
        <v>148.80000000000001</v>
      </c>
      <c r="N17" s="31">
        <v>296.39515784245901</v>
      </c>
      <c r="O17" s="1"/>
      <c r="P17" s="1"/>
    </row>
    <row r="18" spans="1:16" x14ac:dyDescent="0.35">
      <c r="A18" s="1"/>
      <c r="B18" s="5"/>
      <c r="C18" s="20" t="s">
        <v>498</v>
      </c>
      <c r="D18" s="31"/>
      <c r="E18" s="31"/>
      <c r="F18" s="31"/>
      <c r="G18" s="31">
        <v>2292.0300000000002</v>
      </c>
      <c r="H18" s="31">
        <v>410.77</v>
      </c>
      <c r="I18" s="31">
        <v>381.86</v>
      </c>
      <c r="J18" s="31">
        <v>449.59</v>
      </c>
      <c r="K18" s="31">
        <v>505.15</v>
      </c>
      <c r="L18" s="31">
        <v>176.47</v>
      </c>
      <c r="M18" s="31">
        <v>150.38</v>
      </c>
      <c r="N18" s="31">
        <v>296.48721323856603</v>
      </c>
      <c r="O18" s="1"/>
      <c r="P18" s="1"/>
    </row>
    <row r="19" spans="1:16" x14ac:dyDescent="0.35">
      <c r="A19" s="1"/>
      <c r="B19" s="5"/>
      <c r="C19" s="20" t="s">
        <v>499</v>
      </c>
      <c r="D19" s="31"/>
      <c r="E19" s="31"/>
      <c r="F19" s="31"/>
      <c r="G19" s="31">
        <v>2285.11</v>
      </c>
      <c r="H19" s="31">
        <v>409.83</v>
      </c>
      <c r="I19" s="31">
        <v>381.15</v>
      </c>
      <c r="J19" s="31">
        <v>448.44</v>
      </c>
      <c r="K19" s="31">
        <v>504.83</v>
      </c>
      <c r="L19" s="31">
        <v>176.53</v>
      </c>
      <c r="M19" s="31">
        <v>150.24</v>
      </c>
      <c r="N19" s="31">
        <v>296.57931369705602</v>
      </c>
      <c r="O19" s="1"/>
      <c r="P19" s="1"/>
    </row>
    <row r="20" spans="1:16" x14ac:dyDescent="0.35">
      <c r="A20" s="1"/>
      <c r="B20" s="5"/>
      <c r="C20" s="20" t="s">
        <v>500</v>
      </c>
      <c r="D20" s="31"/>
      <c r="E20" s="31"/>
      <c r="F20" s="31"/>
      <c r="G20" s="31">
        <v>2298.34</v>
      </c>
      <c r="H20" s="31">
        <v>408.4</v>
      </c>
      <c r="I20" s="31">
        <v>380.49</v>
      </c>
      <c r="J20" s="31">
        <v>446.36</v>
      </c>
      <c r="K20" s="31">
        <v>505.42</v>
      </c>
      <c r="L20" s="31">
        <v>176.67</v>
      </c>
      <c r="M20" s="31">
        <v>150.43</v>
      </c>
      <c r="N20" s="31">
        <v>296.67144276553</v>
      </c>
      <c r="O20" s="1"/>
      <c r="P20" s="1"/>
    </row>
    <row r="21" spans="1:16" x14ac:dyDescent="0.35">
      <c r="A21" s="1"/>
      <c r="B21" s="5"/>
      <c r="C21" s="20" t="s">
        <v>501</v>
      </c>
      <c r="D21" s="31"/>
      <c r="E21" s="31"/>
      <c r="F21" s="31"/>
      <c r="G21" s="31">
        <v>2301.34</v>
      </c>
      <c r="H21" s="31">
        <v>406.47</v>
      </c>
      <c r="I21" s="31">
        <v>379.25</v>
      </c>
      <c r="J21" s="31">
        <v>443.83</v>
      </c>
      <c r="K21" s="31">
        <v>504.04</v>
      </c>
      <c r="L21" s="31">
        <v>176.71</v>
      </c>
      <c r="M21" s="31">
        <v>149.9</v>
      </c>
      <c r="N21" s="31">
        <v>297.03997462443198</v>
      </c>
      <c r="O21" s="1"/>
      <c r="P21" s="1"/>
    </row>
    <row r="22" spans="1:16" x14ac:dyDescent="0.35">
      <c r="A22" s="1"/>
      <c r="B22" s="5"/>
      <c r="C22" s="20" t="s">
        <v>502</v>
      </c>
      <c r="D22" s="31"/>
      <c r="E22" s="31"/>
      <c r="F22" s="31"/>
      <c r="G22" s="31">
        <v>2297</v>
      </c>
      <c r="H22" s="31">
        <v>404.73</v>
      </c>
      <c r="I22" s="31">
        <v>378.53</v>
      </c>
      <c r="J22" s="31">
        <v>441.24</v>
      </c>
      <c r="K22" s="31">
        <v>502.94</v>
      </c>
      <c r="L22" s="31">
        <v>176.61</v>
      </c>
      <c r="M22" s="31">
        <v>149.51</v>
      </c>
      <c r="N22" s="31">
        <v>297.13225504321503</v>
      </c>
      <c r="O22" s="1"/>
      <c r="P22" s="1"/>
    </row>
    <row r="23" spans="1:16" x14ac:dyDescent="0.35">
      <c r="A23" s="1"/>
      <c r="B23" s="5"/>
      <c r="C23" s="20" t="s">
        <v>503</v>
      </c>
      <c r="D23" s="31"/>
      <c r="E23" s="31"/>
      <c r="F23" s="31"/>
      <c r="G23" s="31">
        <v>2283.2800000000002</v>
      </c>
      <c r="H23" s="31">
        <v>400.89</v>
      </c>
      <c r="I23" s="31">
        <v>376.99</v>
      </c>
      <c r="J23" s="31">
        <v>435.49</v>
      </c>
      <c r="K23" s="31">
        <v>501.62</v>
      </c>
      <c r="L23" s="31">
        <v>176.35</v>
      </c>
      <c r="M23" s="31">
        <v>149.07</v>
      </c>
      <c r="N23" s="31">
        <v>297.224630159838</v>
      </c>
      <c r="O23" s="1"/>
      <c r="P23" s="1"/>
    </row>
    <row r="24" spans="1:16" x14ac:dyDescent="0.35">
      <c r="A24" s="1"/>
      <c r="B24" s="5"/>
      <c r="C24" s="20" t="s">
        <v>504</v>
      </c>
      <c r="D24" s="31"/>
      <c r="E24" s="31"/>
      <c r="F24" s="31"/>
      <c r="G24" s="31">
        <v>2274.5300000000002</v>
      </c>
      <c r="H24" s="31">
        <v>402.65</v>
      </c>
      <c r="I24" s="31">
        <v>377.8</v>
      </c>
      <c r="J24" s="31">
        <v>438.05</v>
      </c>
      <c r="K24" s="31">
        <v>502.83</v>
      </c>
      <c r="L24" s="31">
        <v>176.3</v>
      </c>
      <c r="M24" s="31">
        <v>149.54</v>
      </c>
      <c r="N24" s="31">
        <v>297.31708353229698</v>
      </c>
      <c r="O24" s="1"/>
      <c r="P24" s="1"/>
    </row>
    <row r="25" spans="1:16" x14ac:dyDescent="0.35">
      <c r="A25" s="1"/>
      <c r="B25" s="5"/>
      <c r="C25" s="20" t="s">
        <v>505</v>
      </c>
      <c r="D25" s="31"/>
      <c r="E25" s="31"/>
      <c r="F25" s="31"/>
      <c r="G25" s="31">
        <v>2282.91</v>
      </c>
      <c r="H25" s="31">
        <v>404.75</v>
      </c>
      <c r="I25" s="31">
        <v>378.85</v>
      </c>
      <c r="J25" s="31">
        <v>441.04</v>
      </c>
      <c r="K25" s="31">
        <v>504.06</v>
      </c>
      <c r="L25" s="31">
        <v>176.33</v>
      </c>
      <c r="M25" s="31">
        <v>150</v>
      </c>
      <c r="N25" s="31">
        <v>297.594306936267</v>
      </c>
      <c r="O25" s="1"/>
      <c r="P25" s="1"/>
    </row>
    <row r="26" spans="1:16" x14ac:dyDescent="0.35">
      <c r="A26" s="1"/>
      <c r="B26" s="5"/>
      <c r="C26" s="20" t="s">
        <v>506</v>
      </c>
      <c r="D26" s="31"/>
      <c r="E26" s="31"/>
      <c r="F26" s="31"/>
      <c r="G26" s="31">
        <v>2301.2399999999998</v>
      </c>
      <c r="H26" s="31">
        <v>405.57</v>
      </c>
      <c r="I26" s="31">
        <v>379.08</v>
      </c>
      <c r="J26" s="31">
        <v>442.34</v>
      </c>
      <c r="K26" s="31">
        <v>505.05</v>
      </c>
      <c r="L26" s="31">
        <v>176.13</v>
      </c>
      <c r="M26" s="31">
        <v>150.41999999999999</v>
      </c>
      <c r="N26" s="31">
        <v>297.68684223270702</v>
      </c>
      <c r="O26" s="1"/>
      <c r="P26" s="1"/>
    </row>
    <row r="27" spans="1:16" x14ac:dyDescent="0.35">
      <c r="A27" s="1"/>
      <c r="B27" s="5"/>
      <c r="C27" s="20" t="s">
        <v>507</v>
      </c>
      <c r="D27" s="31"/>
      <c r="E27" s="31"/>
      <c r="F27" s="31"/>
      <c r="G27" s="31">
        <v>2304.6799999999998</v>
      </c>
      <c r="H27" s="31">
        <v>404.02</v>
      </c>
      <c r="I27" s="31">
        <v>378.27</v>
      </c>
      <c r="J27" s="31">
        <v>440.17</v>
      </c>
      <c r="K27" s="31">
        <v>502.19</v>
      </c>
      <c r="L27" s="31">
        <v>175.77</v>
      </c>
      <c r="M27" s="31">
        <v>149.41999999999999</v>
      </c>
      <c r="N27" s="31">
        <v>297.77923265182602</v>
      </c>
      <c r="O27" s="1"/>
      <c r="P27" s="1"/>
    </row>
    <row r="28" spans="1:16" x14ac:dyDescent="0.35">
      <c r="A28" s="1"/>
      <c r="B28" s="5"/>
      <c r="C28" s="20" t="s">
        <v>508</v>
      </c>
      <c r="D28" s="31"/>
      <c r="E28" s="31"/>
      <c r="F28" s="31"/>
      <c r="G28" s="31">
        <v>2342.44</v>
      </c>
      <c r="H28" s="31">
        <v>406.24</v>
      </c>
      <c r="I28" s="31">
        <v>379.65</v>
      </c>
      <c r="J28" s="31">
        <v>443.12</v>
      </c>
      <c r="K28" s="31">
        <v>504.56</v>
      </c>
      <c r="L28" s="31">
        <v>176.31</v>
      </c>
      <c r="M28" s="31">
        <v>150.19999999999999</v>
      </c>
      <c r="N28" s="31">
        <v>297.87178409166302</v>
      </c>
      <c r="O28" s="1"/>
      <c r="P28" s="1"/>
    </row>
    <row r="29" spans="1:16" x14ac:dyDescent="0.35">
      <c r="A29" s="1"/>
      <c r="B29" s="5"/>
      <c r="C29" s="20" t="s">
        <v>509</v>
      </c>
      <c r="D29" s="31"/>
      <c r="E29" s="31"/>
      <c r="F29" s="31"/>
      <c r="G29" s="31">
        <v>2392.1</v>
      </c>
      <c r="H29" s="31">
        <v>406.19</v>
      </c>
      <c r="I29" s="31">
        <v>379.83</v>
      </c>
      <c r="J29" s="31">
        <v>442.89</v>
      </c>
      <c r="K29" s="31">
        <v>505.66</v>
      </c>
      <c r="L29" s="31">
        <v>176.72</v>
      </c>
      <c r="M29" s="31">
        <v>150.52000000000001</v>
      </c>
      <c r="N29" s="31">
        <v>297.964389119651</v>
      </c>
      <c r="O29" s="1"/>
      <c r="P29" s="1"/>
    </row>
    <row r="30" spans="1:16" x14ac:dyDescent="0.35">
      <c r="A30" s="1"/>
      <c r="B30" s="5"/>
      <c r="C30" s="20" t="s">
        <v>510</v>
      </c>
      <c r="D30" s="31"/>
      <c r="E30" s="31"/>
      <c r="F30" s="31"/>
      <c r="G30" s="31">
        <v>2384.67</v>
      </c>
      <c r="H30" s="31">
        <v>408.01</v>
      </c>
      <c r="I30" s="31">
        <v>381.53</v>
      </c>
      <c r="J30" s="31">
        <v>444.89</v>
      </c>
      <c r="K30" s="31">
        <v>508.64</v>
      </c>
      <c r="L30" s="31">
        <v>177.64</v>
      </c>
      <c r="M30" s="31">
        <v>151.44</v>
      </c>
      <c r="N30" s="31">
        <v>298.24229057323703</v>
      </c>
      <c r="O30" s="1"/>
      <c r="P30" s="1"/>
    </row>
    <row r="31" spans="1:16" x14ac:dyDescent="0.35">
      <c r="A31" s="1"/>
      <c r="B31" s="5"/>
      <c r="C31" s="20" t="s">
        <v>511</v>
      </c>
      <c r="D31" s="31"/>
      <c r="E31" s="31"/>
      <c r="F31" s="31"/>
      <c r="G31" s="31">
        <v>2374.67</v>
      </c>
      <c r="H31" s="31">
        <v>409.91</v>
      </c>
      <c r="I31" s="31">
        <v>382.95</v>
      </c>
      <c r="J31" s="31">
        <v>447.22</v>
      </c>
      <c r="K31" s="31">
        <v>509.4</v>
      </c>
      <c r="L31" s="31">
        <v>178.01</v>
      </c>
      <c r="M31" s="31">
        <v>151.63999999999999</v>
      </c>
      <c r="N31" s="31">
        <v>298.33496936503298</v>
      </c>
      <c r="O31" s="1"/>
      <c r="P31" s="1"/>
    </row>
    <row r="32" spans="1:16" x14ac:dyDescent="0.35">
      <c r="A32" s="1"/>
      <c r="B32" s="5"/>
      <c r="C32" s="20" t="s">
        <v>512</v>
      </c>
      <c r="D32" s="31"/>
      <c r="E32" s="31"/>
      <c r="F32" s="31"/>
      <c r="G32" s="31">
        <v>2344.8000000000002</v>
      </c>
      <c r="H32" s="31">
        <v>408.86</v>
      </c>
      <c r="I32" s="31">
        <v>382.4</v>
      </c>
      <c r="J32" s="31">
        <v>445.76</v>
      </c>
      <c r="K32" s="31">
        <v>508.38</v>
      </c>
      <c r="L32" s="31">
        <v>178.07</v>
      </c>
      <c r="M32" s="31">
        <v>151.22999999999999</v>
      </c>
      <c r="N32" s="31">
        <v>298.42766038259799</v>
      </c>
      <c r="O32" s="1"/>
      <c r="P32" s="1"/>
    </row>
    <row r="33" spans="1:16" x14ac:dyDescent="0.35">
      <c r="A33" s="1"/>
      <c r="B33" s="5"/>
      <c r="C33" s="20" t="s">
        <v>513</v>
      </c>
      <c r="D33" s="31"/>
      <c r="E33" s="31"/>
      <c r="F33" s="31"/>
      <c r="G33" s="31">
        <v>2350.44</v>
      </c>
      <c r="H33" s="31">
        <v>410.38</v>
      </c>
      <c r="I33" s="31">
        <v>383.16</v>
      </c>
      <c r="J33" s="31">
        <v>447.92</v>
      </c>
      <c r="K33" s="31">
        <v>510.19</v>
      </c>
      <c r="L33" s="31">
        <v>178.3</v>
      </c>
      <c r="M33" s="31">
        <v>151.87</v>
      </c>
      <c r="N33" s="31">
        <v>298.52038019874698</v>
      </c>
      <c r="O33" s="1"/>
      <c r="P33" s="1"/>
    </row>
    <row r="34" spans="1:16" x14ac:dyDescent="0.35">
      <c r="A34" s="1"/>
      <c r="B34" s="5"/>
      <c r="C34" s="20" t="s">
        <v>514</v>
      </c>
      <c r="D34" s="31"/>
      <c r="E34" s="31"/>
      <c r="F34" s="31"/>
      <c r="G34" s="31">
        <v>2372.5</v>
      </c>
      <c r="H34" s="31">
        <v>409.12</v>
      </c>
      <c r="I34" s="31">
        <v>382.94</v>
      </c>
      <c r="J34" s="31">
        <v>445.8</v>
      </c>
      <c r="K34" s="31">
        <v>511.12</v>
      </c>
      <c r="L34" s="31">
        <v>178.48</v>
      </c>
      <c r="M34" s="31">
        <v>152.18</v>
      </c>
      <c r="N34" s="31">
        <v>298.891275186678</v>
      </c>
      <c r="O34" s="1"/>
      <c r="P34" s="1"/>
    </row>
    <row r="35" spans="1:16" x14ac:dyDescent="0.35">
      <c r="A35" s="1"/>
      <c r="B35" s="5"/>
      <c r="C35" s="20" t="s">
        <v>515</v>
      </c>
      <c r="D35" s="31"/>
      <c r="E35" s="31"/>
      <c r="F35" s="31"/>
      <c r="G35" s="31">
        <v>2423.37</v>
      </c>
      <c r="H35" s="31">
        <v>410.98</v>
      </c>
      <c r="I35" s="31">
        <v>384.07</v>
      </c>
      <c r="J35" s="31">
        <v>448.3</v>
      </c>
      <c r="K35" s="31">
        <v>513.48</v>
      </c>
      <c r="L35" s="31">
        <v>178.27</v>
      </c>
      <c r="M35" s="31">
        <v>153.12</v>
      </c>
      <c r="N35" s="31">
        <v>298.98413904537102</v>
      </c>
      <c r="O35" s="1"/>
      <c r="P35" s="1"/>
    </row>
    <row r="36" spans="1:16" x14ac:dyDescent="0.35">
      <c r="A36" s="1"/>
      <c r="B36" s="9"/>
      <c r="C36" s="20" t="s">
        <v>516</v>
      </c>
      <c r="D36" s="31"/>
      <c r="E36" s="31"/>
      <c r="F36" s="31"/>
      <c r="G36" s="31">
        <v>2430.4499999999998</v>
      </c>
      <c r="H36" s="31">
        <v>413.72</v>
      </c>
      <c r="I36" s="31">
        <v>384.99</v>
      </c>
      <c r="J36" s="31">
        <v>452.56</v>
      </c>
      <c r="K36" s="31">
        <v>516.29999999999995</v>
      </c>
      <c r="L36" s="31">
        <v>178.54</v>
      </c>
      <c r="M36" s="31">
        <v>154.13</v>
      </c>
      <c r="N36" s="31">
        <v>299.07701514611898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x14ac:dyDescent="0.35">
      <c r="A8" s="1"/>
      <c r="B8" s="5"/>
      <c r="C8" s="25" t="s">
        <v>322</v>
      </c>
      <c r="D8" s="25" t="s">
        <v>532</v>
      </c>
      <c r="E8" s="36">
        <v>-2.7000000000000001E-3</v>
      </c>
      <c r="F8" s="36">
        <v>2.20385674931129E-2</v>
      </c>
      <c r="G8" s="36">
        <v>0.16666666666666699</v>
      </c>
      <c r="H8" s="36">
        <v>-0.13519813519813501</v>
      </c>
      <c r="I8" s="37">
        <v>29.375918460000001</v>
      </c>
      <c r="J8" s="37">
        <v>418.39</v>
      </c>
      <c r="K8" s="25" t="s">
        <v>531</v>
      </c>
      <c r="L8" s="37">
        <v>61.48</v>
      </c>
      <c r="M8" s="36">
        <v>7.91803732075472E-2</v>
      </c>
      <c r="N8" s="37">
        <v>0.88673247448552805</v>
      </c>
      <c r="O8" s="37">
        <v>6.0344827586206904</v>
      </c>
      <c r="P8" s="6"/>
      <c r="Q8" s="1"/>
      <c r="R8" s="1"/>
    </row>
    <row r="9" spans="1:18" x14ac:dyDescent="0.3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7.1999999999999998E-3</v>
      </c>
      <c r="F10" s="36">
        <v>3.9598732840549197E-2</v>
      </c>
      <c r="G10" s="36">
        <v>0.191888619854722</v>
      </c>
      <c r="H10" s="36">
        <v>-1.00553041729512E-2</v>
      </c>
      <c r="I10" s="37">
        <v>2136</v>
      </c>
      <c r="J10" s="37">
        <v>44324.33</v>
      </c>
      <c r="K10" s="25" t="s">
        <v>531</v>
      </c>
      <c r="L10" s="37">
        <v>3849.38</v>
      </c>
      <c r="M10" s="36">
        <v>5.4240731335703403E-2</v>
      </c>
      <c r="N10" s="37">
        <v>0.88845110574711506</v>
      </c>
      <c r="O10" s="37">
        <v>10.230218892393101</v>
      </c>
      <c r="P10" s="6"/>
      <c r="Q10" s="1"/>
      <c r="R10" s="1"/>
    </row>
    <row r="11" spans="1:18" x14ac:dyDescent="0.35">
      <c r="A11" s="1"/>
      <c r="B11" s="5"/>
      <c r="C11" s="25" t="s">
        <v>302</v>
      </c>
      <c r="D11" s="25" t="s">
        <v>532</v>
      </c>
      <c r="E11" s="36">
        <v>3.6299999999999999E-2</v>
      </c>
      <c r="F11" s="36">
        <v>4.30809399477807E-2</v>
      </c>
      <c r="G11" s="36">
        <v>0.30983606557377003</v>
      </c>
      <c r="H11" s="36">
        <v>0.102068965517241</v>
      </c>
      <c r="I11" s="37">
        <v>1733.4190000000001</v>
      </c>
      <c r="J11" s="37">
        <v>9566.02</v>
      </c>
      <c r="K11" s="25" t="s">
        <v>531</v>
      </c>
      <c r="L11" s="37">
        <v>1769.73</v>
      </c>
      <c r="M11" s="36">
        <v>0.108474280350438</v>
      </c>
      <c r="N11" s="37">
        <v>1.6704961938193701</v>
      </c>
      <c r="O11" s="37">
        <v>9.0296259881450798</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1.12E-2</v>
      </c>
      <c r="F13" s="36">
        <v>-7.8996282527881004E-2</v>
      </c>
      <c r="G13" s="36">
        <v>7.1138211382113497E-3</v>
      </c>
      <c r="H13" s="36">
        <v>1.12244897959184E-2</v>
      </c>
      <c r="I13" s="37">
        <v>208</v>
      </c>
      <c r="J13" s="37">
        <v>4145.8100000000004</v>
      </c>
      <c r="K13" s="25" t="s">
        <v>531</v>
      </c>
      <c r="L13" s="37">
        <v>161.99</v>
      </c>
      <c r="M13" s="36">
        <v>4.1977800201816302E-2</v>
      </c>
      <c r="N13" s="37">
        <v>1.1951826060528601</v>
      </c>
      <c r="O13" s="37">
        <v>30.588307920241999</v>
      </c>
      <c r="P13" s="6"/>
      <c r="Q13" s="1"/>
      <c r="R13" s="1"/>
    </row>
    <row r="14" spans="1:18" x14ac:dyDescent="0.35">
      <c r="A14" s="1"/>
      <c r="B14" s="5"/>
      <c r="C14" s="25" t="s">
        <v>262</v>
      </c>
      <c r="D14" s="25" t="s">
        <v>532</v>
      </c>
      <c r="E14" s="36">
        <v>1.8200000000000001E-2</v>
      </c>
      <c r="F14" s="36">
        <v>-5.0847457627118599E-2</v>
      </c>
      <c r="G14" s="36">
        <v>2.5641025641025501E-2</v>
      </c>
      <c r="H14" s="36">
        <v>4.08921933085502E-2</v>
      </c>
      <c r="I14" s="37">
        <v>580</v>
      </c>
      <c r="J14" s="37">
        <v>8344.7999999999993</v>
      </c>
      <c r="K14" s="25" t="s">
        <v>531</v>
      </c>
      <c r="L14" s="37">
        <v>390.26</v>
      </c>
      <c r="M14" s="36">
        <v>5.1785714285714303E-2</v>
      </c>
      <c r="N14" s="37">
        <v>1.34215319720065</v>
      </c>
      <c r="O14" s="37">
        <v>28.6988161738328</v>
      </c>
      <c r="P14" s="6"/>
      <c r="Q14" s="1"/>
      <c r="R14" s="1"/>
    </row>
    <row r="15" spans="1:18" x14ac:dyDescent="0.35">
      <c r="A15" s="1"/>
      <c r="B15" s="5"/>
      <c r="C15" s="25" t="s">
        <v>264</v>
      </c>
      <c r="D15" s="25" t="s">
        <v>532</v>
      </c>
      <c r="E15" s="36">
        <v>4.5999999999999999E-3</v>
      </c>
      <c r="F15" s="36">
        <v>8.5185185185185294E-2</v>
      </c>
      <c r="G15" s="36">
        <v>0.54210526315789498</v>
      </c>
      <c r="H15" s="36">
        <v>0.270231213872832</v>
      </c>
      <c r="I15" s="37">
        <v>4512</v>
      </c>
      <c r="J15" s="37">
        <v>38765.879999999997</v>
      </c>
      <c r="K15" s="25" t="s">
        <v>531</v>
      </c>
      <c r="L15" s="37">
        <v>3586.11</v>
      </c>
      <c r="M15" s="36">
        <v>5.1331058020477799E-2</v>
      </c>
      <c r="N15" s="37">
        <v>2.26745787790707</v>
      </c>
      <c r="O15" s="37">
        <v>24.511239197905301</v>
      </c>
      <c r="P15" s="6"/>
      <c r="Q15" s="1"/>
      <c r="R15" s="1"/>
    </row>
    <row r="16" spans="1:18" x14ac:dyDescent="0.35">
      <c r="A16" s="1"/>
      <c r="B16" s="5"/>
      <c r="C16" s="25" t="s">
        <v>304</v>
      </c>
      <c r="D16" s="25" t="s">
        <v>532</v>
      </c>
      <c r="E16" s="36">
        <v>0</v>
      </c>
      <c r="F16" s="36">
        <v>0</v>
      </c>
      <c r="G16" s="36">
        <v>-6.01503759398496E-2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1.3899999999999999E-2</v>
      </c>
      <c r="F20" s="36">
        <v>2.8235294117647101E-2</v>
      </c>
      <c r="G20" s="36">
        <v>-6.0215053763440801E-2</v>
      </c>
      <c r="H20" s="36">
        <v>0</v>
      </c>
      <c r="I20" s="37">
        <v>0</v>
      </c>
      <c r="J20" s="37">
        <v>1147.6099999999999</v>
      </c>
      <c r="K20" s="25" t="s">
        <v>531</v>
      </c>
      <c r="L20" s="37">
        <v>34.29</v>
      </c>
      <c r="M20" s="36">
        <v>0</v>
      </c>
      <c r="N20" s="37">
        <v>0.38079138383248701</v>
      </c>
      <c r="O20" s="37">
        <v>12.744240303295401</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1.4E-2</v>
      </c>
      <c r="F22" s="36">
        <v>0.17204301075268799</v>
      </c>
      <c r="G22" s="36">
        <v>0.260115606936416</v>
      </c>
      <c r="H22" s="36">
        <v>0.19386637458926601</v>
      </c>
      <c r="I22" s="37">
        <v>0</v>
      </c>
      <c r="J22" s="37">
        <v>36711.58</v>
      </c>
      <c r="K22" s="25" t="s">
        <v>531</v>
      </c>
      <c r="L22" s="37">
        <v>1774.35</v>
      </c>
      <c r="M22" s="36">
        <v>0</v>
      </c>
      <c r="N22" s="37">
        <v>0.59381808137922698</v>
      </c>
      <c r="O22" s="37">
        <v>12.286189308760999</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-1.9E-3</v>
      </c>
      <c r="F25" s="36">
        <v>4.3222003929273001E-2</v>
      </c>
      <c r="G25" s="36">
        <v>0.53913043478260902</v>
      </c>
      <c r="H25" s="36">
        <v>0.419786096256684</v>
      </c>
      <c r="I25" s="37">
        <v>121</v>
      </c>
      <c r="J25" s="37">
        <v>1939.5</v>
      </c>
      <c r="K25" s="25" t="s">
        <v>531</v>
      </c>
      <c r="L25" s="37">
        <v>213.76</v>
      </c>
      <c r="M25" s="36">
        <v>4.5574387947269299E-2</v>
      </c>
      <c r="N25" s="37">
        <v>1.36890951276102</v>
      </c>
      <c r="O25" s="37">
        <v>12.4204715568862</v>
      </c>
      <c r="P25" s="6"/>
      <c r="Q25" s="1"/>
      <c r="R25" s="1"/>
    </row>
    <row r="26" spans="1:18" x14ac:dyDescent="0.3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1.5706806282722401E-2</v>
      </c>
      <c r="G28" s="36">
        <v>5.4347826086956499E-2</v>
      </c>
      <c r="H28" s="36">
        <v>-4.4334975369458199E-2</v>
      </c>
      <c r="I28" s="37">
        <v>0.55000000000000004</v>
      </c>
      <c r="J28" s="37">
        <v>43.8</v>
      </c>
      <c r="K28" s="25" t="s">
        <v>531</v>
      </c>
      <c r="L28" s="37">
        <v>0.32</v>
      </c>
      <c r="M28" s="36">
        <v>2.8350515463917501E-2</v>
      </c>
      <c r="N28" s="37">
        <v>0.442922374429224</v>
      </c>
      <c r="O28" s="37">
        <v>60.625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0</v>
      </c>
      <c r="F30" s="36">
        <v>0</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x14ac:dyDescent="0.35">
      <c r="A31" s="1"/>
      <c r="B31" s="5"/>
      <c r="C31" s="25" t="s">
        <v>270</v>
      </c>
      <c r="D31" s="25" t="s">
        <v>532</v>
      </c>
      <c r="E31" s="36">
        <v>1.72E-2</v>
      </c>
      <c r="F31" s="36">
        <v>-1.2526096033402901E-2</v>
      </c>
      <c r="G31" s="36">
        <v>0.45092024539877301</v>
      </c>
      <c r="H31" s="36">
        <v>0.11163337250293801</v>
      </c>
      <c r="I31" s="37">
        <v>160</v>
      </c>
      <c r="J31" s="37">
        <v>5260.24</v>
      </c>
      <c r="K31" s="25" t="s">
        <v>531</v>
      </c>
      <c r="L31" s="37">
        <v>507.44</v>
      </c>
      <c r="M31" s="36">
        <v>3.3826638477801298E-2</v>
      </c>
      <c r="N31" s="37">
        <v>0.89919851565707998</v>
      </c>
      <c r="O31" s="37">
        <v>9.3212990698407694</v>
      </c>
      <c r="P31" s="6"/>
      <c r="Q31" s="1"/>
      <c r="R31" s="1"/>
    </row>
    <row r="32" spans="1:18" x14ac:dyDescent="0.35">
      <c r="A32" s="1"/>
      <c r="B32" s="5"/>
      <c r="C32" s="25" t="s">
        <v>314</v>
      </c>
      <c r="D32" s="25" t="s">
        <v>532</v>
      </c>
      <c r="E32" s="36">
        <v>0</v>
      </c>
      <c r="F32" s="36">
        <v>-7.8947368421052502E-2</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1.41E-2</v>
      </c>
      <c r="F35" s="36">
        <v>-2.5337837837837801E-2</v>
      </c>
      <c r="G35" s="36">
        <v>-3.02521008403361E-2</v>
      </c>
      <c r="H35" s="36">
        <v>-2.8619528619528701E-2</v>
      </c>
      <c r="I35" s="37">
        <v>250.8</v>
      </c>
      <c r="J35" s="37">
        <v>1923.21</v>
      </c>
      <c r="K35" s="25" t="s">
        <v>531</v>
      </c>
      <c r="L35" s="37">
        <v>581.12</v>
      </c>
      <c r="M35" s="36">
        <v>8.6932409012131701E-2</v>
      </c>
      <c r="N35" s="37">
        <v>1.50009619334342</v>
      </c>
      <c r="O35" s="37">
        <v>4.96455121145374</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1.17E-2</v>
      </c>
      <c r="F37" s="36">
        <v>-4.0963855421686797E-2</v>
      </c>
      <c r="G37" s="36">
        <v>7.5094543490005397E-2</v>
      </c>
      <c r="H37" s="36">
        <v>-8.5057471264367801E-2</v>
      </c>
      <c r="I37" s="37">
        <v>3012</v>
      </c>
      <c r="J37" s="37">
        <v>175026.83</v>
      </c>
      <c r="K37" s="25" t="s">
        <v>531</v>
      </c>
      <c r="L37" s="37">
        <v>9934.48</v>
      </c>
      <c r="M37" s="36">
        <v>3.7839195979899501E-2</v>
      </c>
      <c r="N37" s="37">
        <v>0.45478741744908502</v>
      </c>
      <c r="O37" s="37">
        <v>8.0124978861500598</v>
      </c>
      <c r="P37" s="6"/>
      <c r="Q37" s="1"/>
      <c r="R37" s="1"/>
    </row>
    <row r="38" spans="1:18" x14ac:dyDescent="0.35">
      <c r="A38" s="1"/>
      <c r="B38" s="5"/>
      <c r="C38" s="25" t="s">
        <v>276</v>
      </c>
      <c r="D38" s="25" t="s">
        <v>532</v>
      </c>
      <c r="E38" s="36">
        <v>3.4200000000000001E-2</v>
      </c>
      <c r="F38" s="36">
        <v>7.5555555555555598E-2</v>
      </c>
      <c r="G38" s="36">
        <v>0.112643678160919</v>
      </c>
      <c r="H38" s="36">
        <v>0.14016489988221401</v>
      </c>
      <c r="I38" s="37">
        <v>750</v>
      </c>
      <c r="J38" s="37">
        <v>15140.69</v>
      </c>
      <c r="K38" s="25" t="s">
        <v>531</v>
      </c>
      <c r="L38" s="37">
        <v>4753.76</v>
      </c>
      <c r="M38" s="36">
        <v>3.8739669421487599E-2</v>
      </c>
      <c r="N38" s="37">
        <v>1.27867356111247</v>
      </c>
      <c r="O38" s="37">
        <v>4.0725657164013302</v>
      </c>
      <c r="P38" s="6"/>
      <c r="Q38" s="1"/>
      <c r="R38" s="1"/>
    </row>
    <row r="39" spans="1:18" x14ac:dyDescent="0.35">
      <c r="A39" s="1"/>
      <c r="B39" s="5"/>
      <c r="C39" s="25" t="s">
        <v>316</v>
      </c>
      <c r="D39" s="25" t="s">
        <v>532</v>
      </c>
      <c r="E39" s="36">
        <v>2.5000000000000001E-3</v>
      </c>
      <c r="F39" s="36">
        <v>6.18811881188108E-3</v>
      </c>
      <c r="G39" s="36">
        <v>0.38500851788756402</v>
      </c>
      <c r="H39" s="36">
        <v>7.3976221928665695E-2</v>
      </c>
      <c r="I39" s="37">
        <v>31.8</v>
      </c>
      <c r="J39" s="37">
        <v>769.72</v>
      </c>
      <c r="K39" s="25" t="s">
        <v>531</v>
      </c>
      <c r="L39" s="37">
        <v>81.23</v>
      </c>
      <c r="M39" s="36">
        <v>3.9114391143911402E-2</v>
      </c>
      <c r="N39" s="37">
        <v>1.0562282388401001</v>
      </c>
      <c r="O39" s="37">
        <v>10.008617505847599</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3.5000000000000003E-2</v>
      </c>
      <c r="F41" s="36">
        <v>7.4074074074074195E-2</v>
      </c>
      <c r="G41" s="36">
        <v>0.25</v>
      </c>
      <c r="H41" s="36">
        <v>7.4074074074074195E-2</v>
      </c>
      <c r="I41" s="37">
        <v>2000</v>
      </c>
      <c r="J41" s="37">
        <v>47877.89</v>
      </c>
      <c r="K41" s="25" t="s">
        <v>531</v>
      </c>
      <c r="L41" s="37">
        <v>5021.83</v>
      </c>
      <c r="M41" s="36">
        <v>3.4482758620689703E-2</v>
      </c>
      <c r="N41" s="37">
        <v>1.21141512293044</v>
      </c>
      <c r="O41" s="37">
        <v>11.549574557482</v>
      </c>
      <c r="P41" s="6"/>
      <c r="Q41" s="1"/>
      <c r="R41" s="1"/>
    </row>
    <row r="42" spans="1:18" x14ac:dyDescent="0.35">
      <c r="A42" s="1"/>
      <c r="B42" s="5"/>
      <c r="C42" s="25" t="s">
        <v>549</v>
      </c>
      <c r="D42" s="25" t="s">
        <v>532</v>
      </c>
      <c r="E42" s="36">
        <v>0</v>
      </c>
      <c r="F42" s="36">
        <v>3.3670033670034601E-3</v>
      </c>
      <c r="G42" s="36">
        <v>9.6596136154553799E-2</v>
      </c>
      <c r="H42" s="36">
        <v>0.112978524743231</v>
      </c>
      <c r="I42" s="25"/>
      <c r="J42" s="37">
        <v>50000</v>
      </c>
      <c r="K42" s="25" t="s">
        <v>550</v>
      </c>
      <c r="L42" s="25"/>
      <c r="M42" s="25"/>
      <c r="N42" s="37">
        <v>1.1919999999999999</v>
      </c>
      <c r="O42" s="25"/>
      <c r="P42" s="6"/>
      <c r="Q42" s="1"/>
      <c r="R42" s="1"/>
    </row>
    <row r="43" spans="1:18" x14ac:dyDescent="0.35">
      <c r="A43" s="1"/>
      <c r="B43" s="5"/>
      <c r="C43" s="25" t="s">
        <v>551</v>
      </c>
      <c r="D43" s="25" t="s">
        <v>532</v>
      </c>
      <c r="E43" s="36">
        <v>2.1000000000000001E-2</v>
      </c>
      <c r="F43" s="36">
        <v>3.7786390060412699E-2</v>
      </c>
      <c r="G43" s="36">
        <v>0.34456532440681298</v>
      </c>
      <c r="H43" s="36">
        <v>0.195810165929688</v>
      </c>
      <c r="I43" s="37">
        <v>2</v>
      </c>
      <c r="J43" s="37">
        <v>15000</v>
      </c>
      <c r="K43" s="25" t="s">
        <v>552</v>
      </c>
      <c r="L43" s="25"/>
      <c r="M43" s="36">
        <v>7.3223863657165898E-5</v>
      </c>
      <c r="N43" s="37">
        <v>1.8209</v>
      </c>
      <c r="O43" s="25"/>
      <c r="P43" s="6"/>
      <c r="Q43" s="1"/>
      <c r="R43" s="1"/>
    </row>
    <row r="44" spans="1:18" x14ac:dyDescent="0.35">
      <c r="A44" s="1"/>
      <c r="B44" s="5"/>
      <c r="C44" s="25" t="s">
        <v>553</v>
      </c>
      <c r="D44" s="25" t="s">
        <v>532</v>
      </c>
      <c r="E44" s="36">
        <v>8.0999999999999996E-3</v>
      </c>
      <c r="F44" s="36">
        <v>4.8175885779354402E-2</v>
      </c>
      <c r="G44" s="36">
        <v>0.33331476323119802</v>
      </c>
      <c r="H44" s="36">
        <v>0.19664999999999999</v>
      </c>
      <c r="I44" s="37">
        <v>376.71</v>
      </c>
      <c r="J44" s="37">
        <v>17160</v>
      </c>
      <c r="K44" s="25" t="s">
        <v>534</v>
      </c>
      <c r="L44" s="25"/>
      <c r="M44" s="36">
        <v>1.57401913675678E-2</v>
      </c>
      <c r="N44" s="37">
        <v>1.39469696969697</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3.3999999999999998E-3</v>
      </c>
      <c r="F48" s="36">
        <v>-1.9986675549633601E-2</v>
      </c>
      <c r="G48" s="36">
        <v>0.28471615720524002</v>
      </c>
      <c r="H48" s="36">
        <v>0.193025141930251</v>
      </c>
      <c r="I48" s="37">
        <v>1090</v>
      </c>
      <c r="J48" s="37">
        <v>15432.19</v>
      </c>
      <c r="K48" s="25" t="s">
        <v>531</v>
      </c>
      <c r="L48" s="37">
        <v>2056.6</v>
      </c>
      <c r="M48" s="36">
        <v>3.7049626104690703E-2</v>
      </c>
      <c r="N48" s="37">
        <v>1.90640472933524</v>
      </c>
      <c r="O48" s="37">
        <v>14.305163862685999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0</v>
      </c>
      <c r="F51" s="36">
        <v>6.1249999999999999E-2</v>
      </c>
      <c r="G51" s="36">
        <v>1.1769230769230801</v>
      </c>
      <c r="H51" s="36">
        <v>0.109803921568628</v>
      </c>
      <c r="I51" s="37">
        <v>367.529</v>
      </c>
      <c r="J51" s="37">
        <v>7084.33</v>
      </c>
      <c r="K51" s="25" t="s">
        <v>531</v>
      </c>
      <c r="L51" s="37">
        <v>2568.12</v>
      </c>
      <c r="M51" s="36">
        <v>2.1644817432273301E-2</v>
      </c>
      <c r="N51" s="37">
        <v>2.3968392212107599</v>
      </c>
      <c r="O51" s="37">
        <v>6.6118405681977501</v>
      </c>
      <c r="P51" s="6"/>
      <c r="Q51" s="1"/>
      <c r="R51" s="1"/>
    </row>
    <row r="52" spans="1:18" x14ac:dyDescent="0.35">
      <c r="A52" s="1"/>
      <c r="B52" s="5"/>
      <c r="C52" s="25" t="s">
        <v>324</v>
      </c>
      <c r="D52" s="25" t="s">
        <v>532</v>
      </c>
      <c r="E52" s="36">
        <v>1.1999999999999999E-3</v>
      </c>
      <c r="F52" s="36">
        <v>3.0060383302704202E-2</v>
      </c>
      <c r="G52" s="36">
        <v>1.43317829457364</v>
      </c>
      <c r="H52" s="36">
        <v>0.11304964539007099</v>
      </c>
      <c r="I52" s="37">
        <v>0</v>
      </c>
      <c r="J52" s="37">
        <v>17787.18</v>
      </c>
      <c r="K52" s="25" t="s">
        <v>531</v>
      </c>
      <c r="L52" s="37">
        <v>2190.98</v>
      </c>
      <c r="M52" s="36">
        <v>0</v>
      </c>
      <c r="N52" s="37">
        <v>17.646417251076301</v>
      </c>
      <c r="O52" s="37">
        <v>143.26009365671999</v>
      </c>
      <c r="P52" s="6"/>
      <c r="Q52" s="1"/>
      <c r="R52" s="1"/>
    </row>
    <row r="53" spans="1:18" x14ac:dyDescent="0.3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1.1599999999999999E-2</v>
      </c>
      <c r="F55" s="36">
        <v>3.0485964382734699E-2</v>
      </c>
      <c r="G55" s="36">
        <v>-2.1776504297994301E-2</v>
      </c>
      <c r="H55" s="36">
        <v>-0.14607303651825901</v>
      </c>
      <c r="I55" s="37">
        <v>2002</v>
      </c>
      <c r="J55" s="37">
        <v>144607.78</v>
      </c>
      <c r="K55" s="25" t="s">
        <v>531</v>
      </c>
      <c r="L55" s="37">
        <v>11183.49</v>
      </c>
      <c r="M55" s="36">
        <v>2.9320445225541902E-2</v>
      </c>
      <c r="N55" s="37">
        <v>0.47217376547790202</v>
      </c>
      <c r="O55" s="37">
        <v>6.10542862737839</v>
      </c>
      <c r="P55" s="6"/>
      <c r="Q55" s="1"/>
      <c r="R55" s="1"/>
    </row>
    <row r="56" spans="1:18" x14ac:dyDescent="0.35">
      <c r="A56" s="1"/>
      <c r="B56" s="5"/>
      <c r="C56" s="25" t="s">
        <v>286</v>
      </c>
      <c r="D56" s="25" t="s">
        <v>532</v>
      </c>
      <c r="E56" s="36">
        <v>3.8899999999999997E-2</v>
      </c>
      <c r="F56" s="36">
        <v>2.3446658851114001E-3</v>
      </c>
      <c r="G56" s="36">
        <v>0.42976588628762502</v>
      </c>
      <c r="H56" s="36">
        <v>0.11038961038961</v>
      </c>
      <c r="I56" s="37">
        <v>31.8</v>
      </c>
      <c r="J56" s="37">
        <v>769.72</v>
      </c>
      <c r="K56" s="25" t="s">
        <v>531</v>
      </c>
      <c r="L56" s="37">
        <v>81.23</v>
      </c>
      <c r="M56" s="36">
        <v>3.7192982456140403E-2</v>
      </c>
      <c r="N56" s="37">
        <v>1.1107935353115399</v>
      </c>
      <c r="O56" s="37">
        <v>10.525667856703199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1.1900000000000001E-2</v>
      </c>
      <c r="F58" s="36">
        <v>1.53321976149914E-2</v>
      </c>
      <c r="G58" s="36">
        <v>5.3003533568904498E-2</v>
      </c>
      <c r="H58" s="36">
        <v>-0.10644677661169399</v>
      </c>
      <c r="I58" s="37">
        <v>580</v>
      </c>
      <c r="J58" s="37">
        <v>8344.7999999999993</v>
      </c>
      <c r="K58" s="25" t="s">
        <v>531</v>
      </c>
      <c r="L58" s="37">
        <v>390.26</v>
      </c>
      <c r="M58" s="36">
        <v>4.8657718120805403E-2</v>
      </c>
      <c r="N58" s="37">
        <v>1.42843447416355</v>
      </c>
      <c r="O58" s="37">
        <v>30.543740070722102</v>
      </c>
      <c r="P58" s="6"/>
      <c r="Q58" s="1"/>
      <c r="R58" s="1"/>
    </row>
    <row r="59" spans="1:18" x14ac:dyDescent="0.35">
      <c r="A59" s="1"/>
      <c r="B59" s="5"/>
      <c r="C59" s="25" t="s">
        <v>288</v>
      </c>
      <c r="D59" s="25" t="s">
        <v>532</v>
      </c>
      <c r="E59" s="36">
        <v>-2.5700000000000001E-2</v>
      </c>
      <c r="F59" s="36">
        <v>0.113056379821958</v>
      </c>
      <c r="G59" s="36">
        <v>0.536036036036036</v>
      </c>
      <c r="H59" s="36">
        <v>0.25409562019391502</v>
      </c>
      <c r="I59" s="37">
        <v>4512</v>
      </c>
      <c r="J59" s="37">
        <v>38765.879999999997</v>
      </c>
      <c r="K59" s="25" t="s">
        <v>531</v>
      </c>
      <c r="L59" s="37">
        <v>3586.11</v>
      </c>
      <c r="M59" s="36">
        <v>6.0143961610237301E-2</v>
      </c>
      <c r="N59" s="37">
        <v>1.9352069397109</v>
      </c>
      <c r="O59" s="37">
        <v>20.9196036931382</v>
      </c>
      <c r="P59" s="6"/>
      <c r="Q59" s="1"/>
      <c r="R59" s="1"/>
    </row>
    <row r="60" spans="1:18" x14ac:dyDescent="0.35">
      <c r="A60" s="1"/>
      <c r="B60" s="5"/>
      <c r="C60" s="25" t="s">
        <v>289</v>
      </c>
      <c r="D60" s="25" t="s">
        <v>532</v>
      </c>
      <c r="E60" s="36">
        <v>-5.4000000000000003E-3</v>
      </c>
      <c r="F60" s="36">
        <v>6.0779816513761402E-2</v>
      </c>
      <c r="G60" s="36">
        <v>0.13496932515337401</v>
      </c>
      <c r="H60" s="36">
        <v>8.6956521739130405E-2</v>
      </c>
      <c r="I60" s="37">
        <v>1255</v>
      </c>
      <c r="J60" s="37">
        <v>36711.58</v>
      </c>
      <c r="K60" s="25" t="s">
        <v>531</v>
      </c>
      <c r="L60" s="37">
        <v>1774.35</v>
      </c>
      <c r="M60" s="36">
        <v>6.7837837837837797E-2</v>
      </c>
      <c r="N60" s="37">
        <v>0.50392818832640796</v>
      </c>
      <c r="O60" s="37">
        <v>10.4263533124806</v>
      </c>
      <c r="P60" s="6"/>
      <c r="Q60" s="1"/>
      <c r="R60" s="1"/>
    </row>
    <row r="61" spans="1:18" x14ac:dyDescent="0.35">
      <c r="A61" s="1"/>
      <c r="B61" s="5"/>
      <c r="C61" s="25" t="s">
        <v>290</v>
      </c>
      <c r="D61" s="25" t="s">
        <v>532</v>
      </c>
      <c r="E61" s="36">
        <v>9.2999999999999992E-3</v>
      </c>
      <c r="F61" s="36">
        <v>2.5078369905956001E-2</v>
      </c>
      <c r="G61" s="25"/>
      <c r="H61" s="36">
        <v>0.15547703180212</v>
      </c>
      <c r="I61" s="37">
        <v>792.81</v>
      </c>
      <c r="J61" s="37">
        <v>36729.96</v>
      </c>
      <c r="K61" s="25" t="s">
        <v>531</v>
      </c>
      <c r="L61" s="37">
        <v>2449.37</v>
      </c>
      <c r="M61" s="36">
        <v>2.42449541284404E-2</v>
      </c>
      <c r="N61" s="37">
        <v>0.89028139426234099</v>
      </c>
      <c r="O61" s="37">
        <v>13.350371728240299</v>
      </c>
      <c r="P61" s="6"/>
      <c r="Q61" s="1"/>
      <c r="R61" s="1"/>
    </row>
    <row r="62" spans="1:18" x14ac:dyDescent="0.35">
      <c r="A62" s="1"/>
      <c r="B62" s="5"/>
      <c r="C62" s="25" t="s">
        <v>326</v>
      </c>
      <c r="D62" s="25" t="s">
        <v>532</v>
      </c>
      <c r="E62" s="36">
        <v>3.3E-3</v>
      </c>
      <c r="F62" s="36">
        <v>-4.8426150121065898E-3</v>
      </c>
      <c r="G62" s="36">
        <v>2.4086378737541599E-2</v>
      </c>
      <c r="H62" s="36">
        <v>-6.4464141821112299E-3</v>
      </c>
      <c r="I62" s="37">
        <v>0</v>
      </c>
      <c r="J62" s="37">
        <v>31474.22</v>
      </c>
      <c r="K62" s="25" t="s">
        <v>531</v>
      </c>
      <c r="L62" s="37">
        <v>4339.8</v>
      </c>
      <c r="M62" s="36">
        <v>0</v>
      </c>
      <c r="N62" s="37">
        <v>0.78349836787059401</v>
      </c>
      <c r="O62" s="37">
        <v>5.6822895064288703</v>
      </c>
      <c r="P62" s="6"/>
      <c r="Q62" s="1"/>
      <c r="R62" s="1"/>
    </row>
    <row r="63" spans="1:18" x14ac:dyDescent="0.35">
      <c r="A63" s="1"/>
      <c r="B63" s="5"/>
      <c r="C63" s="25" t="s">
        <v>292</v>
      </c>
      <c r="D63" s="25" t="s">
        <v>532</v>
      </c>
      <c r="E63" s="36">
        <v>1.3599999999999999E-2</v>
      </c>
      <c r="F63" s="36">
        <v>0.20355411954765801</v>
      </c>
      <c r="G63" s="36">
        <v>0.335125448028674</v>
      </c>
      <c r="H63" s="36">
        <v>0.162246489859594</v>
      </c>
      <c r="I63" s="37">
        <v>750</v>
      </c>
      <c r="J63" s="37">
        <v>15140.69</v>
      </c>
      <c r="K63" s="25" t="s">
        <v>531</v>
      </c>
      <c r="L63" s="37">
        <v>4753.76</v>
      </c>
      <c r="M63" s="36">
        <v>5.0335570469798703E-2</v>
      </c>
      <c r="N63" s="37">
        <v>0.984103102302471</v>
      </c>
      <c r="O63" s="37">
        <v>3.1343610110733402</v>
      </c>
      <c r="P63" s="6"/>
      <c r="Q63" s="1"/>
      <c r="R63" s="1"/>
    </row>
    <row r="64" spans="1:18" x14ac:dyDescent="0.35">
      <c r="A64" s="1"/>
      <c r="B64" s="5"/>
      <c r="C64" s="25" t="s">
        <v>293</v>
      </c>
      <c r="D64" s="25" t="s">
        <v>532</v>
      </c>
      <c r="E64" s="36">
        <v>2.7300000000000001E-2</v>
      </c>
      <c r="F64" s="36">
        <v>3.5904255319148898E-2</v>
      </c>
      <c r="G64" s="36">
        <v>0.276351720371382</v>
      </c>
      <c r="H64" s="36">
        <v>9.8730606488011394E-2</v>
      </c>
      <c r="I64" s="37">
        <v>2000</v>
      </c>
      <c r="J64" s="37">
        <v>47877.89</v>
      </c>
      <c r="K64" s="25" t="s">
        <v>531</v>
      </c>
      <c r="L64" s="37">
        <v>5021.83</v>
      </c>
      <c r="M64" s="36">
        <v>4.2789901583226403E-2</v>
      </c>
      <c r="N64" s="37">
        <v>0.97623349734083897</v>
      </c>
      <c r="O64" s="37">
        <v>9.3073640485639704</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1.5E-3</v>
      </c>
      <c r="F72" s="36">
        <v>-3.0030030030030498E-3</v>
      </c>
      <c r="G72" s="36">
        <v>-2.2091310751104602E-2</v>
      </c>
      <c r="H72" s="36">
        <v>4.7318611987381597E-2</v>
      </c>
      <c r="I72" s="37">
        <v>525</v>
      </c>
      <c r="J72" s="37">
        <v>5465.69</v>
      </c>
      <c r="K72" s="25" t="s">
        <v>531</v>
      </c>
      <c r="L72" s="37">
        <v>902.94</v>
      </c>
      <c r="M72" s="36">
        <v>7.9066265060241003E-2</v>
      </c>
      <c r="N72" s="37">
        <v>1.2148511898772201</v>
      </c>
      <c r="O72" s="37">
        <v>7.3537555097791696</v>
      </c>
      <c r="P72" s="6"/>
      <c r="Q72" s="1"/>
      <c r="R72" s="1"/>
    </row>
    <row r="73" spans="1:18" x14ac:dyDescent="0.3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-6.7000000000000002E-3</v>
      </c>
      <c r="F78" s="36">
        <v>-4.11255411255411E-2</v>
      </c>
      <c r="G78" s="36">
        <v>0.26571428571428601</v>
      </c>
      <c r="H78" s="36">
        <v>-5.2406417112299403E-2</v>
      </c>
      <c r="I78" s="37">
        <v>1732.09</v>
      </c>
      <c r="J78" s="37">
        <v>18073.29</v>
      </c>
      <c r="K78" s="25" t="s">
        <v>531</v>
      </c>
      <c r="L78" s="37">
        <v>15730.68</v>
      </c>
      <c r="M78" s="36">
        <v>9.7747742663656906E-2</v>
      </c>
      <c r="N78" s="37">
        <v>0.98045236921446</v>
      </c>
      <c r="O78" s="37">
        <v>1.1264611574324801</v>
      </c>
      <c r="P78" s="6"/>
      <c r="Q78" s="1"/>
      <c r="R78" s="1"/>
    </row>
    <row r="79" spans="1:18" x14ac:dyDescent="0.35">
      <c r="A79" s="1"/>
      <c r="B79" s="5"/>
      <c r="C79" s="25" t="s">
        <v>573</v>
      </c>
      <c r="D79" s="25" t="s">
        <v>532</v>
      </c>
      <c r="E79" s="36">
        <v>-1.5E-3</v>
      </c>
      <c r="F79" s="36">
        <v>-3.7142857142857102E-2</v>
      </c>
      <c r="G79" s="25"/>
      <c r="H79" s="36">
        <v>-0.37822878228782297</v>
      </c>
      <c r="I79" s="37">
        <v>663.46</v>
      </c>
      <c r="J79" s="37">
        <v>22841.55</v>
      </c>
      <c r="K79" s="25" t="s">
        <v>531</v>
      </c>
      <c r="L79" s="37">
        <v>3237.96</v>
      </c>
      <c r="M79" s="36">
        <v>4.92181008902077E-2</v>
      </c>
      <c r="N79" s="37">
        <v>0.59015259472321302</v>
      </c>
      <c r="O79" s="37">
        <v>4.1631150477461096</v>
      </c>
      <c r="P79" s="6"/>
      <c r="Q79" s="1"/>
      <c r="R79" s="1"/>
    </row>
    <row r="80" spans="1:18" x14ac:dyDescent="0.3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3121.07</v>
      </c>
      <c r="G6" s="1"/>
      <c r="H6" s="6"/>
      <c r="I6" s="1"/>
      <c r="J6" s="1"/>
    </row>
    <row r="7" spans="1:10" x14ac:dyDescent="0.35">
      <c r="A7" s="1"/>
      <c r="B7" s="5"/>
      <c r="C7" s="20" t="s">
        <v>581</v>
      </c>
      <c r="D7" s="20" t="s">
        <v>529</v>
      </c>
      <c r="E7" s="39">
        <v>112381.2</v>
      </c>
      <c r="F7" s="39">
        <v>36007266.738650501</v>
      </c>
      <c r="G7" s="1"/>
      <c r="H7" s="6"/>
      <c r="I7" s="1"/>
      <c r="J7" s="1"/>
    </row>
    <row r="8" spans="1:10" x14ac:dyDescent="0.35">
      <c r="A8" s="1"/>
      <c r="B8" s="5"/>
      <c r="C8" s="20" t="s">
        <v>299</v>
      </c>
      <c r="D8" s="20" t="s">
        <v>298</v>
      </c>
      <c r="E8" s="39">
        <v>3634882.8826799998</v>
      </c>
      <c r="F8" s="39">
        <v>1164627157.57096</v>
      </c>
      <c r="G8" s="1"/>
      <c r="H8" s="6"/>
      <c r="I8" s="1"/>
      <c r="J8" s="1"/>
    </row>
    <row r="9" spans="1:10" x14ac:dyDescent="0.35">
      <c r="A9" s="1"/>
      <c r="B9" s="5"/>
      <c r="C9" s="20" t="s">
        <v>323</v>
      </c>
      <c r="D9" s="20" t="s">
        <v>322</v>
      </c>
      <c r="E9" s="39">
        <v>16034687.719372001</v>
      </c>
      <c r="F9" s="39">
        <v>5137561066.9968901</v>
      </c>
      <c r="G9" s="1"/>
      <c r="H9" s="6"/>
      <c r="I9" s="1"/>
      <c r="J9" s="1"/>
    </row>
    <row r="10" spans="1:10" x14ac:dyDescent="0.35">
      <c r="A10" s="1"/>
      <c r="B10" s="5"/>
      <c r="C10" s="20" t="s">
        <v>301</v>
      </c>
      <c r="D10" s="20" t="s">
        <v>300</v>
      </c>
      <c r="E10" s="39">
        <v>396041.52408</v>
      </c>
      <c r="F10" s="39">
        <v>126892868.17661899</v>
      </c>
      <c r="G10" s="1"/>
      <c r="H10" s="6"/>
      <c r="I10" s="1"/>
      <c r="J10" s="1"/>
    </row>
    <row r="11" spans="1:10" x14ac:dyDescent="0.35">
      <c r="A11" s="1"/>
      <c r="B11" s="5"/>
      <c r="C11" s="20" t="s">
        <v>259</v>
      </c>
      <c r="D11" s="20" t="s">
        <v>258</v>
      </c>
      <c r="E11" s="39">
        <v>13989787.057840001</v>
      </c>
      <c r="F11" s="39">
        <v>4482368885.6193504</v>
      </c>
      <c r="G11" s="1"/>
      <c r="H11" s="6"/>
      <c r="I11" s="1"/>
      <c r="J11" s="1"/>
    </row>
    <row r="12" spans="1:10" x14ac:dyDescent="0.35">
      <c r="A12" s="1"/>
      <c r="B12" s="5"/>
      <c r="C12" s="20" t="s">
        <v>303</v>
      </c>
      <c r="D12" s="20" t="s">
        <v>302</v>
      </c>
      <c r="E12" s="39">
        <v>967005.23462</v>
      </c>
      <c r="F12" s="39">
        <v>309831318.94510502</v>
      </c>
      <c r="G12" s="1"/>
      <c r="H12" s="6"/>
      <c r="I12" s="1"/>
      <c r="J12" s="1"/>
    </row>
    <row r="13" spans="1:10" x14ac:dyDescent="0.35">
      <c r="A13" s="1"/>
      <c r="B13" s="5"/>
      <c r="C13" s="20" t="s">
        <v>582</v>
      </c>
      <c r="D13" s="20" t="s">
        <v>533</v>
      </c>
      <c r="E13" s="39">
        <v>616751.73701685003</v>
      </c>
      <c r="F13" s="39">
        <v>197609069.01058</v>
      </c>
      <c r="G13" s="1"/>
      <c r="H13" s="6"/>
      <c r="I13" s="1"/>
      <c r="J13" s="1"/>
    </row>
    <row r="14" spans="1:10" x14ac:dyDescent="0.35">
      <c r="A14" s="1"/>
      <c r="B14" s="5"/>
      <c r="C14" s="20" t="s">
        <v>261</v>
      </c>
      <c r="D14" s="20" t="s">
        <v>260</v>
      </c>
      <c r="E14" s="39">
        <v>5107664.1049600001</v>
      </c>
      <c r="F14" s="39">
        <v>1636510589.3043101</v>
      </c>
      <c r="G14" s="1"/>
      <c r="H14" s="6"/>
      <c r="I14" s="1"/>
      <c r="J14" s="1"/>
    </row>
    <row r="15" spans="1:10" x14ac:dyDescent="0.35">
      <c r="A15" s="1"/>
      <c r="B15" s="5"/>
      <c r="C15" s="20" t="s">
        <v>263</v>
      </c>
      <c r="D15" s="20" t="s">
        <v>262</v>
      </c>
      <c r="E15" s="39">
        <v>13624035.6</v>
      </c>
      <c r="F15" s="39">
        <v>4365181043.6805296</v>
      </c>
      <c r="G15" s="1"/>
      <c r="H15" s="6"/>
      <c r="I15" s="1"/>
      <c r="J15" s="1"/>
    </row>
    <row r="16" spans="1:10" x14ac:dyDescent="0.35">
      <c r="A16" s="1"/>
      <c r="B16" s="5"/>
      <c r="C16" s="20" t="s">
        <v>265</v>
      </c>
      <c r="D16" s="20" t="s">
        <v>264</v>
      </c>
      <c r="E16" s="39">
        <v>44750165.3028</v>
      </c>
      <c r="F16" s="39">
        <v>14338084471.9279</v>
      </c>
      <c r="G16" s="1"/>
      <c r="H16" s="6"/>
      <c r="I16" s="1"/>
      <c r="J16" s="1"/>
    </row>
    <row r="17" spans="1:10" x14ac:dyDescent="0.35">
      <c r="A17" s="1"/>
      <c r="B17" s="5"/>
      <c r="C17" s="20" t="s">
        <v>305</v>
      </c>
      <c r="D17" s="20" t="s">
        <v>304</v>
      </c>
      <c r="E17" s="39">
        <v>1504345.31588304</v>
      </c>
      <c r="F17" s="39">
        <v>481996660.08229202</v>
      </c>
      <c r="G17" s="1"/>
      <c r="H17" s="6"/>
      <c r="I17" s="1"/>
      <c r="J17" s="1"/>
    </row>
    <row r="18" spans="1:10" x14ac:dyDescent="0.35">
      <c r="A18" s="1"/>
      <c r="B18" s="5"/>
      <c r="C18" s="20" t="s">
        <v>583</v>
      </c>
      <c r="D18" s="20" t="s">
        <v>536</v>
      </c>
      <c r="E18" s="39">
        <v>551392.90889592003</v>
      </c>
      <c r="F18" s="39">
        <v>176667908.40830901</v>
      </c>
      <c r="G18" s="1"/>
      <c r="H18" s="6"/>
      <c r="I18" s="1"/>
      <c r="J18" s="1"/>
    </row>
    <row r="19" spans="1:10" x14ac:dyDescent="0.35">
      <c r="A19" s="1"/>
      <c r="B19" s="5"/>
      <c r="C19" s="20" t="s">
        <v>584</v>
      </c>
      <c r="D19" s="20" t="s">
        <v>537</v>
      </c>
      <c r="E19" s="39">
        <v>1324575.7383328399</v>
      </c>
      <c r="F19" s="39">
        <v>424397959.13992298</v>
      </c>
      <c r="G19" s="1"/>
      <c r="H19" s="6"/>
      <c r="I19" s="1"/>
      <c r="J19" s="1"/>
    </row>
    <row r="20" spans="1:10" x14ac:dyDescent="0.35">
      <c r="A20" s="1"/>
      <c r="B20" s="5"/>
      <c r="C20" s="20" t="s">
        <v>585</v>
      </c>
      <c r="D20" s="20" t="s">
        <v>538</v>
      </c>
      <c r="E20" s="39">
        <v>27483.84</v>
      </c>
      <c r="F20" s="39">
        <v>8805903.10374327</v>
      </c>
      <c r="G20" s="1"/>
      <c r="H20" s="6"/>
      <c r="I20" s="1"/>
      <c r="J20" s="1"/>
    </row>
    <row r="21" spans="1:10" x14ac:dyDescent="0.35">
      <c r="A21" s="1"/>
      <c r="B21" s="5"/>
      <c r="C21" s="20" t="s">
        <v>307</v>
      </c>
      <c r="D21" s="20" t="s">
        <v>306</v>
      </c>
      <c r="E21" s="39">
        <v>495669.40834299999</v>
      </c>
      <c r="F21" s="39">
        <v>158813935.07451001</v>
      </c>
      <c r="G21" s="1"/>
      <c r="H21" s="6"/>
      <c r="I21" s="1"/>
      <c r="J21" s="1"/>
    </row>
    <row r="22" spans="1:10" x14ac:dyDescent="0.35">
      <c r="A22" s="1"/>
      <c r="B22" s="5"/>
      <c r="C22" s="20" t="s">
        <v>586</v>
      </c>
      <c r="D22" s="20" t="s">
        <v>539</v>
      </c>
      <c r="E22" s="39">
        <v>251087.91450000001</v>
      </c>
      <c r="F22" s="39">
        <v>80449305.686831802</v>
      </c>
      <c r="G22" s="1"/>
      <c r="H22" s="6"/>
      <c r="I22" s="1"/>
      <c r="J22" s="1"/>
    </row>
    <row r="23" spans="1:10" x14ac:dyDescent="0.35">
      <c r="A23" s="1"/>
      <c r="B23" s="5"/>
      <c r="C23" s="20" t="s">
        <v>267</v>
      </c>
      <c r="D23" s="20" t="s">
        <v>266</v>
      </c>
      <c r="E23" s="39">
        <v>7551602.0987999998</v>
      </c>
      <c r="F23" s="39">
        <v>2419555504.6186099</v>
      </c>
      <c r="G23" s="1"/>
      <c r="H23" s="6"/>
      <c r="I23" s="1"/>
      <c r="J23" s="1"/>
    </row>
    <row r="24" spans="1:10" x14ac:dyDescent="0.35">
      <c r="A24" s="1"/>
      <c r="B24" s="5"/>
      <c r="C24" s="20" t="s">
        <v>587</v>
      </c>
      <c r="D24" s="20" t="s">
        <v>540</v>
      </c>
      <c r="E24" s="39">
        <v>109948.90245325</v>
      </c>
      <c r="F24" s="39">
        <v>35227951.456792101</v>
      </c>
      <c r="G24" s="1"/>
      <c r="H24" s="6"/>
      <c r="I24" s="1"/>
      <c r="J24" s="1"/>
    </row>
    <row r="25" spans="1:10" x14ac:dyDescent="0.35">
      <c r="A25" s="1"/>
      <c r="B25" s="5"/>
      <c r="C25" s="20" t="s">
        <v>588</v>
      </c>
      <c r="D25" s="20" t="s">
        <v>541</v>
      </c>
      <c r="E25" s="39">
        <v>6958.3182746000002</v>
      </c>
      <c r="F25" s="39">
        <v>2229465.6238405402</v>
      </c>
      <c r="G25" s="1"/>
      <c r="H25" s="6"/>
      <c r="I25" s="1"/>
      <c r="J25" s="1"/>
    </row>
    <row r="26" spans="1:10" x14ac:dyDescent="0.35">
      <c r="A26" s="1"/>
      <c r="B26" s="5"/>
      <c r="C26" s="20" t="s">
        <v>269</v>
      </c>
      <c r="D26" s="20" t="s">
        <v>268</v>
      </c>
      <c r="E26" s="39">
        <v>109164824.40195</v>
      </c>
      <c r="F26" s="39">
        <v>34976730544.957298</v>
      </c>
      <c r="G26" s="1"/>
      <c r="H26" s="6"/>
      <c r="I26" s="1"/>
      <c r="J26" s="1"/>
    </row>
    <row r="27" spans="1:10" x14ac:dyDescent="0.35">
      <c r="A27" s="1"/>
      <c r="B27" s="5"/>
      <c r="C27" s="20" t="s">
        <v>309</v>
      </c>
      <c r="D27" s="20" t="s">
        <v>308</v>
      </c>
      <c r="E27" s="39">
        <v>332557.80978000001</v>
      </c>
      <c r="F27" s="39">
        <v>106552499.553038</v>
      </c>
      <c r="G27" s="1"/>
      <c r="H27" s="6"/>
      <c r="I27" s="1"/>
      <c r="J27" s="1"/>
    </row>
    <row r="28" spans="1:10" x14ac:dyDescent="0.35">
      <c r="A28" s="1"/>
      <c r="B28" s="5"/>
      <c r="C28" s="20" t="s">
        <v>589</v>
      </c>
      <c r="D28" s="20" t="s">
        <v>542</v>
      </c>
      <c r="E28" s="39">
        <v>145509.30657756</v>
      </c>
      <c r="F28" s="39">
        <v>46621609.440852001</v>
      </c>
      <c r="G28" s="1"/>
      <c r="H28" s="6"/>
      <c r="I28" s="1"/>
      <c r="J28" s="1"/>
    </row>
    <row r="29" spans="1:10" x14ac:dyDescent="0.35">
      <c r="A29" s="1"/>
      <c r="B29" s="5"/>
      <c r="C29" s="20" t="s">
        <v>311</v>
      </c>
      <c r="D29" s="20" t="s">
        <v>310</v>
      </c>
      <c r="E29" s="39">
        <v>226704.74663079999</v>
      </c>
      <c r="F29" s="39">
        <v>72636867.0458529</v>
      </c>
      <c r="G29" s="1"/>
      <c r="H29" s="6"/>
      <c r="I29" s="1"/>
      <c r="J29" s="1"/>
    </row>
    <row r="30" spans="1:10" x14ac:dyDescent="0.35">
      <c r="A30" s="1"/>
      <c r="B30" s="5"/>
      <c r="C30" s="20" t="s">
        <v>590</v>
      </c>
      <c r="D30" s="20" t="s">
        <v>543</v>
      </c>
      <c r="E30" s="39">
        <v>8900.7459999999992</v>
      </c>
      <c r="F30" s="39">
        <v>2851825.17534051</v>
      </c>
      <c r="G30" s="1"/>
      <c r="H30" s="6"/>
      <c r="I30" s="1"/>
      <c r="J30" s="1"/>
    </row>
    <row r="31" spans="1:10" x14ac:dyDescent="0.35">
      <c r="A31" s="1"/>
      <c r="B31" s="5"/>
      <c r="C31" s="20" t="s">
        <v>313</v>
      </c>
      <c r="D31" s="20" t="s">
        <v>312</v>
      </c>
      <c r="E31" s="39">
        <v>266291.50589999999</v>
      </c>
      <c r="F31" s="39">
        <v>85320581.050729394</v>
      </c>
      <c r="G31" s="1"/>
      <c r="H31" s="6"/>
      <c r="I31" s="1"/>
      <c r="J31" s="1"/>
    </row>
    <row r="32" spans="1:10" x14ac:dyDescent="0.35">
      <c r="A32" s="1"/>
      <c r="B32" s="5"/>
      <c r="C32" s="20" t="s">
        <v>271</v>
      </c>
      <c r="D32" s="20" t="s">
        <v>270</v>
      </c>
      <c r="E32" s="39">
        <v>6138898.4180699997</v>
      </c>
      <c r="F32" s="39">
        <v>1966921093.7499001</v>
      </c>
      <c r="G32" s="1"/>
      <c r="H32" s="6"/>
      <c r="I32" s="1"/>
      <c r="J32" s="1"/>
    </row>
    <row r="33" spans="1:10" x14ac:dyDescent="0.35">
      <c r="A33" s="1"/>
      <c r="B33" s="5"/>
      <c r="C33" s="20" t="s">
        <v>315</v>
      </c>
      <c r="D33" s="20" t="s">
        <v>314</v>
      </c>
      <c r="E33" s="39">
        <v>32206.469389499998</v>
      </c>
      <c r="F33" s="39">
        <v>10319047.438698901</v>
      </c>
      <c r="G33" s="1"/>
      <c r="H33" s="6"/>
      <c r="I33" s="1"/>
      <c r="J33" s="1"/>
    </row>
    <row r="34" spans="1:10" x14ac:dyDescent="0.35">
      <c r="A34" s="1"/>
      <c r="B34" s="5"/>
      <c r="C34" s="20" t="s">
        <v>591</v>
      </c>
      <c r="D34" s="20" t="s">
        <v>546</v>
      </c>
      <c r="E34" s="39">
        <v>64808.040883599999</v>
      </c>
      <c r="F34" s="39">
        <v>20764686.7528123</v>
      </c>
      <c r="G34" s="1"/>
      <c r="H34" s="6"/>
      <c r="I34" s="1"/>
      <c r="J34" s="1"/>
    </row>
    <row r="35" spans="1:10" x14ac:dyDescent="0.35">
      <c r="A35" s="1"/>
      <c r="B35" s="5"/>
      <c r="C35" s="20" t="s">
        <v>273</v>
      </c>
      <c r="D35" s="20" t="s">
        <v>272</v>
      </c>
      <c r="E35" s="39">
        <v>26487695.694045</v>
      </c>
      <c r="F35" s="39">
        <v>8486735540.7103996</v>
      </c>
      <c r="G35" s="1"/>
      <c r="H35" s="6"/>
      <c r="I35" s="1"/>
      <c r="J35" s="1"/>
    </row>
    <row r="36" spans="1:10" x14ac:dyDescent="0.35">
      <c r="A36" s="1"/>
      <c r="B36" s="5"/>
      <c r="C36" s="20" t="s">
        <v>592</v>
      </c>
      <c r="D36" s="20" t="s">
        <v>547</v>
      </c>
      <c r="E36" s="39">
        <v>1141708.6687650001</v>
      </c>
      <c r="F36" s="39">
        <v>365806812.65239203</v>
      </c>
      <c r="G36" s="1"/>
      <c r="H36" s="6"/>
      <c r="I36" s="1"/>
      <c r="J36" s="1"/>
    </row>
    <row r="37" spans="1:10" x14ac:dyDescent="0.35">
      <c r="A37" s="1"/>
      <c r="B37" s="5"/>
      <c r="C37" s="20" t="s">
        <v>275</v>
      </c>
      <c r="D37" s="20" t="s">
        <v>274</v>
      </c>
      <c r="E37" s="39">
        <v>6500830.8284</v>
      </c>
      <c r="F37" s="39">
        <v>2082885301.6433499</v>
      </c>
      <c r="G37" s="1"/>
      <c r="H37" s="6"/>
      <c r="I37" s="1"/>
      <c r="J37" s="1"/>
    </row>
    <row r="38" spans="1:10" x14ac:dyDescent="0.35">
      <c r="A38" s="1"/>
      <c r="B38" s="5"/>
      <c r="C38" s="20" t="s">
        <v>277</v>
      </c>
      <c r="D38" s="20" t="s">
        <v>276</v>
      </c>
      <c r="E38" s="39">
        <v>7685990.4510399997</v>
      </c>
      <c r="F38" s="39">
        <v>2462613927.60816</v>
      </c>
      <c r="G38" s="1"/>
      <c r="H38" s="6"/>
      <c r="I38" s="1"/>
      <c r="J38" s="1"/>
    </row>
    <row r="39" spans="1:10" x14ac:dyDescent="0.35">
      <c r="A39" s="1"/>
      <c r="B39" s="5"/>
      <c r="C39" s="20" t="s">
        <v>287</v>
      </c>
      <c r="D39" s="20" t="s">
        <v>316</v>
      </c>
      <c r="E39" s="39">
        <v>13152399.454365</v>
      </c>
      <c r="F39" s="39">
        <v>4214067436.6050701</v>
      </c>
      <c r="G39" s="1"/>
      <c r="H39" s="6"/>
      <c r="I39" s="1"/>
      <c r="J39" s="1"/>
    </row>
    <row r="40" spans="1:10" x14ac:dyDescent="0.35">
      <c r="A40" s="1"/>
      <c r="B40" s="5"/>
      <c r="C40" s="20" t="s">
        <v>593</v>
      </c>
      <c r="D40" s="20" t="s">
        <v>548</v>
      </c>
      <c r="E40" s="39">
        <v>301296.31718489999</v>
      </c>
      <c r="F40" s="39">
        <v>96536225.456301898</v>
      </c>
      <c r="G40" s="1"/>
      <c r="H40" s="6"/>
      <c r="I40" s="1"/>
      <c r="J40" s="1"/>
    </row>
    <row r="41" spans="1:10" x14ac:dyDescent="0.35">
      <c r="A41" s="1"/>
      <c r="B41" s="5"/>
      <c r="C41" s="20" t="s">
        <v>279</v>
      </c>
      <c r="D41" s="20" t="s">
        <v>278</v>
      </c>
      <c r="E41" s="39">
        <v>9618373.5079999994</v>
      </c>
      <c r="F41" s="39">
        <v>3081755137.8213201</v>
      </c>
      <c r="G41" s="1"/>
      <c r="H41" s="6"/>
      <c r="I41" s="1"/>
      <c r="J41" s="1"/>
    </row>
    <row r="42" spans="1:10" x14ac:dyDescent="0.35">
      <c r="A42" s="1"/>
      <c r="B42" s="5"/>
      <c r="C42" s="20" t="s">
        <v>594</v>
      </c>
      <c r="D42" s="20" t="s">
        <v>554</v>
      </c>
      <c r="E42" s="39">
        <v>282645.97115508001</v>
      </c>
      <c r="F42" s="39">
        <v>90560599.779908806</v>
      </c>
      <c r="G42" s="1"/>
      <c r="H42" s="6"/>
      <c r="I42" s="1"/>
      <c r="J42" s="1"/>
    </row>
    <row r="43" spans="1:10" x14ac:dyDescent="0.35">
      <c r="A43" s="1"/>
      <c r="B43" s="5"/>
      <c r="C43" s="20" t="s">
        <v>595</v>
      </c>
      <c r="D43" s="20" t="s">
        <v>555</v>
      </c>
      <c r="E43" s="39">
        <v>152417.94817521001</v>
      </c>
      <c r="F43" s="39">
        <v>48835158.511411101</v>
      </c>
      <c r="G43" s="1"/>
      <c r="H43" s="6"/>
      <c r="I43" s="1"/>
      <c r="J43" s="1"/>
    </row>
    <row r="44" spans="1:10" x14ac:dyDescent="0.35">
      <c r="A44" s="1"/>
      <c r="B44" s="5"/>
      <c r="C44" s="20" t="s">
        <v>596</v>
      </c>
      <c r="D44" s="20" t="s">
        <v>556</v>
      </c>
      <c r="E44" s="39">
        <v>119631.25</v>
      </c>
      <c r="F44" s="39">
        <v>38330204.064631701</v>
      </c>
      <c r="G44" s="1"/>
      <c r="H44" s="6"/>
      <c r="I44" s="1"/>
      <c r="J44" s="1"/>
    </row>
    <row r="45" spans="1:10" x14ac:dyDescent="0.35">
      <c r="A45" s="1"/>
      <c r="B45" s="5"/>
      <c r="C45" s="20" t="s">
        <v>281</v>
      </c>
      <c r="D45" s="20" t="s">
        <v>280</v>
      </c>
      <c r="E45" s="39">
        <v>32587883.641479999</v>
      </c>
      <c r="F45" s="39">
        <v>10441253685.909</v>
      </c>
      <c r="G45" s="1"/>
      <c r="H45" s="6"/>
      <c r="I45" s="1"/>
      <c r="J45" s="1"/>
    </row>
    <row r="46" spans="1:10" x14ac:dyDescent="0.35">
      <c r="A46" s="1"/>
      <c r="B46" s="5"/>
      <c r="C46" s="20" t="s">
        <v>597</v>
      </c>
      <c r="D46" s="20" t="s">
        <v>557</v>
      </c>
      <c r="E46" s="39">
        <v>704464.01158394001</v>
      </c>
      <c r="F46" s="39">
        <v>225712339.545073</v>
      </c>
      <c r="G46" s="1"/>
      <c r="H46" s="6"/>
      <c r="I46" s="1"/>
      <c r="J46" s="1"/>
    </row>
    <row r="47" spans="1:10" x14ac:dyDescent="0.35">
      <c r="A47" s="1"/>
      <c r="B47" s="5"/>
      <c r="C47" s="20" t="s">
        <v>598</v>
      </c>
      <c r="D47" s="20" t="s">
        <v>558</v>
      </c>
      <c r="E47" s="39">
        <v>809953.8813756</v>
      </c>
      <c r="F47" s="39">
        <v>259511603.83317301</v>
      </c>
      <c r="G47" s="1"/>
      <c r="H47" s="6"/>
      <c r="I47" s="1"/>
      <c r="J47" s="1"/>
    </row>
    <row r="48" spans="1:10" x14ac:dyDescent="0.35">
      <c r="A48" s="1"/>
      <c r="B48" s="5"/>
      <c r="C48" s="20" t="s">
        <v>283</v>
      </c>
      <c r="D48" s="20" t="s">
        <v>282</v>
      </c>
      <c r="E48" s="39">
        <v>5022353.1786599997</v>
      </c>
      <c r="F48" s="39">
        <v>1609176717.8115201</v>
      </c>
      <c r="G48" s="1"/>
      <c r="H48" s="6"/>
      <c r="I48" s="1"/>
      <c r="J48" s="1"/>
    </row>
    <row r="49" spans="1:10" x14ac:dyDescent="0.35">
      <c r="A49" s="1"/>
      <c r="B49" s="5"/>
      <c r="C49" s="20" t="s">
        <v>325</v>
      </c>
      <c r="D49" s="20" t="s">
        <v>324</v>
      </c>
      <c r="E49" s="39">
        <v>140851700.17743999</v>
      </c>
      <c r="F49" s="39">
        <v>45129298662.779099</v>
      </c>
      <c r="G49" s="1"/>
      <c r="H49" s="6"/>
      <c r="I49" s="1"/>
      <c r="J49" s="1"/>
    </row>
    <row r="50" spans="1:10" x14ac:dyDescent="0.35">
      <c r="A50" s="1"/>
      <c r="B50" s="5"/>
      <c r="C50" s="20" t="s">
        <v>318</v>
      </c>
      <c r="D50" s="20" t="s">
        <v>317</v>
      </c>
      <c r="E50" s="39">
        <v>3273894.0989999999</v>
      </c>
      <c r="F50" s="39">
        <v>1048965290.42924</v>
      </c>
      <c r="G50" s="1"/>
      <c r="H50" s="6"/>
      <c r="I50" s="1"/>
      <c r="J50" s="1"/>
    </row>
    <row r="51" spans="1:10" x14ac:dyDescent="0.35">
      <c r="A51" s="1"/>
      <c r="B51" s="5"/>
      <c r="C51" s="20" t="s">
        <v>599</v>
      </c>
      <c r="D51" s="20" t="s">
        <v>559</v>
      </c>
      <c r="E51" s="39">
        <v>96995.525230500003</v>
      </c>
      <c r="F51" s="39">
        <v>31077651.328070201</v>
      </c>
      <c r="G51" s="1"/>
      <c r="H51" s="6"/>
      <c r="I51" s="1"/>
      <c r="J51" s="1"/>
    </row>
    <row r="52" spans="1:10" x14ac:dyDescent="0.35">
      <c r="A52" s="1"/>
      <c r="B52" s="5"/>
      <c r="C52" s="20" t="s">
        <v>285</v>
      </c>
      <c r="D52" s="20" t="s">
        <v>284</v>
      </c>
      <c r="E52" s="39">
        <v>3410832.2176799998</v>
      </c>
      <c r="F52" s="39">
        <v>1092840666.0792601</v>
      </c>
      <c r="G52" s="1"/>
      <c r="H52" s="6"/>
      <c r="I52" s="1"/>
      <c r="J52" s="1"/>
    </row>
    <row r="53" spans="1:10" x14ac:dyDescent="0.35">
      <c r="A53" s="1"/>
      <c r="B53" s="5"/>
      <c r="C53" s="20" t="s">
        <v>287</v>
      </c>
      <c r="D53" s="20" t="s">
        <v>286</v>
      </c>
      <c r="E53" s="39">
        <v>6468812.5648950003</v>
      </c>
      <c r="F53" s="39">
        <v>2072626555.92313</v>
      </c>
      <c r="G53" s="1"/>
      <c r="H53" s="6"/>
      <c r="I53" s="1"/>
      <c r="J53" s="1"/>
    </row>
    <row r="54" spans="1:10" x14ac:dyDescent="0.35">
      <c r="A54" s="1"/>
      <c r="B54" s="5"/>
      <c r="C54" s="20" t="s">
        <v>299</v>
      </c>
      <c r="D54" s="20" t="s">
        <v>560</v>
      </c>
      <c r="E54" s="39">
        <v>187850.02799999999</v>
      </c>
      <c r="F54" s="39">
        <v>60187701.012793697</v>
      </c>
      <c r="G54" s="1"/>
      <c r="H54" s="6"/>
      <c r="I54" s="1"/>
      <c r="J54" s="1"/>
    </row>
    <row r="55" spans="1:10" x14ac:dyDescent="0.35">
      <c r="A55" s="1"/>
      <c r="B55" s="5"/>
      <c r="C55" s="20" t="s">
        <v>263</v>
      </c>
      <c r="D55" s="20" t="s">
        <v>319</v>
      </c>
      <c r="E55" s="39">
        <v>4519.0984799999997</v>
      </c>
      <c r="F55" s="39">
        <v>1447932.4334282801</v>
      </c>
      <c r="G55" s="1"/>
      <c r="H55" s="6"/>
      <c r="I55" s="1"/>
      <c r="J55" s="1"/>
    </row>
    <row r="56" spans="1:10" x14ac:dyDescent="0.35">
      <c r="A56" s="1"/>
      <c r="B56" s="5"/>
      <c r="C56" s="20" t="s">
        <v>265</v>
      </c>
      <c r="D56" s="20" t="s">
        <v>288</v>
      </c>
      <c r="E56" s="39">
        <v>33005634.456080001</v>
      </c>
      <c r="F56" s="39">
        <v>10575102274.566099</v>
      </c>
      <c r="G56" s="1"/>
      <c r="H56" s="6"/>
      <c r="I56" s="1"/>
      <c r="J56" s="1"/>
    </row>
    <row r="57" spans="1:10" x14ac:dyDescent="0.35">
      <c r="A57" s="1"/>
      <c r="B57" s="5"/>
      <c r="C57" s="20" t="s">
        <v>267</v>
      </c>
      <c r="D57" s="20" t="s">
        <v>289</v>
      </c>
      <c r="E57" s="39">
        <v>355700.88750000001</v>
      </c>
      <c r="F57" s="39">
        <v>113967609.665916</v>
      </c>
      <c r="G57" s="1"/>
      <c r="H57" s="6"/>
      <c r="I57" s="1"/>
      <c r="J57" s="1"/>
    </row>
    <row r="58" spans="1:10" x14ac:dyDescent="0.35">
      <c r="A58" s="1"/>
      <c r="B58" s="5"/>
      <c r="C58" s="20" t="s">
        <v>291</v>
      </c>
      <c r="D58" s="20" t="s">
        <v>290</v>
      </c>
      <c r="E58" s="39">
        <v>5540810.7231000001</v>
      </c>
      <c r="F58" s="39">
        <v>1775292038.6598201</v>
      </c>
      <c r="G58" s="1"/>
      <c r="H58" s="6"/>
      <c r="I58" s="1"/>
      <c r="J58" s="1"/>
    </row>
    <row r="59" spans="1:10" x14ac:dyDescent="0.35">
      <c r="A59" s="1"/>
      <c r="B59" s="5"/>
      <c r="C59" s="20" t="s">
        <v>327</v>
      </c>
      <c r="D59" s="20" t="s">
        <v>326</v>
      </c>
      <c r="E59" s="39">
        <v>2875380.9559200001</v>
      </c>
      <c r="F59" s="39">
        <v>921280508.26159</v>
      </c>
      <c r="G59" s="1"/>
      <c r="H59" s="6"/>
      <c r="I59" s="1"/>
      <c r="J59" s="1"/>
    </row>
    <row r="60" spans="1:10" x14ac:dyDescent="0.35">
      <c r="A60" s="1"/>
      <c r="B60" s="5"/>
      <c r="C60" s="20" t="s">
        <v>277</v>
      </c>
      <c r="D60" s="20" t="s">
        <v>292</v>
      </c>
      <c r="E60" s="39">
        <v>4280403.1470999997</v>
      </c>
      <c r="F60" s="39">
        <v>1371453747.30461</v>
      </c>
      <c r="G60" s="1"/>
      <c r="H60" s="6"/>
      <c r="I60" s="1"/>
      <c r="J60" s="1"/>
    </row>
    <row r="61" spans="1:10" x14ac:dyDescent="0.35">
      <c r="A61" s="1"/>
      <c r="B61" s="5"/>
      <c r="C61" s="20" t="s">
        <v>279</v>
      </c>
      <c r="D61" s="20" t="s">
        <v>293</v>
      </c>
      <c r="E61" s="39">
        <v>7565891.76468</v>
      </c>
      <c r="F61" s="39">
        <v>2424133955.5601101</v>
      </c>
      <c r="G61" s="1"/>
      <c r="H61" s="6"/>
      <c r="I61" s="1"/>
      <c r="J61" s="1"/>
    </row>
    <row r="62" spans="1:10" x14ac:dyDescent="0.35">
      <c r="A62" s="1"/>
      <c r="B62" s="5"/>
      <c r="C62" s="20" t="s">
        <v>321</v>
      </c>
      <c r="D62" s="20" t="s">
        <v>561</v>
      </c>
      <c r="E62" s="39">
        <v>217.45230137999999</v>
      </c>
      <c r="F62" s="39">
        <v>69672.3563970049</v>
      </c>
      <c r="G62" s="1"/>
      <c r="H62" s="6"/>
      <c r="I62" s="1"/>
      <c r="J62" s="1"/>
    </row>
    <row r="63" spans="1:10" x14ac:dyDescent="0.35">
      <c r="A63" s="1"/>
      <c r="B63" s="5"/>
      <c r="C63" s="20" t="s">
        <v>321</v>
      </c>
      <c r="D63" s="20" t="s">
        <v>562</v>
      </c>
      <c r="E63" s="39">
        <v>276.18809112000002</v>
      </c>
      <c r="F63" s="39">
        <v>88491.476038666195</v>
      </c>
      <c r="G63" s="1"/>
      <c r="H63" s="6"/>
      <c r="I63" s="1"/>
      <c r="J63" s="1"/>
    </row>
    <row r="64" spans="1:10" x14ac:dyDescent="0.35">
      <c r="A64" s="1"/>
      <c r="B64" s="5"/>
      <c r="C64" s="20" t="s">
        <v>321</v>
      </c>
      <c r="D64" s="20" t="s">
        <v>563</v>
      </c>
      <c r="E64" s="39">
        <v>9471.4740903599995</v>
      </c>
      <c r="F64" s="39">
        <v>3034688.1327109002</v>
      </c>
      <c r="G64" s="1"/>
      <c r="H64" s="6"/>
      <c r="I64" s="1"/>
      <c r="J64" s="1"/>
    </row>
    <row r="65" spans="1:10" x14ac:dyDescent="0.35">
      <c r="A65" s="1"/>
      <c r="B65" s="5"/>
      <c r="C65" s="20" t="s">
        <v>321</v>
      </c>
      <c r="D65" s="20" t="s">
        <v>564</v>
      </c>
      <c r="E65" s="39">
        <v>19.06655112</v>
      </c>
      <c r="F65" s="39">
        <v>6108.9790104034801</v>
      </c>
      <c r="G65" s="1"/>
      <c r="H65" s="6"/>
      <c r="I65" s="1"/>
      <c r="J65" s="1"/>
    </row>
    <row r="66" spans="1:10" x14ac:dyDescent="0.35">
      <c r="A66" s="1"/>
      <c r="B66" s="5"/>
      <c r="C66" s="20" t="s">
        <v>321</v>
      </c>
      <c r="D66" s="20" t="s">
        <v>565</v>
      </c>
      <c r="E66" s="39">
        <v>627.15899321999996</v>
      </c>
      <c r="F66" s="39">
        <v>200943.584482245</v>
      </c>
      <c r="G66" s="1"/>
      <c r="H66" s="6"/>
      <c r="I66" s="1"/>
      <c r="J66" s="1"/>
    </row>
    <row r="67" spans="1:10" x14ac:dyDescent="0.35">
      <c r="A67" s="1"/>
      <c r="B67" s="5"/>
      <c r="C67" s="20" t="s">
        <v>321</v>
      </c>
      <c r="D67" s="20" t="s">
        <v>566</v>
      </c>
      <c r="E67" s="39">
        <v>969.60532734000003</v>
      </c>
      <c r="F67" s="39">
        <v>310664.39629357902</v>
      </c>
      <c r="G67" s="1"/>
      <c r="H67" s="6"/>
      <c r="I67" s="1"/>
      <c r="J67" s="1"/>
    </row>
    <row r="68" spans="1:10" x14ac:dyDescent="0.35">
      <c r="A68" s="1"/>
      <c r="B68" s="5"/>
      <c r="C68" s="20" t="s">
        <v>600</v>
      </c>
      <c r="D68" s="20" t="s">
        <v>567</v>
      </c>
      <c r="E68" s="39">
        <v>1064624.0366249999</v>
      </c>
      <c r="F68" s="39">
        <v>341108669.98337102</v>
      </c>
      <c r="G68" s="1"/>
      <c r="H68" s="6"/>
      <c r="I68" s="1"/>
      <c r="J68" s="1"/>
    </row>
    <row r="69" spans="1:10" x14ac:dyDescent="0.35">
      <c r="A69" s="1"/>
      <c r="B69" s="5"/>
      <c r="C69" s="20" t="s">
        <v>295</v>
      </c>
      <c r="D69" s="20" t="s">
        <v>294</v>
      </c>
      <c r="E69" s="39">
        <v>7535391.0055200001</v>
      </c>
      <c r="F69" s="39">
        <v>2414361422.6915798</v>
      </c>
      <c r="G69" s="1"/>
      <c r="H69" s="6"/>
      <c r="I69" s="1"/>
      <c r="J69" s="1"/>
    </row>
    <row r="70" spans="1:10" x14ac:dyDescent="0.35">
      <c r="A70" s="1"/>
      <c r="B70" s="5"/>
      <c r="C70" s="20" t="s">
        <v>601</v>
      </c>
      <c r="D70" s="20" t="s">
        <v>568</v>
      </c>
      <c r="E70" s="39">
        <v>2305028.96</v>
      </c>
      <c r="F70" s="39">
        <v>738538052.65501904</v>
      </c>
      <c r="G70" s="1"/>
      <c r="H70" s="6"/>
      <c r="I70" s="1"/>
      <c r="J70" s="1"/>
    </row>
    <row r="71" spans="1:10" x14ac:dyDescent="0.35">
      <c r="A71" s="1"/>
      <c r="B71" s="5"/>
      <c r="C71" s="20" t="s">
        <v>602</v>
      </c>
      <c r="D71" s="20" t="s">
        <v>569</v>
      </c>
      <c r="E71" s="39">
        <v>449087.44758695998</v>
      </c>
      <c r="F71" s="39">
        <v>143888937.95620099</v>
      </c>
      <c r="G71" s="1"/>
      <c r="H71" s="6"/>
      <c r="I71" s="1"/>
      <c r="J71" s="1"/>
    </row>
    <row r="72" spans="1:10" x14ac:dyDescent="0.35">
      <c r="A72" s="1"/>
      <c r="B72" s="5"/>
      <c r="C72" s="20" t="s">
        <v>603</v>
      </c>
      <c r="D72" s="20" t="s">
        <v>570</v>
      </c>
      <c r="E72" s="39">
        <v>244593.56697972</v>
      </c>
      <c r="F72" s="39">
        <v>78368497.656162798</v>
      </c>
      <c r="G72" s="1"/>
      <c r="H72" s="6"/>
      <c r="I72" s="1"/>
      <c r="J72" s="1"/>
    </row>
    <row r="73" spans="1:10" x14ac:dyDescent="0.35">
      <c r="A73" s="1"/>
      <c r="B73" s="5"/>
      <c r="C73" s="20" t="s">
        <v>604</v>
      </c>
      <c r="D73" s="20" t="s">
        <v>571</v>
      </c>
      <c r="E73" s="39">
        <v>512471.11569467001</v>
      </c>
      <c r="F73" s="39">
        <v>164197251.48576301</v>
      </c>
      <c r="G73" s="1"/>
      <c r="H73" s="6"/>
      <c r="I73" s="1"/>
      <c r="J73" s="1"/>
    </row>
    <row r="74" spans="1:10" x14ac:dyDescent="0.35">
      <c r="A74" s="1"/>
      <c r="B74" s="5"/>
      <c r="C74" s="20" t="s">
        <v>605</v>
      </c>
      <c r="D74" s="20" t="s">
        <v>572</v>
      </c>
      <c r="E74" s="39">
        <v>93979.199999999997</v>
      </c>
      <c r="F74" s="39">
        <v>30111211.8600352</v>
      </c>
      <c r="G74" s="1"/>
      <c r="H74" s="6"/>
      <c r="I74" s="1"/>
      <c r="J74" s="1"/>
    </row>
    <row r="75" spans="1:10" x14ac:dyDescent="0.35">
      <c r="A75" s="1"/>
      <c r="B75" s="5"/>
      <c r="C75" s="20" t="s">
        <v>297</v>
      </c>
      <c r="D75" s="20" t="s">
        <v>296</v>
      </c>
      <c r="E75" s="39">
        <v>3214842.2286</v>
      </c>
      <c r="F75" s="39">
        <v>1030044897.61524</v>
      </c>
      <c r="G75" s="1"/>
      <c r="H75" s="6"/>
      <c r="I75" s="1"/>
      <c r="J75" s="1"/>
    </row>
    <row r="76" spans="1:10" x14ac:dyDescent="0.35">
      <c r="A76" s="1"/>
      <c r="B76" s="5"/>
      <c r="C76" s="20" t="s">
        <v>606</v>
      </c>
      <c r="D76" s="20" t="s">
        <v>573</v>
      </c>
      <c r="E76" s="39">
        <v>262372.69799999997</v>
      </c>
      <c r="F76" s="39">
        <v>84064983.483228505</v>
      </c>
      <c r="G76" s="1"/>
      <c r="H76" s="6"/>
      <c r="I76" s="1"/>
      <c r="J76" s="1"/>
    </row>
    <row r="77" spans="1:10" x14ac:dyDescent="0.35">
      <c r="A77" s="1"/>
      <c r="B77" s="5"/>
      <c r="C77" s="20" t="s">
        <v>607</v>
      </c>
      <c r="D77" s="20" t="s">
        <v>574</v>
      </c>
      <c r="E77" s="39">
        <v>38877.243600000002</v>
      </c>
      <c r="F77" s="39">
        <v>12456383.0993858</v>
      </c>
      <c r="G77" s="1"/>
      <c r="H77" s="6"/>
      <c r="I77" s="1"/>
      <c r="J77" s="1"/>
    </row>
    <row r="78" spans="1:10" x14ac:dyDescent="0.35">
      <c r="A78" s="1"/>
      <c r="B78" s="5"/>
      <c r="C78" s="20" t="s">
        <v>608</v>
      </c>
      <c r="D78" s="20" t="s">
        <v>575</v>
      </c>
      <c r="E78" s="39">
        <v>100377.77905</v>
      </c>
      <c r="F78" s="39">
        <v>32161335.3913882</v>
      </c>
      <c r="G78" s="1"/>
      <c r="H78" s="6"/>
      <c r="I78" s="1"/>
      <c r="J78" s="1"/>
    </row>
    <row r="79" spans="1:10" x14ac:dyDescent="0.35">
      <c r="A79" s="1"/>
      <c r="B79" s="5"/>
      <c r="C79" s="20" t="s">
        <v>321</v>
      </c>
      <c r="D79" s="20" t="s">
        <v>320</v>
      </c>
      <c r="E79" s="39">
        <v>535139.26560000004</v>
      </c>
      <c r="F79" s="39">
        <v>171460193.33113301</v>
      </c>
      <c r="G79" s="1"/>
      <c r="H79" s="6"/>
      <c r="I79" s="1"/>
      <c r="J79" s="1"/>
    </row>
    <row r="80" spans="1:10" x14ac:dyDescent="0.35">
      <c r="A80" s="1"/>
      <c r="B80" s="9"/>
      <c r="C80" s="19" t="s">
        <v>609</v>
      </c>
      <c r="D80" s="40" t="s">
        <v>5</v>
      </c>
      <c r="E80" s="41">
        <v>556291604.195979</v>
      </c>
      <c r="F80" s="41">
        <v>178237464778.41901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456.76222899999999</v>
      </c>
      <c r="E8" s="47">
        <v>1232416</v>
      </c>
      <c r="F8" s="47">
        <v>39</v>
      </c>
      <c r="G8" s="48">
        <v>370</v>
      </c>
      <c r="H8" s="48">
        <v>374</v>
      </c>
      <c r="I8" s="48">
        <v>370.62341693064701</v>
      </c>
      <c r="J8" s="48">
        <v>371</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119.63802</v>
      </c>
      <c r="E9" s="47">
        <v>3042</v>
      </c>
      <c r="F9" s="47">
        <v>37</v>
      </c>
      <c r="G9" s="48">
        <v>39380</v>
      </c>
      <c r="H9" s="48">
        <v>39440</v>
      </c>
      <c r="I9" s="48">
        <v>39328.737672583797</v>
      </c>
      <c r="J9" s="48">
        <v>39380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35.386879999999998</v>
      </c>
      <c r="E10" s="47">
        <v>2228</v>
      </c>
      <c r="F10" s="47">
        <v>20</v>
      </c>
      <c r="G10" s="48">
        <v>15800</v>
      </c>
      <c r="H10" s="48">
        <v>15980</v>
      </c>
      <c r="I10" s="48">
        <v>15882.800718132899</v>
      </c>
      <c r="J10" s="48">
        <v>15980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663.02172499999995</v>
      </c>
      <c r="E11" s="47">
        <v>134273</v>
      </c>
      <c r="F11" s="47">
        <v>153</v>
      </c>
      <c r="G11" s="48">
        <v>4850</v>
      </c>
      <c r="H11" s="48">
        <v>4975</v>
      </c>
      <c r="I11" s="48">
        <v>4937.8633455720801</v>
      </c>
      <c r="J11" s="48">
        <v>4955</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13179.90004</v>
      </c>
      <c r="E12" s="47">
        <v>1188957</v>
      </c>
      <c r="F12" s="47">
        <v>611</v>
      </c>
      <c r="G12" s="48">
        <v>10900</v>
      </c>
      <c r="H12" s="48">
        <v>11220</v>
      </c>
      <c r="I12" s="48">
        <v>11085.2621583455</v>
      </c>
      <c r="J12" s="48">
        <v>11200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4297.2458999999999</v>
      </c>
      <c r="E13" s="47">
        <v>49160</v>
      </c>
      <c r="F13" s="47">
        <v>213</v>
      </c>
      <c r="G13" s="48">
        <v>85500</v>
      </c>
      <c r="H13" s="48">
        <v>88300</v>
      </c>
      <c r="I13" s="48">
        <v>87413.464198535396</v>
      </c>
      <c r="J13" s="48">
        <v>87900</v>
      </c>
      <c r="K13" s="47">
        <v>8371.5372917700006</v>
      </c>
      <c r="L13" s="47">
        <v>121970</v>
      </c>
      <c r="M13" s="47">
        <v>3</v>
      </c>
      <c r="N13" s="46"/>
      <c r="O13" s="46"/>
      <c r="P13" s="46"/>
      <c r="Q13" s="48">
        <v>10.8725847704939</v>
      </c>
      <c r="R13" s="48">
        <v>11.1120004653931</v>
      </c>
      <c r="S13" s="47">
        <v>0</v>
      </c>
      <c r="T13" s="46"/>
      <c r="U13" s="46"/>
      <c r="V13" s="46"/>
      <c r="W13" s="46"/>
      <c r="X13" s="46"/>
      <c r="Y13" s="46"/>
      <c r="Z13" s="46"/>
      <c r="AA13" s="1"/>
      <c r="AB13" s="6"/>
      <c r="AC13" s="1"/>
      <c r="AD13" s="1"/>
    </row>
    <row r="14" spans="1:30" x14ac:dyDescent="0.35">
      <c r="A14" s="1"/>
      <c r="B14" s="5"/>
      <c r="C14" s="46" t="s">
        <v>306</v>
      </c>
      <c r="D14" s="47">
        <v>681.42805099999998</v>
      </c>
      <c r="E14" s="47">
        <v>1541934</v>
      </c>
      <c r="F14" s="47">
        <v>103</v>
      </c>
      <c r="G14" s="48">
        <v>433</v>
      </c>
      <c r="H14" s="48">
        <v>454</v>
      </c>
      <c r="I14" s="48">
        <v>441.93075125135101</v>
      </c>
      <c r="J14" s="48">
        <v>437</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1293.03568</v>
      </c>
      <c r="E15" s="47">
        <v>59716</v>
      </c>
      <c r="F15" s="47">
        <v>92</v>
      </c>
      <c r="G15" s="48">
        <v>21300</v>
      </c>
      <c r="H15" s="48">
        <v>22000</v>
      </c>
      <c r="I15" s="48">
        <v>21653.085940116602</v>
      </c>
      <c r="J15" s="48">
        <v>21800</v>
      </c>
      <c r="K15" s="47">
        <v>689.01209586000004</v>
      </c>
      <c r="L15" s="47">
        <v>39318</v>
      </c>
      <c r="M15" s="47">
        <v>2</v>
      </c>
      <c r="N15" s="46"/>
      <c r="O15" s="48">
        <v>11.5</v>
      </c>
      <c r="P15" s="46"/>
      <c r="Q15" s="48">
        <v>13</v>
      </c>
      <c r="R15" s="46"/>
      <c r="S15" s="47">
        <v>0</v>
      </c>
      <c r="T15" s="46"/>
      <c r="U15" s="46"/>
      <c r="V15" s="46"/>
      <c r="W15" s="46"/>
      <c r="X15" s="46"/>
      <c r="Y15" s="46"/>
      <c r="Z15" s="46"/>
      <c r="AA15" s="1"/>
      <c r="AB15" s="6"/>
      <c r="AC15" s="1"/>
      <c r="AD15" s="1"/>
    </row>
    <row r="16" spans="1:30" x14ac:dyDescent="0.35">
      <c r="A16" s="1"/>
      <c r="B16" s="5"/>
      <c r="C16" s="46" t="s">
        <v>268</v>
      </c>
      <c r="D16" s="47">
        <v>53314.515019999999</v>
      </c>
      <c r="E16" s="47">
        <v>20139348</v>
      </c>
      <c r="F16" s="47">
        <v>922</v>
      </c>
      <c r="G16" s="48">
        <v>2630</v>
      </c>
      <c r="H16" s="48">
        <v>2665</v>
      </c>
      <c r="I16" s="48">
        <v>2647.2810847699702</v>
      </c>
      <c r="J16" s="48">
        <v>2655</v>
      </c>
      <c r="K16" s="47">
        <v>1282.56602819</v>
      </c>
      <c r="L16" s="47">
        <v>610077</v>
      </c>
      <c r="M16" s="47">
        <v>4</v>
      </c>
      <c r="N16" s="46"/>
      <c r="O16" s="48">
        <v>13.2956599095169</v>
      </c>
      <c r="P16" s="48">
        <v>12.977017114551501</v>
      </c>
      <c r="Q16" s="46"/>
      <c r="R16" s="46"/>
      <c r="S16" s="47">
        <v>0</v>
      </c>
      <c r="T16" s="46"/>
      <c r="U16" s="46"/>
      <c r="V16" s="46"/>
      <c r="W16" s="46"/>
      <c r="X16" s="46"/>
      <c r="Y16" s="46"/>
      <c r="Z16" s="46"/>
      <c r="AA16" s="1"/>
      <c r="AB16" s="6"/>
      <c r="AC16" s="1"/>
      <c r="AD16" s="1"/>
    </row>
    <row r="17" spans="1:30" x14ac:dyDescent="0.35">
      <c r="A17" s="1"/>
      <c r="B17" s="5"/>
      <c r="C17" s="46" t="s">
        <v>310</v>
      </c>
      <c r="D17" s="47">
        <v>0.44460630000000001</v>
      </c>
      <c r="E17" s="47">
        <v>23955</v>
      </c>
      <c r="F17" s="47">
        <v>2</v>
      </c>
      <c r="G17" s="46"/>
      <c r="H17" s="46"/>
      <c r="I17" s="48">
        <v>18.560062617407599</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0.49591449999999998</v>
      </c>
      <c r="E18" s="47">
        <v>6810</v>
      </c>
      <c r="F18" s="47">
        <v>6</v>
      </c>
      <c r="G18" s="46"/>
      <c r="H18" s="46"/>
      <c r="I18" s="48">
        <v>72.821512481644604</v>
      </c>
      <c r="J18" s="48">
        <v>75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144.32098500000001</v>
      </c>
      <c r="E19" s="47">
        <v>30581</v>
      </c>
      <c r="F19" s="47">
        <v>50</v>
      </c>
      <c r="G19" s="48">
        <v>4640</v>
      </c>
      <c r="H19" s="48">
        <v>4780</v>
      </c>
      <c r="I19" s="48">
        <v>4719.3023445930503</v>
      </c>
      <c r="J19" s="48">
        <v>4730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2.8925999999999998</v>
      </c>
      <c r="E20" s="47">
        <v>803500</v>
      </c>
      <c r="F20" s="47">
        <v>2</v>
      </c>
      <c r="G20" s="46"/>
      <c r="H20" s="46"/>
      <c r="I20" s="48">
        <v>3.6</v>
      </c>
      <c r="J20" s="48">
        <v>3.5</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2369.4555850000002</v>
      </c>
      <c r="E21" s="47">
        <v>826681</v>
      </c>
      <c r="F21" s="47">
        <v>179</v>
      </c>
      <c r="G21" s="48">
        <v>2850</v>
      </c>
      <c r="H21" s="48">
        <v>2885</v>
      </c>
      <c r="I21" s="48">
        <v>2866.2272206570601</v>
      </c>
      <c r="J21" s="48">
        <v>2885</v>
      </c>
      <c r="K21" s="47">
        <v>240.55929205999999</v>
      </c>
      <c r="L21" s="47">
        <v>104910</v>
      </c>
      <c r="M21" s="47">
        <v>2</v>
      </c>
      <c r="N21" s="46"/>
      <c r="O21" s="46"/>
      <c r="P21" s="46"/>
      <c r="Q21" s="46"/>
      <c r="R21" s="48">
        <v>11.788999557495099</v>
      </c>
      <c r="S21" s="47">
        <v>0</v>
      </c>
      <c r="T21" s="46"/>
      <c r="U21" s="46"/>
      <c r="V21" s="46"/>
      <c r="W21" s="46"/>
      <c r="X21" s="46"/>
      <c r="Y21" s="46"/>
      <c r="Z21" s="46"/>
      <c r="AA21" s="1"/>
      <c r="AB21" s="6"/>
      <c r="AC21" s="1"/>
      <c r="AD21" s="1"/>
    </row>
    <row r="22" spans="1:30" x14ac:dyDescent="0.35">
      <c r="A22" s="1"/>
      <c r="B22" s="5"/>
      <c r="C22" s="46" t="s">
        <v>274</v>
      </c>
      <c r="D22" s="47">
        <v>87.847359999999995</v>
      </c>
      <c r="E22" s="47">
        <v>1102</v>
      </c>
      <c r="F22" s="47">
        <v>27</v>
      </c>
      <c r="G22" s="48">
        <v>78600</v>
      </c>
      <c r="H22" s="48">
        <v>80460</v>
      </c>
      <c r="I22" s="48">
        <v>79716.2976406534</v>
      </c>
      <c r="J22" s="48">
        <v>79600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6003.1454199999998</v>
      </c>
      <c r="E23" s="47">
        <v>312878</v>
      </c>
      <c r="F23" s="47">
        <v>310</v>
      </c>
      <c r="G23" s="48">
        <v>18460</v>
      </c>
      <c r="H23" s="48">
        <v>19700</v>
      </c>
      <c r="I23" s="48">
        <v>19186.8569218673</v>
      </c>
      <c r="J23" s="48">
        <v>19360</v>
      </c>
      <c r="K23" s="47">
        <v>564.01928955000005</v>
      </c>
      <c r="L23" s="47">
        <v>38199</v>
      </c>
      <c r="M23" s="47">
        <v>2</v>
      </c>
      <c r="N23" s="48">
        <v>13</v>
      </c>
      <c r="O23" s="48">
        <v>13</v>
      </c>
      <c r="P23" s="46"/>
      <c r="Q23" s="46"/>
      <c r="R23" s="46"/>
      <c r="S23" s="47">
        <v>0</v>
      </c>
      <c r="T23" s="46"/>
      <c r="U23" s="46"/>
      <c r="V23" s="46"/>
      <c r="W23" s="46"/>
      <c r="X23" s="46"/>
      <c r="Y23" s="46"/>
      <c r="Z23" s="46"/>
      <c r="AA23" s="1"/>
      <c r="AB23" s="6"/>
      <c r="AC23" s="1"/>
      <c r="AD23" s="1"/>
    </row>
    <row r="24" spans="1:30" x14ac:dyDescent="0.35">
      <c r="A24" s="1"/>
      <c r="B24" s="5"/>
      <c r="C24" s="46" t="s">
        <v>316</v>
      </c>
      <c r="D24" s="47">
        <v>96.776381000000001</v>
      </c>
      <c r="E24" s="47">
        <v>118906</v>
      </c>
      <c r="F24" s="47">
        <v>32</v>
      </c>
      <c r="G24" s="48">
        <v>811</v>
      </c>
      <c r="H24" s="48">
        <v>828</v>
      </c>
      <c r="I24" s="48">
        <v>813.88980371049399</v>
      </c>
      <c r="J24" s="48">
        <v>813</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3607.9682600000001</v>
      </c>
      <c r="E25" s="47">
        <v>63403</v>
      </c>
      <c r="F25" s="47">
        <v>383</v>
      </c>
      <c r="G25" s="48">
        <v>56080</v>
      </c>
      <c r="H25" s="48">
        <v>58000</v>
      </c>
      <c r="I25" s="48">
        <v>56905.324038294697</v>
      </c>
      <c r="J25" s="48">
        <v>58000</v>
      </c>
      <c r="K25" s="47">
        <v>1000</v>
      </c>
      <c r="L25" s="47">
        <v>24720</v>
      </c>
      <c r="M25" s="47">
        <v>1</v>
      </c>
      <c r="N25" s="46"/>
      <c r="O25" s="46"/>
      <c r="P25" s="48">
        <v>13.5</v>
      </c>
      <c r="Q25" s="46"/>
      <c r="R25" s="46"/>
      <c r="S25" s="47">
        <v>0</v>
      </c>
      <c r="T25" s="46"/>
      <c r="U25" s="46"/>
      <c r="V25" s="46"/>
      <c r="W25" s="46"/>
      <c r="X25" s="46"/>
      <c r="Y25" s="46"/>
      <c r="Z25" s="46"/>
      <c r="AA25" s="1"/>
      <c r="AB25" s="6"/>
      <c r="AC25" s="1"/>
      <c r="AD25" s="1"/>
    </row>
    <row r="26" spans="1:30" x14ac:dyDescent="0.35">
      <c r="A26" s="1"/>
      <c r="B26" s="5"/>
      <c r="C26" s="46" t="s">
        <v>549</v>
      </c>
      <c r="D26" s="47">
        <v>4.3613499999999998</v>
      </c>
      <c r="E26" s="47">
        <v>73</v>
      </c>
      <c r="F26" s="47">
        <v>4</v>
      </c>
      <c r="G26" s="46"/>
      <c r="H26" s="46"/>
      <c r="I26" s="48">
        <v>59744.520547945198</v>
      </c>
      <c r="J26" s="48">
        <v>59600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388.64440250000001</v>
      </c>
      <c r="E27" s="47">
        <v>14326</v>
      </c>
      <c r="F27" s="47">
        <v>27</v>
      </c>
      <c r="G27" s="48">
        <v>26856.5</v>
      </c>
      <c r="H27" s="48">
        <v>27313.5</v>
      </c>
      <c r="I27" s="48">
        <v>27128.605507468899</v>
      </c>
      <c r="J27" s="48">
        <v>27313.5</v>
      </c>
      <c r="K27" s="47">
        <v>0</v>
      </c>
      <c r="L27" s="46"/>
      <c r="M27" s="46"/>
      <c r="N27" s="46"/>
      <c r="O27" s="46"/>
      <c r="P27" s="46"/>
      <c r="Q27" s="46"/>
      <c r="R27" s="46"/>
      <c r="S27" s="47">
        <v>677.68308300000001</v>
      </c>
      <c r="T27" s="47">
        <v>25333</v>
      </c>
      <c r="U27" s="47">
        <v>1</v>
      </c>
      <c r="V27" s="48">
        <v>15</v>
      </c>
      <c r="W27" s="46"/>
      <c r="X27" s="46"/>
      <c r="Y27" s="46"/>
      <c r="Z27" s="46"/>
      <c r="AA27" s="1"/>
      <c r="AB27" s="6"/>
      <c r="AC27" s="1"/>
      <c r="AD27" s="1"/>
    </row>
    <row r="28" spans="1:30" x14ac:dyDescent="0.35">
      <c r="A28" s="1"/>
      <c r="B28" s="5"/>
      <c r="C28" s="46" t="s">
        <v>553</v>
      </c>
      <c r="D28" s="47">
        <v>4113.8261005000004</v>
      </c>
      <c r="E28" s="47">
        <v>172196</v>
      </c>
      <c r="F28" s="47">
        <v>121</v>
      </c>
      <c r="G28" s="48">
        <v>23860</v>
      </c>
      <c r="H28" s="48">
        <v>24010</v>
      </c>
      <c r="I28" s="48">
        <v>23890.369697902399</v>
      </c>
      <c r="J28" s="48">
        <v>23933</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2276.70318</v>
      </c>
      <c r="E29" s="47">
        <v>77425</v>
      </c>
      <c r="F29" s="47">
        <v>180</v>
      </c>
      <c r="G29" s="48">
        <v>29220</v>
      </c>
      <c r="H29" s="48">
        <v>29500</v>
      </c>
      <c r="I29" s="48">
        <v>29405.2719405877</v>
      </c>
      <c r="J29" s="48">
        <v>29420</v>
      </c>
      <c r="K29" s="47">
        <v>156</v>
      </c>
      <c r="L29" s="47">
        <v>6772</v>
      </c>
      <c r="M29" s="47">
        <v>1</v>
      </c>
      <c r="N29" s="46"/>
      <c r="O29" s="48">
        <v>13</v>
      </c>
      <c r="P29" s="46"/>
      <c r="Q29" s="46"/>
      <c r="R29" s="46"/>
      <c r="S29" s="47">
        <v>0</v>
      </c>
      <c r="T29" s="46"/>
      <c r="U29" s="46"/>
      <c r="V29" s="46"/>
      <c r="W29" s="46"/>
      <c r="X29" s="46"/>
      <c r="Y29" s="46"/>
      <c r="Z29" s="46"/>
      <c r="AA29" s="1"/>
      <c r="AB29" s="6"/>
      <c r="AC29" s="1"/>
      <c r="AD29" s="1"/>
    </row>
    <row r="30" spans="1:30" x14ac:dyDescent="0.35">
      <c r="A30" s="1"/>
      <c r="B30" s="5"/>
      <c r="C30" s="46" t="s">
        <v>282</v>
      </c>
      <c r="D30" s="47">
        <v>882.83640000000003</v>
      </c>
      <c r="E30" s="47">
        <v>51878</v>
      </c>
      <c r="F30" s="47">
        <v>169</v>
      </c>
      <c r="G30" s="48">
        <v>16800</v>
      </c>
      <c r="H30" s="48">
        <v>17300</v>
      </c>
      <c r="I30" s="48">
        <v>17017.548864643999</v>
      </c>
      <c r="J30" s="48">
        <v>16980</v>
      </c>
      <c r="K30" s="47">
        <v>336.9</v>
      </c>
      <c r="L30" s="47">
        <v>25957</v>
      </c>
      <c r="M30" s="47">
        <v>1</v>
      </c>
      <c r="N30" s="46"/>
      <c r="O30" s="46"/>
      <c r="P30" s="48">
        <v>13</v>
      </c>
      <c r="Q30" s="46"/>
      <c r="R30" s="46"/>
      <c r="S30" s="47">
        <v>0</v>
      </c>
      <c r="T30" s="46"/>
      <c r="U30" s="46"/>
      <c r="V30" s="46"/>
      <c r="W30" s="46"/>
      <c r="X30" s="46"/>
      <c r="Y30" s="46"/>
      <c r="Z30" s="46"/>
      <c r="AA30" s="1"/>
      <c r="AB30" s="6"/>
      <c r="AC30" s="1"/>
      <c r="AD30" s="1"/>
    </row>
    <row r="31" spans="1:30" x14ac:dyDescent="0.35">
      <c r="A31" s="1"/>
      <c r="B31" s="5"/>
      <c r="C31" s="46" t="s">
        <v>624</v>
      </c>
      <c r="D31" s="47">
        <v>0</v>
      </c>
      <c r="E31" s="46"/>
      <c r="F31" s="46"/>
      <c r="G31" s="46"/>
      <c r="H31" s="46"/>
      <c r="I31" s="46"/>
      <c r="J31" s="48">
        <v>42680</v>
      </c>
      <c r="K31" s="47">
        <v>317.5</v>
      </c>
      <c r="L31" s="47">
        <v>13040</v>
      </c>
      <c r="M31" s="47">
        <v>1</v>
      </c>
      <c r="N31" s="46"/>
      <c r="O31" s="46"/>
      <c r="P31" s="48">
        <v>12.5</v>
      </c>
      <c r="Q31" s="46"/>
      <c r="R31" s="46"/>
      <c r="S31" s="47">
        <v>0</v>
      </c>
      <c r="T31" s="46"/>
      <c r="U31" s="46"/>
      <c r="V31" s="46"/>
      <c r="W31" s="46"/>
      <c r="X31" s="46"/>
      <c r="Y31" s="46"/>
      <c r="Z31" s="46"/>
      <c r="AA31" s="1"/>
      <c r="AB31" s="6"/>
      <c r="AC31" s="1"/>
      <c r="AD31" s="1"/>
    </row>
    <row r="32" spans="1:30" x14ac:dyDescent="0.35">
      <c r="A32" s="1"/>
      <c r="B32" s="5"/>
      <c r="C32" s="46" t="s">
        <v>324</v>
      </c>
      <c r="D32" s="47">
        <v>119.5702</v>
      </c>
      <c r="E32" s="47">
        <v>382</v>
      </c>
      <c r="F32" s="47">
        <v>11</v>
      </c>
      <c r="G32" s="48">
        <v>312000</v>
      </c>
      <c r="H32" s="48">
        <v>313880</v>
      </c>
      <c r="I32" s="48">
        <v>313010.99476439803</v>
      </c>
      <c r="J32" s="48">
        <v>313880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317</v>
      </c>
      <c r="D33" s="47">
        <v>2.0579999999999998</v>
      </c>
      <c r="E33" s="47">
        <v>98</v>
      </c>
      <c r="F33" s="47">
        <v>1</v>
      </c>
      <c r="G33" s="46"/>
      <c r="H33" s="46"/>
      <c r="I33" s="48">
        <v>21000</v>
      </c>
      <c r="J33" s="48">
        <v>21000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605.03312000000005</v>
      </c>
      <c r="E34" s="47">
        <v>8894</v>
      </c>
      <c r="F34" s="47">
        <v>53</v>
      </c>
      <c r="G34" s="48">
        <v>67300</v>
      </c>
      <c r="H34" s="48">
        <v>68600</v>
      </c>
      <c r="I34" s="48">
        <v>68027.110411513393</v>
      </c>
      <c r="J34" s="48">
        <v>68280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989.45308399999999</v>
      </c>
      <c r="E35" s="47">
        <v>1168756</v>
      </c>
      <c r="F35" s="47">
        <v>139</v>
      </c>
      <c r="G35" s="48">
        <v>832</v>
      </c>
      <c r="H35" s="48">
        <v>855</v>
      </c>
      <c r="I35" s="48">
        <v>846.58652789803898</v>
      </c>
      <c r="J35" s="48">
        <v>855</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319</v>
      </c>
      <c r="D36" s="47">
        <v>31.462019999999999</v>
      </c>
      <c r="E36" s="47">
        <v>2639</v>
      </c>
      <c r="F36" s="47">
        <v>36</v>
      </c>
      <c r="G36" s="48">
        <v>11920</v>
      </c>
      <c r="H36" s="48">
        <v>11940</v>
      </c>
      <c r="I36" s="48">
        <v>11921.9477074649</v>
      </c>
      <c r="J36" s="48">
        <v>11920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49291.623899999999</v>
      </c>
      <c r="E37" s="47">
        <v>651975</v>
      </c>
      <c r="F37" s="47">
        <v>966</v>
      </c>
      <c r="G37" s="48">
        <v>75000</v>
      </c>
      <c r="H37" s="48">
        <v>77500</v>
      </c>
      <c r="I37" s="48">
        <v>75603.549062464095</v>
      </c>
      <c r="J37" s="48">
        <v>75020</v>
      </c>
      <c r="K37" s="47">
        <v>1641.1382630000001</v>
      </c>
      <c r="L37" s="47">
        <v>33376</v>
      </c>
      <c r="M37" s="47">
        <v>2</v>
      </c>
      <c r="N37" s="46"/>
      <c r="O37" s="48">
        <v>12.5</v>
      </c>
      <c r="P37" s="48">
        <v>12.067999839782701</v>
      </c>
      <c r="Q37" s="46"/>
      <c r="R37" s="46"/>
      <c r="S37" s="47">
        <v>6275.5</v>
      </c>
      <c r="T37" s="47">
        <v>81500</v>
      </c>
      <c r="U37" s="47">
        <v>1</v>
      </c>
      <c r="V37" s="48">
        <v>14</v>
      </c>
      <c r="W37" s="46"/>
      <c r="X37" s="46"/>
      <c r="Y37" s="46"/>
      <c r="Z37" s="46"/>
      <c r="AA37" s="1"/>
      <c r="AB37" s="6"/>
      <c r="AC37" s="1"/>
      <c r="AD37" s="1"/>
    </row>
    <row r="38" spans="1:30" x14ac:dyDescent="0.35">
      <c r="A38" s="1"/>
      <c r="B38" s="5"/>
      <c r="C38" s="46" t="s">
        <v>289</v>
      </c>
      <c r="D38" s="47">
        <v>310.34352000000001</v>
      </c>
      <c r="E38" s="47">
        <v>16749</v>
      </c>
      <c r="F38" s="47">
        <v>41</v>
      </c>
      <c r="G38" s="48">
        <v>18380</v>
      </c>
      <c r="H38" s="48">
        <v>18600</v>
      </c>
      <c r="I38" s="48">
        <v>18529.077556869099</v>
      </c>
      <c r="J38" s="48">
        <v>18500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2403.3749800000001</v>
      </c>
      <c r="E39" s="47">
        <v>73785</v>
      </c>
      <c r="F39" s="47">
        <v>88</v>
      </c>
      <c r="G39" s="48">
        <v>32400</v>
      </c>
      <c r="H39" s="48">
        <v>32980</v>
      </c>
      <c r="I39" s="48">
        <v>32572.677102392099</v>
      </c>
      <c r="J39" s="48">
        <v>32700</v>
      </c>
      <c r="K39" s="47">
        <v>873</v>
      </c>
      <c r="L39" s="47">
        <v>42000</v>
      </c>
      <c r="M39" s="47">
        <v>1</v>
      </c>
      <c r="N39" s="46"/>
      <c r="O39" s="48">
        <v>12.5</v>
      </c>
      <c r="P39" s="46"/>
      <c r="Q39" s="46"/>
      <c r="R39" s="46"/>
      <c r="S39" s="47">
        <v>0</v>
      </c>
      <c r="T39" s="46"/>
      <c r="U39" s="46"/>
      <c r="V39" s="46"/>
      <c r="W39" s="46"/>
      <c r="X39" s="46"/>
      <c r="Y39" s="46"/>
      <c r="Z39" s="46"/>
      <c r="AA39" s="1"/>
      <c r="AB39" s="6"/>
      <c r="AC39" s="1"/>
      <c r="AD39" s="1"/>
    </row>
    <row r="40" spans="1:30" x14ac:dyDescent="0.35">
      <c r="A40" s="1"/>
      <c r="B40" s="5"/>
      <c r="C40" s="46" t="s">
        <v>326</v>
      </c>
      <c r="D40" s="47">
        <v>269.51128</v>
      </c>
      <c r="E40" s="47">
        <v>10991</v>
      </c>
      <c r="F40" s="47">
        <v>47</v>
      </c>
      <c r="G40" s="48">
        <v>24200</v>
      </c>
      <c r="H40" s="48">
        <v>24720</v>
      </c>
      <c r="I40" s="48">
        <v>24521.088163042499</v>
      </c>
      <c r="J40" s="48">
        <v>24660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22359.098379999999</v>
      </c>
      <c r="E41" s="47">
        <v>1504623</v>
      </c>
      <c r="F41" s="47">
        <v>536</v>
      </c>
      <c r="G41" s="48">
        <v>14700</v>
      </c>
      <c r="H41" s="48">
        <v>14980</v>
      </c>
      <c r="I41" s="48">
        <v>14860.2662460962</v>
      </c>
      <c r="J41" s="48">
        <v>14900</v>
      </c>
      <c r="K41" s="47">
        <v>1381.0620772499999</v>
      </c>
      <c r="L41" s="47">
        <v>120063</v>
      </c>
      <c r="M41" s="47">
        <v>4</v>
      </c>
      <c r="N41" s="46"/>
      <c r="O41" s="48">
        <v>13</v>
      </c>
      <c r="P41" s="48">
        <v>13.5</v>
      </c>
      <c r="Q41" s="46"/>
      <c r="R41" s="48">
        <v>11.824999809265099</v>
      </c>
      <c r="S41" s="47">
        <v>0</v>
      </c>
      <c r="T41" s="46"/>
      <c r="U41" s="46"/>
      <c r="V41" s="46"/>
      <c r="W41" s="46"/>
      <c r="X41" s="46"/>
      <c r="Y41" s="46"/>
      <c r="Z41" s="46"/>
      <c r="AA41" s="1"/>
      <c r="AB41" s="6"/>
      <c r="AC41" s="1"/>
      <c r="AD41" s="1"/>
    </row>
    <row r="42" spans="1:30" x14ac:dyDescent="0.35">
      <c r="A42" s="1"/>
      <c r="B42" s="5"/>
      <c r="C42" s="46" t="s">
        <v>293</v>
      </c>
      <c r="D42" s="47">
        <v>3062.7429400000001</v>
      </c>
      <c r="E42" s="47">
        <v>65522</v>
      </c>
      <c r="F42" s="47">
        <v>241</v>
      </c>
      <c r="G42" s="48">
        <v>45600</v>
      </c>
      <c r="H42" s="48">
        <v>47080</v>
      </c>
      <c r="I42" s="48">
        <v>46743.734013003297</v>
      </c>
      <c r="J42" s="48">
        <v>46740</v>
      </c>
      <c r="K42" s="47">
        <v>534</v>
      </c>
      <c r="L42" s="47">
        <v>15826</v>
      </c>
      <c r="M42" s="47">
        <v>2</v>
      </c>
      <c r="N42" s="46"/>
      <c r="O42" s="46"/>
      <c r="P42" s="48">
        <v>13.5</v>
      </c>
      <c r="Q42" s="46"/>
      <c r="R42" s="46"/>
      <c r="S42" s="47">
        <v>0</v>
      </c>
      <c r="T42" s="46"/>
      <c r="U42" s="46"/>
      <c r="V42" s="46"/>
      <c r="W42" s="46"/>
      <c r="X42" s="46"/>
      <c r="Y42" s="46"/>
      <c r="Z42" s="46"/>
      <c r="AA42" s="1"/>
      <c r="AB42" s="6"/>
      <c r="AC42" s="1"/>
      <c r="AD42" s="1"/>
    </row>
    <row r="43" spans="1:30" x14ac:dyDescent="0.35">
      <c r="A43" s="1"/>
      <c r="B43" s="5"/>
      <c r="C43" s="46" t="s">
        <v>294</v>
      </c>
      <c r="D43" s="47">
        <v>180.60256999999999</v>
      </c>
      <c r="E43" s="47">
        <v>27204</v>
      </c>
      <c r="F43" s="47">
        <v>57</v>
      </c>
      <c r="G43" s="48">
        <v>6600</v>
      </c>
      <c r="H43" s="48">
        <v>6720</v>
      </c>
      <c r="I43" s="48">
        <v>6638.8240699897096</v>
      </c>
      <c r="J43" s="48">
        <v>6640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219.27477999999999</v>
      </c>
      <c r="E44" s="47">
        <v>12374</v>
      </c>
      <c r="F44" s="47">
        <v>83</v>
      </c>
      <c r="G44" s="48">
        <v>17640</v>
      </c>
      <c r="H44" s="48">
        <v>17800</v>
      </c>
      <c r="I44" s="48">
        <v>17720.606109584602</v>
      </c>
      <c r="J44" s="48">
        <v>17720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9"/>
      <c r="C45" s="46" t="s">
        <v>573</v>
      </c>
      <c r="D45" s="47">
        <v>159.3073</v>
      </c>
      <c r="E45" s="47">
        <v>11822</v>
      </c>
      <c r="F45" s="47">
        <v>30</v>
      </c>
      <c r="G45" s="48">
        <v>13440</v>
      </c>
      <c r="H45" s="48">
        <v>13500</v>
      </c>
      <c r="I45" s="48">
        <v>13475.4948401286</v>
      </c>
      <c r="J45" s="48">
        <v>13480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3"/>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10980</v>
      </c>
      <c r="F6" s="46">
        <v>3</v>
      </c>
      <c r="G6" s="48">
        <v>11690</v>
      </c>
      <c r="H6" s="47">
        <v>128356200</v>
      </c>
      <c r="I6" s="1"/>
      <c r="J6" s="6"/>
      <c r="K6" s="1"/>
      <c r="L6" s="1"/>
    </row>
    <row r="7" spans="1:12" x14ac:dyDescent="0.35">
      <c r="A7" s="1"/>
      <c r="B7" s="5"/>
      <c r="C7" s="46" t="s">
        <v>516</v>
      </c>
      <c r="D7" s="46" t="s">
        <v>644</v>
      </c>
      <c r="E7" s="48">
        <v>2640</v>
      </c>
      <c r="F7" s="46">
        <v>12</v>
      </c>
      <c r="G7" s="48">
        <v>384907</v>
      </c>
      <c r="H7" s="47">
        <v>1016154480</v>
      </c>
      <c r="I7" s="1"/>
      <c r="J7" s="6"/>
      <c r="K7" s="1"/>
      <c r="L7" s="1"/>
    </row>
    <row r="8" spans="1:12" x14ac:dyDescent="0.35">
      <c r="A8" s="1"/>
      <c r="B8" s="5"/>
      <c r="C8" s="46" t="s">
        <v>516</v>
      </c>
      <c r="D8" s="46" t="s">
        <v>644</v>
      </c>
      <c r="E8" s="48">
        <v>2645</v>
      </c>
      <c r="F8" s="46">
        <v>47</v>
      </c>
      <c r="G8" s="48">
        <v>207525</v>
      </c>
      <c r="H8" s="47">
        <v>548903625</v>
      </c>
      <c r="I8" s="1"/>
      <c r="J8" s="6"/>
      <c r="K8" s="1"/>
      <c r="L8" s="1"/>
    </row>
    <row r="9" spans="1:12" x14ac:dyDescent="0.35">
      <c r="A9" s="1"/>
      <c r="B9" s="5"/>
      <c r="C9" s="46" t="s">
        <v>516</v>
      </c>
      <c r="D9" s="46" t="s">
        <v>644</v>
      </c>
      <c r="E9" s="48">
        <v>2655</v>
      </c>
      <c r="F9" s="46">
        <v>5</v>
      </c>
      <c r="G9" s="48">
        <v>100000</v>
      </c>
      <c r="H9" s="47">
        <v>265500000</v>
      </c>
      <c r="I9" s="1"/>
      <c r="J9" s="6"/>
      <c r="K9" s="1"/>
      <c r="L9" s="1"/>
    </row>
    <row r="10" spans="1:12" x14ac:dyDescent="0.35">
      <c r="A10" s="1"/>
      <c r="B10" s="5"/>
      <c r="C10" s="46" t="s">
        <v>516</v>
      </c>
      <c r="D10" s="46" t="s">
        <v>644</v>
      </c>
      <c r="E10" s="48">
        <v>2660</v>
      </c>
      <c r="F10" s="46">
        <v>52</v>
      </c>
      <c r="G10" s="48">
        <v>410511</v>
      </c>
      <c r="H10" s="47">
        <v>1091959260</v>
      </c>
      <c r="I10" s="1"/>
      <c r="J10" s="6"/>
      <c r="K10" s="1"/>
      <c r="L10" s="1"/>
    </row>
    <row r="11" spans="1:12" x14ac:dyDescent="0.35">
      <c r="A11" s="1"/>
      <c r="B11" s="5"/>
      <c r="C11" s="46" t="s">
        <v>516</v>
      </c>
      <c r="D11" s="46" t="s">
        <v>644</v>
      </c>
      <c r="E11" s="48">
        <v>2665</v>
      </c>
      <c r="F11" s="46">
        <v>19</v>
      </c>
      <c r="G11" s="48">
        <v>85011</v>
      </c>
      <c r="H11" s="47">
        <v>226554315</v>
      </c>
      <c r="I11" s="1"/>
      <c r="J11" s="6"/>
      <c r="K11" s="1"/>
      <c r="L11" s="1"/>
    </row>
    <row r="12" spans="1:12" x14ac:dyDescent="0.35">
      <c r="A12" s="1"/>
      <c r="B12" s="5"/>
      <c r="C12" s="46" t="s">
        <v>516</v>
      </c>
      <c r="D12" s="46" t="s">
        <v>645</v>
      </c>
      <c r="E12" s="48">
        <v>4695</v>
      </c>
      <c r="F12" s="46">
        <v>1</v>
      </c>
      <c r="G12" s="48">
        <v>831</v>
      </c>
      <c r="H12" s="47">
        <v>3901545</v>
      </c>
      <c r="I12" s="1"/>
      <c r="J12" s="6"/>
      <c r="K12" s="1"/>
      <c r="L12" s="1"/>
    </row>
    <row r="13" spans="1:12" x14ac:dyDescent="0.35">
      <c r="A13" s="1"/>
      <c r="B13" s="5"/>
      <c r="C13" s="46" t="s">
        <v>516</v>
      </c>
      <c r="D13" s="46" t="s">
        <v>276</v>
      </c>
      <c r="E13" s="48">
        <v>18660</v>
      </c>
      <c r="F13" s="46">
        <v>1</v>
      </c>
      <c r="G13" s="48">
        <v>2037</v>
      </c>
      <c r="H13" s="47">
        <v>38010420</v>
      </c>
      <c r="I13" s="1"/>
      <c r="J13" s="6"/>
      <c r="K13" s="1"/>
      <c r="L13" s="1"/>
    </row>
    <row r="14" spans="1:12" x14ac:dyDescent="0.35">
      <c r="A14" s="1"/>
      <c r="B14" s="5"/>
      <c r="C14" s="46" t="s">
        <v>516</v>
      </c>
      <c r="D14" s="46" t="s">
        <v>276</v>
      </c>
      <c r="E14" s="48">
        <v>18800</v>
      </c>
      <c r="F14" s="46">
        <v>1</v>
      </c>
      <c r="G14" s="48">
        <v>436</v>
      </c>
      <c r="H14" s="47">
        <v>8196800</v>
      </c>
      <c r="I14" s="1"/>
      <c r="J14" s="6"/>
      <c r="K14" s="1"/>
      <c r="L14" s="1"/>
    </row>
    <row r="15" spans="1:12" x14ac:dyDescent="0.35">
      <c r="A15" s="1"/>
      <c r="B15" s="5"/>
      <c r="C15" s="46" t="s">
        <v>516</v>
      </c>
      <c r="D15" s="46" t="s">
        <v>646</v>
      </c>
      <c r="E15" s="48">
        <v>76000</v>
      </c>
      <c r="F15" s="46">
        <v>104</v>
      </c>
      <c r="G15" s="48">
        <v>54108</v>
      </c>
      <c r="H15" s="47">
        <v>4112208000</v>
      </c>
      <c r="I15" s="1"/>
      <c r="J15" s="6"/>
      <c r="K15" s="1"/>
      <c r="L15" s="1"/>
    </row>
    <row r="16" spans="1:12" x14ac:dyDescent="0.35">
      <c r="A16" s="1"/>
      <c r="B16" s="5"/>
      <c r="C16" s="46" t="s">
        <v>516</v>
      </c>
      <c r="D16" s="46" t="s">
        <v>646</v>
      </c>
      <c r="E16" s="48">
        <v>76020</v>
      </c>
      <c r="F16" s="46">
        <v>1</v>
      </c>
      <c r="G16" s="48">
        <v>888</v>
      </c>
      <c r="H16" s="47">
        <v>67505760</v>
      </c>
      <c r="I16" s="1"/>
      <c r="J16" s="6"/>
      <c r="K16" s="1"/>
      <c r="L16" s="1"/>
    </row>
    <row r="17" spans="1:12" x14ac:dyDescent="0.35">
      <c r="A17" s="1"/>
      <c r="B17" s="5"/>
      <c r="C17" s="46" t="s">
        <v>516</v>
      </c>
      <c r="D17" s="46" t="s">
        <v>646</v>
      </c>
      <c r="E17" s="48">
        <v>76040</v>
      </c>
      <c r="F17" s="46">
        <v>1</v>
      </c>
      <c r="G17" s="48">
        <v>12</v>
      </c>
      <c r="H17" s="47">
        <v>912480</v>
      </c>
      <c r="I17" s="1"/>
      <c r="J17" s="6"/>
      <c r="K17" s="1"/>
      <c r="L17" s="1"/>
    </row>
    <row r="18" spans="1:12" x14ac:dyDescent="0.35">
      <c r="A18" s="1"/>
      <c r="B18" s="5"/>
      <c r="C18" s="46" t="s">
        <v>516</v>
      </c>
      <c r="D18" s="46" t="s">
        <v>646</v>
      </c>
      <c r="E18" s="48">
        <v>76060</v>
      </c>
      <c r="F18" s="46">
        <v>1</v>
      </c>
      <c r="G18" s="48">
        <v>286</v>
      </c>
      <c r="H18" s="47">
        <v>21753160</v>
      </c>
      <c r="I18" s="1"/>
      <c r="J18" s="6"/>
      <c r="K18" s="1"/>
      <c r="L18" s="1"/>
    </row>
    <row r="19" spans="1:12" x14ac:dyDescent="0.35">
      <c r="A19" s="1"/>
      <c r="B19" s="5"/>
      <c r="C19" s="46" t="s">
        <v>516</v>
      </c>
      <c r="D19" s="46" t="s">
        <v>646</v>
      </c>
      <c r="E19" s="48">
        <v>76100</v>
      </c>
      <c r="F19" s="46">
        <v>11</v>
      </c>
      <c r="G19" s="48">
        <v>1500</v>
      </c>
      <c r="H19" s="47">
        <v>114150000</v>
      </c>
      <c r="I19" s="1"/>
      <c r="J19" s="6"/>
      <c r="K19" s="1"/>
      <c r="L19" s="1"/>
    </row>
    <row r="20" spans="1:12" x14ac:dyDescent="0.35">
      <c r="A20" s="1"/>
      <c r="B20" s="5"/>
      <c r="C20" s="46" t="s">
        <v>516</v>
      </c>
      <c r="D20" s="46" t="s">
        <v>646</v>
      </c>
      <c r="E20" s="48">
        <v>76160</v>
      </c>
      <c r="F20" s="46">
        <v>1</v>
      </c>
      <c r="G20" s="48">
        <v>1901</v>
      </c>
      <c r="H20" s="47">
        <v>144780160</v>
      </c>
      <c r="I20" s="1"/>
      <c r="J20" s="6"/>
      <c r="K20" s="1"/>
      <c r="L20" s="1"/>
    </row>
    <row r="21" spans="1:12" x14ac:dyDescent="0.35">
      <c r="A21" s="1"/>
      <c r="B21" s="5"/>
      <c r="C21" s="46" t="s">
        <v>516</v>
      </c>
      <c r="D21" s="46" t="s">
        <v>646</v>
      </c>
      <c r="E21" s="48">
        <v>76180</v>
      </c>
      <c r="F21" s="46">
        <v>1</v>
      </c>
      <c r="G21" s="48">
        <v>473</v>
      </c>
      <c r="H21" s="47">
        <v>36033140</v>
      </c>
      <c r="I21" s="1"/>
      <c r="J21" s="6"/>
      <c r="K21" s="1"/>
      <c r="L21" s="1"/>
    </row>
    <row r="22" spans="1:12" x14ac:dyDescent="0.35">
      <c r="A22" s="1"/>
      <c r="B22" s="5"/>
      <c r="C22" s="46" t="s">
        <v>516</v>
      </c>
      <c r="D22" s="46" t="s">
        <v>646</v>
      </c>
      <c r="E22" s="48">
        <v>76220</v>
      </c>
      <c r="F22" s="46">
        <v>1</v>
      </c>
      <c r="G22" s="48">
        <v>832</v>
      </c>
      <c r="H22" s="47">
        <v>63415040</v>
      </c>
      <c r="I22" s="1"/>
      <c r="J22" s="6"/>
      <c r="K22" s="1"/>
      <c r="L22" s="1"/>
    </row>
    <row r="23" spans="1:12" x14ac:dyDescent="0.35">
      <c r="A23" s="1"/>
      <c r="B23" s="9"/>
      <c r="C23" s="46" t="s">
        <v>516</v>
      </c>
      <c r="D23" s="46" t="s">
        <v>292</v>
      </c>
      <c r="E23" s="48">
        <v>14860</v>
      </c>
      <c r="F23" s="46">
        <v>1</v>
      </c>
      <c r="G23" s="48">
        <v>1874</v>
      </c>
      <c r="H23" s="47">
        <v>27847640</v>
      </c>
      <c r="I23" s="10"/>
      <c r="J23" s="11"/>
      <c r="K23" s="1"/>
      <c r="L23"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647</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x14ac:dyDescent="0.35">
      <c r="A9" s="1"/>
      <c r="B9" s="5"/>
      <c r="C9" s="14" t="s">
        <v>5</v>
      </c>
      <c r="D9" s="89"/>
      <c r="E9" s="49" t="s">
        <v>650</v>
      </c>
      <c r="F9" s="49" t="s">
        <v>641</v>
      </c>
      <c r="G9" s="49" t="s">
        <v>650</v>
      </c>
      <c r="H9" s="49" t="s">
        <v>641</v>
      </c>
      <c r="I9" s="49" t="s">
        <v>650</v>
      </c>
      <c r="J9" s="49" t="s">
        <v>641</v>
      </c>
      <c r="K9" s="49" t="s">
        <v>650</v>
      </c>
      <c r="L9" s="49" t="s">
        <v>641</v>
      </c>
      <c r="M9" s="49" t="s">
        <v>650</v>
      </c>
      <c r="N9" s="49" t="s">
        <v>641</v>
      </c>
      <c r="O9" s="49" t="s">
        <v>650</v>
      </c>
      <c r="P9" s="49" t="s">
        <v>641</v>
      </c>
      <c r="Q9" s="49" t="s">
        <v>650</v>
      </c>
      <c r="R9" s="49" t="s">
        <v>641</v>
      </c>
      <c r="S9" s="1"/>
      <c r="T9" s="1"/>
    </row>
    <row r="10" spans="1:20" x14ac:dyDescent="0.35">
      <c r="A10" s="1"/>
      <c r="B10" s="5"/>
      <c r="C10" s="25" t="s">
        <v>262</v>
      </c>
      <c r="D10" s="50">
        <v>1216431750</v>
      </c>
      <c r="E10" s="50">
        <v>218.36790895999999</v>
      </c>
      <c r="F10" s="50">
        <v>23824</v>
      </c>
      <c r="G10" s="50">
        <v>7497.2907456499997</v>
      </c>
      <c r="H10" s="50">
        <v>927858</v>
      </c>
      <c r="I10" s="50">
        <v>2644.2052389099999</v>
      </c>
      <c r="J10" s="50">
        <v>309732</v>
      </c>
      <c r="K10" s="50">
        <v>0</v>
      </c>
      <c r="L10" s="25"/>
      <c r="M10" s="50">
        <v>143.41286012</v>
      </c>
      <c r="N10" s="50">
        <v>14980</v>
      </c>
      <c r="O10" s="50">
        <v>119.9</v>
      </c>
      <c r="P10" s="50">
        <v>11000</v>
      </c>
      <c r="Q10" s="50">
        <v>0</v>
      </c>
      <c r="R10" s="25"/>
      <c r="S10" s="1"/>
      <c r="T10" s="1"/>
    </row>
    <row r="11" spans="1:20" x14ac:dyDescent="0.35">
      <c r="A11" s="1"/>
      <c r="B11" s="5"/>
      <c r="C11" s="25" t="s">
        <v>264</v>
      </c>
      <c r="D11" s="50">
        <v>509103132</v>
      </c>
      <c r="E11" s="50">
        <v>487.26441010000002</v>
      </c>
      <c r="F11" s="50">
        <v>7622</v>
      </c>
      <c r="G11" s="50">
        <v>1480.0336526399999</v>
      </c>
      <c r="H11" s="50">
        <v>28655</v>
      </c>
      <c r="I11" s="50">
        <v>20326.349420959999</v>
      </c>
      <c r="J11" s="50">
        <v>308551</v>
      </c>
      <c r="K11" s="50">
        <v>8082.3906135799998</v>
      </c>
      <c r="L11" s="50">
        <v>116550</v>
      </c>
      <c r="M11" s="50">
        <v>2807.53154636</v>
      </c>
      <c r="N11" s="50">
        <v>40731</v>
      </c>
      <c r="O11" s="50">
        <v>0</v>
      </c>
      <c r="P11" s="25"/>
      <c r="Q11" s="50">
        <v>864.95411999999999</v>
      </c>
      <c r="R11" s="50">
        <v>10018</v>
      </c>
      <c r="S11" s="1"/>
      <c r="T11" s="1"/>
    </row>
    <row r="12" spans="1:20" x14ac:dyDescent="0.35">
      <c r="A12" s="1"/>
      <c r="B12" s="5"/>
      <c r="C12" s="25" t="s">
        <v>266</v>
      </c>
      <c r="D12" s="50">
        <v>346403766</v>
      </c>
      <c r="E12" s="50">
        <v>1617.1013560199999</v>
      </c>
      <c r="F12" s="50">
        <v>144674</v>
      </c>
      <c r="G12" s="50">
        <v>11589.434991759999</v>
      </c>
      <c r="H12" s="50">
        <v>1199384</v>
      </c>
      <c r="I12" s="50">
        <v>8920.1999332699997</v>
      </c>
      <c r="J12" s="50">
        <v>646176</v>
      </c>
      <c r="K12" s="50">
        <v>1616.7684899999999</v>
      </c>
      <c r="L12" s="50">
        <v>109461</v>
      </c>
      <c r="M12" s="50">
        <v>1317.1223333200001</v>
      </c>
      <c r="N12" s="50">
        <v>92692</v>
      </c>
      <c r="O12" s="50">
        <v>0</v>
      </c>
      <c r="P12" s="25"/>
      <c r="Q12" s="50">
        <v>0</v>
      </c>
      <c r="R12" s="25"/>
      <c r="S12" s="1"/>
      <c r="T12" s="1"/>
    </row>
    <row r="13" spans="1:20" x14ac:dyDescent="0.35">
      <c r="A13" s="1"/>
      <c r="B13" s="5"/>
      <c r="C13" s="25" t="s">
        <v>268</v>
      </c>
      <c r="D13" s="50">
        <v>41116694690</v>
      </c>
      <c r="E13" s="50">
        <v>464.25844444000001</v>
      </c>
      <c r="F13" s="50">
        <v>221989</v>
      </c>
      <c r="G13" s="50">
        <v>6254.2552056100003</v>
      </c>
      <c r="H13" s="50">
        <v>3348671</v>
      </c>
      <c r="I13" s="50">
        <v>3228.9805497000002</v>
      </c>
      <c r="J13" s="50">
        <v>1840870</v>
      </c>
      <c r="K13" s="50">
        <v>3153.6669514599998</v>
      </c>
      <c r="L13" s="50">
        <v>1540311</v>
      </c>
      <c r="M13" s="50">
        <v>345.70906281999999</v>
      </c>
      <c r="N13" s="50">
        <v>161997</v>
      </c>
      <c r="O13" s="50">
        <v>0</v>
      </c>
      <c r="P13" s="25"/>
      <c r="Q13" s="50">
        <v>0</v>
      </c>
      <c r="R13" s="25"/>
      <c r="S13" s="1"/>
      <c r="T13" s="1"/>
    </row>
    <row r="14" spans="1:20" x14ac:dyDescent="0.35">
      <c r="A14" s="1"/>
      <c r="B14" s="5"/>
      <c r="C14" s="25" t="s">
        <v>272</v>
      </c>
      <c r="D14" s="50">
        <v>9181177017</v>
      </c>
      <c r="E14" s="50">
        <v>1731.0486111099999</v>
      </c>
      <c r="F14" s="50">
        <v>729232</v>
      </c>
      <c r="G14" s="50">
        <v>8773.1743093599998</v>
      </c>
      <c r="H14" s="50">
        <v>3766185</v>
      </c>
      <c r="I14" s="50">
        <v>4075.33345543</v>
      </c>
      <c r="J14" s="50">
        <v>1820410</v>
      </c>
      <c r="K14" s="50">
        <v>901.01078767000001</v>
      </c>
      <c r="L14" s="50">
        <v>391787</v>
      </c>
      <c r="M14" s="50">
        <v>1055.9609332</v>
      </c>
      <c r="N14" s="50">
        <v>474366</v>
      </c>
      <c r="O14" s="50">
        <v>57.8</v>
      </c>
      <c r="P14" s="50">
        <v>20000</v>
      </c>
      <c r="Q14" s="50">
        <v>0</v>
      </c>
      <c r="R14" s="25"/>
      <c r="S14" s="1"/>
      <c r="T14" s="1"/>
    </row>
    <row r="15" spans="1:20" x14ac:dyDescent="0.35">
      <c r="A15" s="1"/>
      <c r="B15" s="5"/>
      <c r="C15" s="25" t="s">
        <v>276</v>
      </c>
      <c r="D15" s="50">
        <v>397003639</v>
      </c>
      <c r="E15" s="50">
        <v>1162.6161611099999</v>
      </c>
      <c r="F15" s="50">
        <v>85407</v>
      </c>
      <c r="G15" s="50">
        <v>2183.9279357800001</v>
      </c>
      <c r="H15" s="50">
        <v>164804</v>
      </c>
      <c r="I15" s="50">
        <v>1279.64085318</v>
      </c>
      <c r="J15" s="50">
        <v>105403</v>
      </c>
      <c r="K15" s="50">
        <v>347.2659208</v>
      </c>
      <c r="L15" s="50">
        <v>24984</v>
      </c>
      <c r="M15" s="50">
        <v>0</v>
      </c>
      <c r="N15" s="25"/>
      <c r="O15" s="50">
        <v>0</v>
      </c>
      <c r="P15" s="25"/>
      <c r="Q15" s="50">
        <v>0</v>
      </c>
      <c r="R15" s="25"/>
      <c r="S15" s="1"/>
      <c r="T15" s="1"/>
    </row>
    <row r="16" spans="1:20" x14ac:dyDescent="0.35">
      <c r="A16" s="1"/>
      <c r="B16" s="5"/>
      <c r="C16" s="25" t="s">
        <v>278</v>
      </c>
      <c r="D16" s="50">
        <v>165834026</v>
      </c>
      <c r="E16" s="50">
        <v>332.38333333000003</v>
      </c>
      <c r="F16" s="50">
        <v>8591</v>
      </c>
      <c r="G16" s="50">
        <v>26512.38181549</v>
      </c>
      <c r="H16" s="50">
        <v>748222</v>
      </c>
      <c r="I16" s="50">
        <v>7644.34866908</v>
      </c>
      <c r="J16" s="50">
        <v>208492</v>
      </c>
      <c r="K16" s="50">
        <v>0</v>
      </c>
      <c r="L16" s="25"/>
      <c r="M16" s="50">
        <v>206.41501840999999</v>
      </c>
      <c r="N16" s="50">
        <v>5191</v>
      </c>
      <c r="O16" s="50">
        <v>0</v>
      </c>
      <c r="P16" s="25"/>
      <c r="Q16" s="50">
        <v>0</v>
      </c>
      <c r="R16" s="25"/>
      <c r="S16" s="1"/>
      <c r="T16" s="1"/>
    </row>
    <row r="17" spans="1:20" x14ac:dyDescent="0.35">
      <c r="A17" s="1"/>
      <c r="B17" s="5"/>
      <c r="C17" s="25" t="s">
        <v>551</v>
      </c>
      <c r="D17" s="50">
        <v>10000</v>
      </c>
      <c r="E17" s="50">
        <v>0</v>
      </c>
      <c r="F17" s="25"/>
      <c r="G17" s="50">
        <v>0</v>
      </c>
      <c r="H17" s="25"/>
      <c r="I17" s="50">
        <v>0</v>
      </c>
      <c r="J17" s="25"/>
      <c r="K17" s="50">
        <v>0</v>
      </c>
      <c r="L17" s="25"/>
      <c r="M17" s="50">
        <v>0</v>
      </c>
      <c r="N17" s="25"/>
      <c r="O17" s="50">
        <v>677.68308300000001</v>
      </c>
      <c r="P17" s="50">
        <v>25333</v>
      </c>
      <c r="Q17" s="50">
        <v>0</v>
      </c>
      <c r="R17" s="25"/>
      <c r="S17" s="1"/>
      <c r="T17" s="1"/>
    </row>
    <row r="18" spans="1:20" x14ac:dyDescent="0.35">
      <c r="A18" s="1"/>
      <c r="B18" s="5"/>
      <c r="C18" s="25" t="s">
        <v>651</v>
      </c>
      <c r="D18" s="50">
        <v>754048560</v>
      </c>
      <c r="E18" s="50">
        <v>0</v>
      </c>
      <c r="F18" s="25"/>
      <c r="G18" s="50">
        <v>8255.5083491000005</v>
      </c>
      <c r="H18" s="50">
        <v>23940</v>
      </c>
      <c r="I18" s="50">
        <v>1938.9426666700001</v>
      </c>
      <c r="J18" s="50">
        <v>5452</v>
      </c>
      <c r="K18" s="50">
        <v>91.578500000000005</v>
      </c>
      <c r="L18" s="50">
        <v>356</v>
      </c>
      <c r="M18" s="50">
        <v>0</v>
      </c>
      <c r="N18" s="25"/>
      <c r="O18" s="50">
        <v>0</v>
      </c>
      <c r="P18" s="25"/>
      <c r="Q18" s="50">
        <v>0</v>
      </c>
      <c r="R18" s="25"/>
      <c r="S18" s="1"/>
      <c r="T18" s="1"/>
    </row>
    <row r="19" spans="1:20" x14ac:dyDescent="0.35">
      <c r="A19" s="1"/>
      <c r="B19" s="5"/>
      <c r="C19" s="25" t="s">
        <v>280</v>
      </c>
      <c r="D19" s="50">
        <v>1107677894</v>
      </c>
      <c r="E19" s="50">
        <v>0</v>
      </c>
      <c r="F19" s="25"/>
      <c r="G19" s="50">
        <v>890.95481820999998</v>
      </c>
      <c r="H19" s="50">
        <v>45251</v>
      </c>
      <c r="I19" s="50">
        <v>41.360616579999999</v>
      </c>
      <c r="J19" s="50">
        <v>2407</v>
      </c>
      <c r="K19" s="50">
        <v>0</v>
      </c>
      <c r="L19" s="25"/>
      <c r="M19" s="50">
        <v>0</v>
      </c>
      <c r="N19" s="25"/>
      <c r="O19" s="50">
        <v>0</v>
      </c>
      <c r="P19" s="25"/>
      <c r="Q19" s="50">
        <v>0</v>
      </c>
      <c r="R19" s="25"/>
      <c r="S19" s="1"/>
      <c r="T19" s="1"/>
    </row>
    <row r="20" spans="1:20" x14ac:dyDescent="0.35">
      <c r="A20" s="1"/>
      <c r="B20" s="5"/>
      <c r="C20" s="25" t="s">
        <v>282</v>
      </c>
      <c r="D20" s="50">
        <v>295780517</v>
      </c>
      <c r="E20" s="50">
        <v>4825.2123250000004</v>
      </c>
      <c r="F20" s="50">
        <v>367049</v>
      </c>
      <c r="G20" s="50">
        <v>13686.457578789999</v>
      </c>
      <c r="H20" s="50">
        <v>1157589</v>
      </c>
      <c r="I20" s="50">
        <v>7256.7555347199996</v>
      </c>
      <c r="J20" s="50">
        <v>586361</v>
      </c>
      <c r="K20" s="50">
        <v>1986.12</v>
      </c>
      <c r="L20" s="50">
        <v>240000</v>
      </c>
      <c r="M20" s="50">
        <v>0</v>
      </c>
      <c r="N20" s="25"/>
      <c r="O20" s="50">
        <v>0</v>
      </c>
      <c r="P20" s="25"/>
      <c r="Q20" s="50">
        <v>484.8</v>
      </c>
      <c r="R20" s="50">
        <v>30000</v>
      </c>
      <c r="S20" s="1"/>
      <c r="T20" s="1"/>
    </row>
    <row r="21" spans="1:20" x14ac:dyDescent="0.35">
      <c r="A21" s="1"/>
      <c r="B21" s="5"/>
      <c r="C21" s="25" t="s">
        <v>624</v>
      </c>
      <c r="D21" s="50">
        <v>289150555</v>
      </c>
      <c r="E21" s="50">
        <v>1181.27333333</v>
      </c>
      <c r="F21" s="50">
        <v>44696</v>
      </c>
      <c r="G21" s="50">
        <v>2675.7096133999999</v>
      </c>
      <c r="H21" s="50">
        <v>102578</v>
      </c>
      <c r="I21" s="50">
        <v>2806.67854167</v>
      </c>
      <c r="J21" s="50">
        <v>107855</v>
      </c>
      <c r="K21" s="50">
        <v>0</v>
      </c>
      <c r="L21" s="25"/>
      <c r="M21" s="50">
        <v>0</v>
      </c>
      <c r="N21" s="25"/>
      <c r="O21" s="50">
        <v>0</v>
      </c>
      <c r="P21" s="25"/>
      <c r="Q21" s="50">
        <v>0</v>
      </c>
      <c r="R21" s="25"/>
      <c r="S21" s="1"/>
      <c r="T21" s="1"/>
    </row>
    <row r="22" spans="1:20" x14ac:dyDescent="0.3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x14ac:dyDescent="0.35">
      <c r="A23" s="1"/>
      <c r="B23" s="5"/>
      <c r="C23" s="25" t="s">
        <v>286</v>
      </c>
      <c r="D23" s="50">
        <v>7565862649</v>
      </c>
      <c r="E23" s="50">
        <v>0</v>
      </c>
      <c r="F23" s="25"/>
      <c r="G23" s="50">
        <v>8206.9403194499992</v>
      </c>
      <c r="H23" s="50">
        <v>13560426</v>
      </c>
      <c r="I23" s="50">
        <v>7772.6044333399996</v>
      </c>
      <c r="J23" s="50">
        <v>13047545</v>
      </c>
      <c r="K23" s="50">
        <v>1020.16722222</v>
      </c>
      <c r="L23" s="50">
        <v>2000000</v>
      </c>
      <c r="M23" s="50">
        <v>320.048498</v>
      </c>
      <c r="N23" s="50">
        <v>551307</v>
      </c>
      <c r="O23" s="50">
        <v>0</v>
      </c>
      <c r="P23" s="25"/>
      <c r="Q23" s="50">
        <v>0</v>
      </c>
      <c r="R23" s="25"/>
      <c r="S23" s="1"/>
      <c r="T23" s="1"/>
    </row>
    <row r="24" spans="1:20" x14ac:dyDescent="0.35">
      <c r="A24" s="1"/>
      <c r="B24" s="5"/>
      <c r="C24" s="25" t="s">
        <v>288</v>
      </c>
      <c r="D24" s="50">
        <v>439957804</v>
      </c>
      <c r="E24" s="50">
        <v>422.08197639999997</v>
      </c>
      <c r="F24" s="50">
        <v>8588</v>
      </c>
      <c r="G24" s="50">
        <v>15441.6912447</v>
      </c>
      <c r="H24" s="50">
        <v>307918</v>
      </c>
      <c r="I24" s="50">
        <v>4939.2618756600004</v>
      </c>
      <c r="J24" s="50">
        <v>94787</v>
      </c>
      <c r="K24" s="50">
        <v>13297.98789706</v>
      </c>
      <c r="L24" s="50">
        <v>276008</v>
      </c>
      <c r="M24" s="50">
        <v>5071.8233678899996</v>
      </c>
      <c r="N24" s="50">
        <v>103100</v>
      </c>
      <c r="O24" s="50">
        <v>6275.5</v>
      </c>
      <c r="P24" s="50">
        <v>81500</v>
      </c>
      <c r="Q24" s="50">
        <v>14220</v>
      </c>
      <c r="R24" s="50">
        <v>200000</v>
      </c>
      <c r="S24" s="1"/>
      <c r="T24" s="1"/>
    </row>
    <row r="25" spans="1:20" x14ac:dyDescent="0.35">
      <c r="A25" s="1"/>
      <c r="B25" s="5"/>
      <c r="C25" s="25" t="s">
        <v>290</v>
      </c>
      <c r="D25" s="50">
        <v>169443753</v>
      </c>
      <c r="E25" s="50">
        <v>0</v>
      </c>
      <c r="F25" s="25"/>
      <c r="G25" s="50">
        <v>2249.08460139</v>
      </c>
      <c r="H25" s="50">
        <v>108637</v>
      </c>
      <c r="I25" s="50">
        <v>5765.0169431599998</v>
      </c>
      <c r="J25" s="50">
        <v>254332</v>
      </c>
      <c r="K25" s="50">
        <v>4115.2427500000003</v>
      </c>
      <c r="L25" s="50">
        <v>197272</v>
      </c>
      <c r="M25" s="50">
        <v>13759.264232789999</v>
      </c>
      <c r="N25" s="50">
        <v>525997</v>
      </c>
      <c r="O25" s="50">
        <v>0</v>
      </c>
      <c r="P25" s="25"/>
      <c r="Q25" s="50">
        <v>96</v>
      </c>
      <c r="R25" s="50">
        <v>3000</v>
      </c>
      <c r="S25" s="1"/>
      <c r="T25" s="1"/>
    </row>
    <row r="26" spans="1:20" x14ac:dyDescent="0.35">
      <c r="A26" s="1"/>
      <c r="B26" s="5"/>
      <c r="C26" s="25" t="s">
        <v>292</v>
      </c>
      <c r="D26" s="50">
        <v>287275379</v>
      </c>
      <c r="E26" s="50">
        <v>1296.9099564000001</v>
      </c>
      <c r="F26" s="50">
        <v>133797</v>
      </c>
      <c r="G26" s="50">
        <v>10974.274844400001</v>
      </c>
      <c r="H26" s="50">
        <v>1088816</v>
      </c>
      <c r="I26" s="50">
        <v>3120.9710553700002</v>
      </c>
      <c r="J26" s="50">
        <v>306666</v>
      </c>
      <c r="K26" s="50">
        <v>922.70392382</v>
      </c>
      <c r="L26" s="50">
        <v>95032</v>
      </c>
      <c r="M26" s="50">
        <v>1634.6311851800001</v>
      </c>
      <c r="N26" s="50">
        <v>168235</v>
      </c>
      <c r="O26" s="50">
        <v>0</v>
      </c>
      <c r="P26" s="25"/>
      <c r="Q26" s="50">
        <v>0</v>
      </c>
      <c r="R26" s="25"/>
      <c r="S26" s="1"/>
      <c r="T26" s="1"/>
    </row>
    <row r="27" spans="1:20" x14ac:dyDescent="0.35">
      <c r="A27" s="1"/>
      <c r="B27" s="5"/>
      <c r="C27" s="25" t="s">
        <v>293</v>
      </c>
      <c r="D27" s="50">
        <v>161871882</v>
      </c>
      <c r="E27" s="50">
        <v>277.72033333000002</v>
      </c>
      <c r="F27" s="50">
        <v>8656</v>
      </c>
      <c r="G27" s="50">
        <v>7353.4363246499997</v>
      </c>
      <c r="H27" s="50">
        <v>249715</v>
      </c>
      <c r="I27" s="50">
        <v>5489.8538391000002</v>
      </c>
      <c r="J27" s="50">
        <v>186874</v>
      </c>
      <c r="K27" s="50">
        <v>2089.95206143</v>
      </c>
      <c r="L27" s="50">
        <v>61272</v>
      </c>
      <c r="M27" s="50">
        <v>1780.6123597200001</v>
      </c>
      <c r="N27" s="50">
        <v>59761</v>
      </c>
      <c r="O27" s="50">
        <v>0</v>
      </c>
      <c r="P27" s="25"/>
      <c r="Q27" s="50">
        <v>0</v>
      </c>
      <c r="R27" s="25"/>
      <c r="S27" s="1"/>
      <c r="T27" s="1"/>
    </row>
    <row r="28" spans="1:20" x14ac:dyDescent="0.35">
      <c r="A28" s="1"/>
      <c r="B28" s="9"/>
      <c r="C28" s="51" t="s">
        <v>609</v>
      </c>
      <c r="D28" s="52" t="s">
        <v>5</v>
      </c>
      <c r="E28" s="53">
        <v>14016.23814953</v>
      </c>
      <c r="F28" s="53">
        <v>1784125</v>
      </c>
      <c r="G28" s="53">
        <v>134024.55635038001</v>
      </c>
      <c r="H28" s="53">
        <v>26828649</v>
      </c>
      <c r="I28" s="53">
        <v>87250.503626799997</v>
      </c>
      <c r="J28" s="53">
        <v>19831913</v>
      </c>
      <c r="K28" s="53">
        <v>37624.855118040003</v>
      </c>
      <c r="L28" s="53">
        <v>5053033</v>
      </c>
      <c r="M28" s="53">
        <v>28897.83066448</v>
      </c>
      <c r="N28" s="53">
        <v>2210377</v>
      </c>
      <c r="O28" s="53">
        <v>7130.8830829999997</v>
      </c>
      <c r="P28" s="53">
        <v>137833</v>
      </c>
      <c r="Q28" s="53">
        <v>15665.75412</v>
      </c>
      <c r="R28" s="53">
        <v>243018</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652</v>
      </c>
      <c r="D5" s="43" t="s">
        <v>232</v>
      </c>
      <c r="E5" s="43" t="s">
        <v>233</v>
      </c>
      <c r="F5" s="1"/>
      <c r="G5" s="6"/>
      <c r="H5" s="1"/>
      <c r="I5" s="1"/>
    </row>
    <row r="6" spans="1:9" x14ac:dyDescent="0.35">
      <c r="A6" s="1"/>
      <c r="B6" s="5"/>
      <c r="C6" s="54" t="s">
        <v>653</v>
      </c>
      <c r="D6" s="55">
        <v>2191.76926224</v>
      </c>
      <c r="E6" s="55">
        <v>0</v>
      </c>
      <c r="F6" s="1"/>
      <c r="G6" s="6"/>
      <c r="H6" s="1"/>
      <c r="I6" s="1"/>
    </row>
    <row r="7" spans="1:9" x14ac:dyDescent="0.35">
      <c r="A7" s="1"/>
      <c r="B7" s="5"/>
      <c r="C7" s="54" t="s">
        <v>654</v>
      </c>
      <c r="D7" s="55">
        <v>35156.649061290002</v>
      </c>
      <c r="E7" s="55">
        <v>0</v>
      </c>
      <c r="F7" s="1"/>
      <c r="G7" s="6"/>
      <c r="H7" s="1"/>
      <c r="I7" s="1"/>
    </row>
    <row r="8" spans="1:9" x14ac:dyDescent="0.35">
      <c r="A8" s="1"/>
      <c r="B8" s="5"/>
      <c r="C8" s="54" t="s">
        <v>655</v>
      </c>
      <c r="D8" s="55">
        <v>56178.080766589999</v>
      </c>
      <c r="E8" s="55">
        <v>15665.75412</v>
      </c>
      <c r="F8" s="1"/>
      <c r="G8" s="6"/>
      <c r="H8" s="1"/>
      <c r="I8" s="1"/>
    </row>
    <row r="9" spans="1:9" x14ac:dyDescent="0.35">
      <c r="A9" s="1"/>
      <c r="B9" s="5"/>
      <c r="C9" s="54" t="s">
        <v>656</v>
      </c>
      <c r="D9" s="55">
        <v>26177.954177759999</v>
      </c>
      <c r="E9" s="55">
        <v>0</v>
      </c>
      <c r="F9" s="1"/>
      <c r="G9" s="6"/>
      <c r="H9" s="1"/>
      <c r="I9" s="1"/>
    </row>
    <row r="10" spans="1:9" x14ac:dyDescent="0.35">
      <c r="A10" s="1"/>
      <c r="B10" s="5"/>
      <c r="C10" s="54" t="s">
        <v>657</v>
      </c>
      <c r="D10" s="55">
        <v>15360.94788251</v>
      </c>
      <c r="E10" s="55">
        <v>0</v>
      </c>
      <c r="F10" s="1"/>
      <c r="G10" s="6"/>
      <c r="H10" s="1"/>
      <c r="I10" s="1"/>
    </row>
    <row r="11" spans="1:9" x14ac:dyDescent="0.35">
      <c r="A11" s="1"/>
      <c r="B11" s="5"/>
      <c r="C11" s="54" t="s">
        <v>658</v>
      </c>
      <c r="D11" s="55">
        <v>2349.9248886099999</v>
      </c>
      <c r="E11" s="55">
        <v>0</v>
      </c>
      <c r="F11" s="1"/>
      <c r="G11" s="6"/>
      <c r="H11" s="1"/>
      <c r="I11" s="1"/>
    </row>
    <row r="12" spans="1:9" x14ac:dyDescent="0.35">
      <c r="A12" s="1"/>
      <c r="B12" s="5"/>
      <c r="C12" s="54" t="s">
        <v>659</v>
      </c>
      <c r="D12" s="55">
        <v>38150.669896389998</v>
      </c>
      <c r="E12" s="55">
        <v>0</v>
      </c>
      <c r="F12" s="1"/>
      <c r="G12" s="6"/>
      <c r="H12" s="1"/>
      <c r="I12" s="1"/>
    </row>
    <row r="13" spans="1:9" x14ac:dyDescent="0.35">
      <c r="A13" s="1"/>
      <c r="B13" s="5"/>
      <c r="C13" s="54" t="s">
        <v>660</v>
      </c>
      <c r="D13" s="55">
        <v>27788.170283349998</v>
      </c>
      <c r="E13" s="55">
        <v>0</v>
      </c>
      <c r="F13" s="1"/>
      <c r="G13" s="6"/>
      <c r="H13" s="1"/>
      <c r="I13" s="1"/>
    </row>
    <row r="14" spans="1:9" x14ac:dyDescent="0.35">
      <c r="A14" s="1"/>
      <c r="B14" s="5"/>
      <c r="C14" s="54" t="s">
        <v>661</v>
      </c>
      <c r="D14" s="55">
        <v>0</v>
      </c>
      <c r="E14" s="55">
        <v>6453.2</v>
      </c>
      <c r="F14" s="1"/>
      <c r="G14" s="6"/>
      <c r="H14" s="1"/>
      <c r="I14" s="1"/>
    </row>
    <row r="15" spans="1:9" x14ac:dyDescent="0.35">
      <c r="A15" s="1"/>
      <c r="B15" s="5"/>
      <c r="C15" s="54" t="s">
        <v>662</v>
      </c>
      <c r="D15" s="55">
        <v>25894.666563129998</v>
      </c>
      <c r="E15" s="55">
        <v>0</v>
      </c>
      <c r="F15" s="1"/>
      <c r="G15" s="6"/>
      <c r="H15" s="1"/>
      <c r="I15" s="1"/>
    </row>
    <row r="16" spans="1:9" x14ac:dyDescent="0.35">
      <c r="A16" s="1"/>
      <c r="B16" s="5"/>
      <c r="C16" s="54" t="s">
        <v>663</v>
      </c>
      <c r="D16" s="55">
        <v>72565.151127360004</v>
      </c>
      <c r="E16" s="55">
        <v>677.68308300000001</v>
      </c>
      <c r="F16" s="1"/>
      <c r="G16" s="6"/>
      <c r="H16" s="1"/>
      <c r="I16" s="1"/>
    </row>
    <row r="17" spans="1:9" x14ac:dyDescent="0.35">
      <c r="A17" s="1"/>
      <c r="B17" s="9"/>
      <c r="C17" s="56" t="s">
        <v>609</v>
      </c>
      <c r="D17" s="57">
        <v>301813.98390922998</v>
      </c>
      <c r="E17" s="57">
        <v>22796.637202999998</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E5B9-9E89-4AA0-AB1D-8C3110D36068}">
  <dimension ref="A1:X7"/>
  <sheetViews>
    <sheetView workbookViewId="0"/>
  </sheetViews>
  <sheetFormatPr baseColWidth="10" defaultColWidth="9.1796875" defaultRowHeight="14.5" x14ac:dyDescent="0.35"/>
  <cols>
    <col min="1" max="2" width="2.7265625" style="97" customWidth="1"/>
    <col min="3" max="3" width="8.54296875" style="97" customWidth="1"/>
    <col min="4" max="4" width="8.7265625" style="97" customWidth="1"/>
    <col min="5" max="5" width="12.26953125" style="97" customWidth="1"/>
    <col min="6" max="6" width="19.81640625" style="97" customWidth="1"/>
    <col min="7" max="7" width="14.54296875" style="97" customWidth="1"/>
    <col min="8" max="8" width="10.453125" style="97" customWidth="1"/>
    <col min="9" max="9" width="12.7265625" style="97" customWidth="1"/>
    <col min="10" max="10" width="11.54296875" style="97" bestFit="1" customWidth="1"/>
    <col min="11" max="11" width="9.54296875" style="97" bestFit="1" customWidth="1"/>
    <col min="12" max="12" width="10.453125" style="97" bestFit="1" customWidth="1"/>
    <col min="13" max="13" width="7.1796875" style="97" bestFit="1" customWidth="1"/>
    <col min="14" max="14" width="11.54296875" style="97" bestFit="1" customWidth="1"/>
    <col min="15" max="15" width="14.1796875" style="97" customWidth="1"/>
    <col min="16" max="16" width="11" style="97" customWidth="1"/>
    <col min="17" max="17" width="11.453125" style="97" bestFit="1" customWidth="1"/>
    <col min="18" max="19" width="11.26953125" style="97" bestFit="1" customWidth="1"/>
    <col min="20" max="20" width="10.54296875" style="97" customWidth="1"/>
    <col min="21" max="21" width="10.81640625" style="97" customWidth="1"/>
    <col min="22" max="22" width="3" style="97" customWidth="1"/>
    <col min="23" max="23" width="222.453125" style="97" customWidth="1"/>
    <col min="24" max="24" width="8.7265625" style="97" customWidth="1"/>
    <col min="25" max="16384" width="9.1796875" style="97"/>
  </cols>
  <sheetData>
    <row r="1" spans="1:24" x14ac:dyDescent="0.35">
      <c r="A1" s="96"/>
      <c r="B1" s="96"/>
      <c r="C1" s="96"/>
      <c r="D1" s="96"/>
      <c r="E1" s="96"/>
      <c r="F1" s="96"/>
      <c r="G1" s="96"/>
      <c r="H1" s="96"/>
      <c r="I1" s="96"/>
      <c r="J1" s="96"/>
      <c r="K1" s="96"/>
      <c r="L1" s="96"/>
      <c r="M1" s="96"/>
      <c r="N1" s="96"/>
      <c r="O1" s="96"/>
      <c r="P1" s="96"/>
      <c r="Q1" s="96"/>
      <c r="R1" s="96"/>
      <c r="S1" s="96"/>
      <c r="T1" s="96"/>
      <c r="U1" s="96"/>
      <c r="V1" s="96"/>
      <c r="W1" s="96"/>
      <c r="X1" s="96"/>
    </row>
    <row r="2" spans="1:24" x14ac:dyDescent="0.35">
      <c r="A2" s="96"/>
      <c r="B2" s="98"/>
      <c r="C2" s="99"/>
      <c r="D2" s="99"/>
      <c r="E2" s="99"/>
      <c r="F2" s="99"/>
      <c r="G2" s="99"/>
      <c r="H2" s="99"/>
      <c r="I2" s="99"/>
      <c r="J2" s="99"/>
      <c r="K2" s="99"/>
      <c r="L2" s="99"/>
      <c r="M2" s="99"/>
      <c r="N2" s="99"/>
      <c r="O2" s="99"/>
      <c r="P2" s="99"/>
      <c r="Q2" s="99"/>
      <c r="R2" s="99"/>
      <c r="S2" s="99"/>
      <c r="T2" s="99"/>
      <c r="U2" s="99"/>
      <c r="V2" s="100"/>
      <c r="W2" s="96"/>
      <c r="X2" s="96"/>
    </row>
    <row r="3" spans="1:24" x14ac:dyDescent="0.3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64.5" customHeight="1" x14ac:dyDescent="0.35">
      <c r="A4" s="96"/>
      <c r="B4" s="101"/>
      <c r="C4" s="96"/>
      <c r="D4" s="96"/>
      <c r="E4" s="96"/>
      <c r="F4" s="96"/>
      <c r="G4" s="96"/>
      <c r="H4" s="96"/>
      <c r="I4" s="96"/>
      <c r="J4" s="96"/>
      <c r="K4" s="96"/>
      <c r="L4" s="96"/>
      <c r="M4" s="96"/>
      <c r="N4" s="96"/>
      <c r="O4" s="96"/>
      <c r="P4" s="96"/>
      <c r="Q4" s="96"/>
      <c r="R4" s="96"/>
      <c r="S4" s="96"/>
      <c r="T4" s="96"/>
      <c r="U4" s="96"/>
      <c r="V4" s="103"/>
      <c r="W4" s="96"/>
      <c r="X4" s="96"/>
    </row>
    <row r="5" spans="1:24" ht="37.5" x14ac:dyDescent="0.35">
      <c r="A5" s="96"/>
      <c r="B5" s="101"/>
      <c r="C5" s="104" t="s">
        <v>1207</v>
      </c>
      <c r="D5" s="104" t="s">
        <v>1208</v>
      </c>
      <c r="E5" s="104" t="s">
        <v>1209</v>
      </c>
      <c r="F5" s="104" t="s">
        <v>1210</v>
      </c>
      <c r="G5" s="104" t="s">
        <v>1211</v>
      </c>
      <c r="H5" s="104" t="s">
        <v>1212</v>
      </c>
      <c r="I5" s="104" t="s">
        <v>1213</v>
      </c>
      <c r="J5" s="104" t="s">
        <v>1214</v>
      </c>
      <c r="K5" s="104" t="s">
        <v>1215</v>
      </c>
      <c r="L5" s="104" t="s">
        <v>1216</v>
      </c>
      <c r="M5" s="104" t="s">
        <v>1217</v>
      </c>
      <c r="N5" s="104" t="s">
        <v>1218</v>
      </c>
      <c r="O5" s="104" t="s">
        <v>1219</v>
      </c>
      <c r="P5" s="104" t="s">
        <v>1220</v>
      </c>
      <c r="Q5" s="104" t="s">
        <v>1221</v>
      </c>
      <c r="R5" s="104" t="s">
        <v>1222</v>
      </c>
      <c r="S5" s="104" t="s">
        <v>1223</v>
      </c>
      <c r="T5" s="104" t="s">
        <v>1224</v>
      </c>
      <c r="U5" s="104" t="s">
        <v>1225</v>
      </c>
      <c r="V5" s="103"/>
      <c r="W5" s="96"/>
      <c r="X5" s="96"/>
    </row>
    <row r="6" spans="1:24" x14ac:dyDescent="0.3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3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664</v>
      </c>
      <c r="D5" s="23" t="s">
        <v>642</v>
      </c>
      <c r="E5" s="23" t="s">
        <v>641</v>
      </c>
      <c r="F5" s="23" t="s">
        <v>640</v>
      </c>
      <c r="G5" s="1"/>
      <c r="H5" s="6"/>
      <c r="I5" s="1"/>
      <c r="J5" s="1"/>
    </row>
    <row r="6" spans="1:10" x14ac:dyDescent="0.35">
      <c r="A6" s="1"/>
      <c r="B6" s="5"/>
      <c r="C6" s="25" t="s">
        <v>665</v>
      </c>
      <c r="D6" s="50">
        <v>3377569.775138</v>
      </c>
      <c r="E6" s="50">
        <v>3206840790000</v>
      </c>
      <c r="F6" s="50">
        <v>60</v>
      </c>
      <c r="G6" s="1"/>
      <c r="H6" s="6"/>
      <c r="I6" s="1"/>
      <c r="J6" s="1"/>
    </row>
    <row r="7" spans="1:10" x14ac:dyDescent="0.35">
      <c r="A7" s="1"/>
      <c r="B7" s="5"/>
      <c r="C7" s="25" t="s">
        <v>666</v>
      </c>
      <c r="D7" s="50">
        <v>4452912.1856169999</v>
      </c>
      <c r="E7" s="50">
        <v>3303215700000</v>
      </c>
      <c r="F7" s="50">
        <v>117</v>
      </c>
      <c r="G7" s="1"/>
      <c r="H7" s="6"/>
      <c r="I7" s="1"/>
      <c r="J7" s="1"/>
    </row>
    <row r="8" spans="1:10" x14ac:dyDescent="0.35">
      <c r="A8" s="1"/>
      <c r="B8" s="5"/>
      <c r="C8" s="25" t="s">
        <v>667</v>
      </c>
      <c r="D8" s="50">
        <v>159886.64016400001</v>
      </c>
      <c r="E8" s="50">
        <v>116449623000</v>
      </c>
      <c r="F8" s="50">
        <v>13</v>
      </c>
      <c r="G8" s="1"/>
      <c r="H8" s="6"/>
      <c r="I8" s="1"/>
      <c r="J8" s="1"/>
    </row>
    <row r="9" spans="1:10" x14ac:dyDescent="0.35">
      <c r="A9" s="1"/>
      <c r="B9" s="5"/>
      <c r="C9" s="25" t="s">
        <v>668</v>
      </c>
      <c r="D9" s="50">
        <v>9283.8989999999994</v>
      </c>
      <c r="E9" s="50">
        <v>10000000000</v>
      </c>
      <c r="F9" s="50">
        <v>7</v>
      </c>
      <c r="G9" s="1"/>
      <c r="H9" s="6"/>
      <c r="I9" s="1"/>
      <c r="J9" s="1"/>
    </row>
    <row r="10" spans="1:10" x14ac:dyDescent="0.35">
      <c r="A10" s="1"/>
      <c r="B10" s="5"/>
      <c r="C10" s="25" t="s">
        <v>669</v>
      </c>
      <c r="D10" s="50">
        <v>14090.830163000001</v>
      </c>
      <c r="E10" s="50">
        <v>30000000</v>
      </c>
      <c r="F10" s="50">
        <v>1</v>
      </c>
      <c r="G10" s="1"/>
      <c r="H10" s="6"/>
      <c r="I10" s="1"/>
      <c r="J10" s="1"/>
    </row>
    <row r="11" spans="1:10" x14ac:dyDescent="0.35">
      <c r="A11" s="1"/>
      <c r="B11" s="5"/>
      <c r="C11" s="25" t="s">
        <v>670</v>
      </c>
      <c r="D11" s="50">
        <v>25079.924167000001</v>
      </c>
      <c r="E11" s="50">
        <v>24706646000</v>
      </c>
      <c r="F11" s="50">
        <v>19</v>
      </c>
      <c r="G11" s="1"/>
      <c r="H11" s="6"/>
      <c r="I11" s="1"/>
      <c r="J11" s="1"/>
    </row>
    <row r="12" spans="1:10" x14ac:dyDescent="0.35">
      <c r="A12" s="1"/>
      <c r="B12" s="5"/>
      <c r="C12" s="25" t="s">
        <v>671</v>
      </c>
      <c r="D12" s="50">
        <v>135500</v>
      </c>
      <c r="E12" s="50">
        <v>135500000000</v>
      </c>
      <c r="F12" s="50">
        <v>6</v>
      </c>
      <c r="G12" s="1"/>
      <c r="H12" s="6"/>
      <c r="I12" s="1"/>
      <c r="J12" s="1"/>
    </row>
    <row r="13" spans="1:10" x14ac:dyDescent="0.35">
      <c r="A13" s="1"/>
      <c r="B13" s="5"/>
      <c r="C13" s="25" t="s">
        <v>672</v>
      </c>
      <c r="D13" s="50">
        <v>154024.17856</v>
      </c>
      <c r="E13" s="50">
        <v>152944465000</v>
      </c>
      <c r="F13" s="50">
        <v>71</v>
      </c>
      <c r="G13" s="1"/>
      <c r="H13" s="6"/>
      <c r="I13" s="1"/>
      <c r="J13" s="1"/>
    </row>
    <row r="14" spans="1:10" x14ac:dyDescent="0.35">
      <c r="A14" s="1"/>
      <c r="B14" s="5"/>
      <c r="C14" s="25" t="s">
        <v>673</v>
      </c>
      <c r="D14" s="50">
        <v>900818.48244399996</v>
      </c>
      <c r="E14" s="50">
        <v>900818482444</v>
      </c>
      <c r="F14" s="50">
        <v>131</v>
      </c>
      <c r="G14" s="1"/>
      <c r="H14" s="6"/>
      <c r="I14" s="1"/>
      <c r="J14" s="1"/>
    </row>
    <row r="15" spans="1:10" x14ac:dyDescent="0.35">
      <c r="A15" s="1"/>
      <c r="B15" s="9"/>
      <c r="C15" s="25" t="s">
        <v>674</v>
      </c>
      <c r="D15" s="50">
        <v>4380160.4197279997</v>
      </c>
      <c r="E15" s="50">
        <v>3838622603439</v>
      </c>
      <c r="F15" s="50">
        <v>656</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8"/>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675</v>
      </c>
      <c r="E5" s="23" t="s">
        <v>676</v>
      </c>
      <c r="F5" s="23" t="s">
        <v>677</v>
      </c>
      <c r="G5" s="23" t="s">
        <v>678</v>
      </c>
      <c r="H5" s="74" t="s">
        <v>679</v>
      </c>
      <c r="I5" s="76"/>
      <c r="J5" s="23" t="s">
        <v>680</v>
      </c>
      <c r="K5" s="23" t="s">
        <v>681</v>
      </c>
      <c r="L5" s="23" t="s">
        <v>682</v>
      </c>
      <c r="M5" s="23" t="s">
        <v>683</v>
      </c>
      <c r="N5" s="23" t="s">
        <v>641</v>
      </c>
      <c r="O5" s="1"/>
      <c r="P5" s="1"/>
    </row>
    <row r="6" spans="1:16" x14ac:dyDescent="0.35">
      <c r="A6" s="1"/>
      <c r="B6" s="5"/>
      <c r="C6" s="25" t="s">
        <v>684</v>
      </c>
      <c r="D6" s="25" t="s">
        <v>259</v>
      </c>
      <c r="E6" s="25" t="s">
        <v>516</v>
      </c>
      <c r="F6" s="25" t="s">
        <v>685</v>
      </c>
      <c r="G6" s="25">
        <v>273</v>
      </c>
      <c r="H6" s="90" t="s">
        <v>686</v>
      </c>
      <c r="I6" s="76"/>
      <c r="J6" s="25">
        <v>11.9534</v>
      </c>
      <c r="K6" s="25" t="s">
        <v>687</v>
      </c>
      <c r="L6" s="25" t="s">
        <v>688</v>
      </c>
      <c r="M6" s="25">
        <v>100</v>
      </c>
      <c r="N6" s="25">
        <v>75000000000</v>
      </c>
      <c r="O6" s="1"/>
      <c r="P6" s="1"/>
    </row>
    <row r="7" spans="1:16" x14ac:dyDescent="0.35">
      <c r="A7" s="1"/>
      <c r="B7" s="5"/>
      <c r="C7" s="25" t="s">
        <v>684</v>
      </c>
      <c r="D7" s="25" t="s">
        <v>259</v>
      </c>
      <c r="E7" s="25" t="s">
        <v>516</v>
      </c>
      <c r="F7" s="25" t="s">
        <v>685</v>
      </c>
      <c r="G7" s="25">
        <v>273</v>
      </c>
      <c r="H7" s="90" t="s">
        <v>686</v>
      </c>
      <c r="I7" s="76"/>
      <c r="J7" s="25">
        <v>12.3142</v>
      </c>
      <c r="K7" s="25" t="s">
        <v>687</v>
      </c>
      <c r="L7" s="25" t="s">
        <v>689</v>
      </c>
      <c r="M7" s="25">
        <v>100</v>
      </c>
      <c r="N7" s="25">
        <v>1000000000</v>
      </c>
      <c r="O7" s="1"/>
      <c r="P7" s="1"/>
    </row>
    <row r="8" spans="1:16" x14ac:dyDescent="0.35">
      <c r="A8" s="1"/>
      <c r="B8" s="5"/>
      <c r="C8" s="25" t="s">
        <v>684</v>
      </c>
      <c r="D8" s="25" t="s">
        <v>259</v>
      </c>
      <c r="E8" s="25" t="s">
        <v>516</v>
      </c>
      <c r="F8" s="25" t="s">
        <v>690</v>
      </c>
      <c r="G8" s="25">
        <v>396</v>
      </c>
      <c r="H8" s="90" t="s">
        <v>686</v>
      </c>
      <c r="I8" s="76"/>
      <c r="J8" s="25">
        <v>12.7142</v>
      </c>
      <c r="K8" s="25" t="s">
        <v>687</v>
      </c>
      <c r="L8" s="25" t="s">
        <v>689</v>
      </c>
      <c r="M8" s="25">
        <v>100</v>
      </c>
      <c r="N8" s="25">
        <v>4800000000</v>
      </c>
      <c r="O8" s="1"/>
      <c r="P8" s="1"/>
    </row>
    <row r="9" spans="1:16" x14ac:dyDescent="0.35">
      <c r="A9" s="1"/>
      <c r="B9" s="5"/>
      <c r="C9" s="25" t="s">
        <v>684</v>
      </c>
      <c r="D9" s="25" t="s">
        <v>259</v>
      </c>
      <c r="E9" s="25" t="s">
        <v>516</v>
      </c>
      <c r="F9" s="25" t="s">
        <v>691</v>
      </c>
      <c r="G9" s="25">
        <v>457</v>
      </c>
      <c r="H9" s="90" t="s">
        <v>686</v>
      </c>
      <c r="I9" s="76"/>
      <c r="J9" s="25">
        <v>12.0907</v>
      </c>
      <c r="K9" s="25" t="s">
        <v>687</v>
      </c>
      <c r="L9" s="25" t="s">
        <v>688</v>
      </c>
      <c r="M9" s="25">
        <v>100</v>
      </c>
      <c r="N9" s="25">
        <v>20000000000</v>
      </c>
      <c r="O9" s="1"/>
      <c r="P9" s="1"/>
    </row>
    <row r="10" spans="1:16" x14ac:dyDescent="0.35">
      <c r="A10" s="1"/>
      <c r="B10" s="5"/>
      <c r="C10" s="25" t="s">
        <v>684</v>
      </c>
      <c r="D10" s="25" t="s">
        <v>259</v>
      </c>
      <c r="E10" s="25" t="s">
        <v>516</v>
      </c>
      <c r="F10" s="25" t="s">
        <v>692</v>
      </c>
      <c r="G10" s="25">
        <v>549</v>
      </c>
      <c r="H10" s="90" t="s">
        <v>686</v>
      </c>
      <c r="I10" s="76"/>
      <c r="J10" s="25">
        <v>12.1364</v>
      </c>
      <c r="K10" s="25" t="s">
        <v>687</v>
      </c>
      <c r="L10" s="25" t="s">
        <v>688</v>
      </c>
      <c r="M10" s="25">
        <v>100</v>
      </c>
      <c r="N10" s="25">
        <v>4122000000</v>
      </c>
      <c r="O10" s="1"/>
      <c r="P10" s="1"/>
    </row>
    <row r="11" spans="1:16" x14ac:dyDescent="0.35">
      <c r="A11" s="1"/>
      <c r="B11" s="5"/>
      <c r="C11" s="25" t="s">
        <v>684</v>
      </c>
      <c r="D11" s="25" t="s">
        <v>259</v>
      </c>
      <c r="E11" s="25" t="s">
        <v>516</v>
      </c>
      <c r="F11" s="25" t="s">
        <v>692</v>
      </c>
      <c r="G11" s="25">
        <v>549</v>
      </c>
      <c r="H11" s="90" t="s">
        <v>686</v>
      </c>
      <c r="I11" s="76"/>
      <c r="J11" s="25">
        <v>12.1821</v>
      </c>
      <c r="K11" s="25" t="s">
        <v>687</v>
      </c>
      <c r="L11" s="25" t="s">
        <v>688</v>
      </c>
      <c r="M11" s="25">
        <v>100</v>
      </c>
      <c r="N11" s="25">
        <v>29000000000</v>
      </c>
      <c r="O11" s="1"/>
      <c r="P11" s="1"/>
    </row>
    <row r="12" spans="1:16" x14ac:dyDescent="0.35">
      <c r="A12" s="1"/>
      <c r="B12" s="5"/>
      <c r="C12" s="25" t="s">
        <v>684</v>
      </c>
      <c r="D12" s="25" t="s">
        <v>259</v>
      </c>
      <c r="E12" s="25" t="s">
        <v>516</v>
      </c>
      <c r="F12" s="25" t="s">
        <v>693</v>
      </c>
      <c r="G12" s="25">
        <v>731</v>
      </c>
      <c r="H12" s="90" t="s">
        <v>686</v>
      </c>
      <c r="I12" s="76"/>
      <c r="J12" s="25">
        <v>12.1364</v>
      </c>
      <c r="K12" s="25" t="s">
        <v>687</v>
      </c>
      <c r="L12" s="25" t="s">
        <v>688</v>
      </c>
      <c r="M12" s="25">
        <v>100</v>
      </c>
      <c r="N12" s="25">
        <v>64580000000</v>
      </c>
      <c r="O12" s="1"/>
      <c r="P12" s="1"/>
    </row>
    <row r="13" spans="1:16" x14ac:dyDescent="0.35">
      <c r="A13" s="1"/>
      <c r="B13" s="5"/>
      <c r="C13" s="25" t="s">
        <v>684</v>
      </c>
      <c r="D13" s="25" t="s">
        <v>259</v>
      </c>
      <c r="E13" s="25" t="s">
        <v>516</v>
      </c>
      <c r="F13" s="25" t="s">
        <v>693</v>
      </c>
      <c r="G13" s="25">
        <v>731</v>
      </c>
      <c r="H13" s="90" t="s">
        <v>686</v>
      </c>
      <c r="I13" s="76"/>
      <c r="J13" s="25">
        <v>12.1821</v>
      </c>
      <c r="K13" s="25" t="s">
        <v>687</v>
      </c>
      <c r="L13" s="25" t="s">
        <v>688</v>
      </c>
      <c r="M13" s="25">
        <v>100</v>
      </c>
      <c r="N13" s="25">
        <v>5000000000</v>
      </c>
      <c r="O13" s="1"/>
      <c r="P13" s="1"/>
    </row>
    <row r="14" spans="1:16" x14ac:dyDescent="0.35">
      <c r="A14" s="1"/>
      <c r="B14" s="5"/>
      <c r="C14" s="25" t="s">
        <v>694</v>
      </c>
      <c r="D14" s="25" t="s">
        <v>259</v>
      </c>
      <c r="E14" s="25" t="s">
        <v>516</v>
      </c>
      <c r="F14" s="25" t="s">
        <v>685</v>
      </c>
      <c r="G14" s="25">
        <v>273</v>
      </c>
      <c r="H14" s="90" t="s">
        <v>686</v>
      </c>
      <c r="I14" s="76"/>
      <c r="J14" s="25">
        <v>11.9534</v>
      </c>
      <c r="K14" s="25" t="s">
        <v>687</v>
      </c>
      <c r="L14" s="25" t="s">
        <v>688</v>
      </c>
      <c r="M14" s="25">
        <v>100</v>
      </c>
      <c r="N14" s="25">
        <v>35000000000</v>
      </c>
      <c r="O14" s="1"/>
      <c r="P14" s="1"/>
    </row>
    <row r="15" spans="1:16" x14ac:dyDescent="0.35">
      <c r="A15" s="1"/>
      <c r="B15" s="5"/>
      <c r="C15" s="25" t="s">
        <v>694</v>
      </c>
      <c r="D15" s="25" t="s">
        <v>259</v>
      </c>
      <c r="E15" s="25" t="s">
        <v>516</v>
      </c>
      <c r="F15" s="25" t="s">
        <v>693</v>
      </c>
      <c r="G15" s="25">
        <v>731</v>
      </c>
      <c r="H15" s="90" t="s">
        <v>686</v>
      </c>
      <c r="I15" s="76"/>
      <c r="J15" s="25">
        <v>12.1364</v>
      </c>
      <c r="K15" s="25" t="s">
        <v>687</v>
      </c>
      <c r="L15" s="25" t="s">
        <v>688</v>
      </c>
      <c r="M15" s="25">
        <v>100</v>
      </c>
      <c r="N15" s="25">
        <v>100500000000</v>
      </c>
      <c r="O15" s="1"/>
      <c r="P15" s="1"/>
    </row>
    <row r="16" spans="1:16" x14ac:dyDescent="0.35">
      <c r="A16" s="1"/>
      <c r="B16" s="5"/>
      <c r="C16" s="25" t="s">
        <v>695</v>
      </c>
      <c r="D16" s="25" t="s">
        <v>696</v>
      </c>
      <c r="E16" s="25" t="s">
        <v>516</v>
      </c>
      <c r="F16" s="25" t="s">
        <v>697</v>
      </c>
      <c r="G16" s="25">
        <v>365</v>
      </c>
      <c r="H16" s="90" t="s">
        <v>686</v>
      </c>
      <c r="I16" s="76"/>
      <c r="J16" s="25">
        <v>12.135999999999999</v>
      </c>
      <c r="K16" s="25" t="s">
        <v>687</v>
      </c>
      <c r="L16" s="25" t="s">
        <v>688</v>
      </c>
      <c r="M16" s="25">
        <v>100</v>
      </c>
      <c r="N16" s="25">
        <v>249000000000</v>
      </c>
      <c r="O16" s="1"/>
      <c r="P16" s="1"/>
    </row>
    <row r="17" spans="1:16" x14ac:dyDescent="0.35">
      <c r="A17" s="1"/>
      <c r="B17" s="5"/>
      <c r="C17" s="25" t="s">
        <v>698</v>
      </c>
      <c r="D17" s="25" t="s">
        <v>699</v>
      </c>
      <c r="E17" s="25" t="s">
        <v>516</v>
      </c>
      <c r="F17" s="25" t="s">
        <v>691</v>
      </c>
      <c r="G17" s="25">
        <v>457</v>
      </c>
      <c r="H17" s="90" t="s">
        <v>700</v>
      </c>
      <c r="I17" s="76"/>
      <c r="J17" s="25">
        <v>0.7</v>
      </c>
      <c r="K17" s="25" t="s">
        <v>687</v>
      </c>
      <c r="L17" s="25" t="s">
        <v>701</v>
      </c>
      <c r="M17" s="25">
        <v>100</v>
      </c>
      <c r="N17" s="25">
        <v>1020000000</v>
      </c>
      <c r="O17" s="1"/>
      <c r="P17" s="1"/>
    </row>
    <row r="18" spans="1:16" x14ac:dyDescent="0.35">
      <c r="A18" s="1"/>
      <c r="B18" s="5"/>
      <c r="C18" s="25" t="s">
        <v>702</v>
      </c>
      <c r="D18" s="25" t="s">
        <v>699</v>
      </c>
      <c r="E18" s="25" t="s">
        <v>516</v>
      </c>
      <c r="F18" s="25" t="s">
        <v>691</v>
      </c>
      <c r="G18" s="25">
        <v>457</v>
      </c>
      <c r="H18" s="90" t="s">
        <v>686</v>
      </c>
      <c r="I18" s="76"/>
      <c r="J18" s="25">
        <v>12.1821</v>
      </c>
      <c r="K18" s="25" t="s">
        <v>687</v>
      </c>
      <c r="L18" s="25" t="s">
        <v>688</v>
      </c>
      <c r="M18" s="25">
        <v>100</v>
      </c>
      <c r="N18" s="25">
        <v>21000000000</v>
      </c>
      <c r="O18" s="1"/>
      <c r="P18" s="1"/>
    </row>
    <row r="19" spans="1:16" x14ac:dyDescent="0.35">
      <c r="A19" s="1"/>
      <c r="B19" s="5"/>
      <c r="C19" s="25" t="s">
        <v>703</v>
      </c>
      <c r="D19" s="25" t="s">
        <v>318</v>
      </c>
      <c r="E19" s="25" t="s">
        <v>516</v>
      </c>
      <c r="F19" s="25" t="s">
        <v>692</v>
      </c>
      <c r="G19" s="25">
        <v>549</v>
      </c>
      <c r="H19" s="90" t="s">
        <v>686</v>
      </c>
      <c r="I19" s="76"/>
      <c r="J19" s="25">
        <v>12.1821</v>
      </c>
      <c r="K19" s="25" t="s">
        <v>687</v>
      </c>
      <c r="L19" s="25" t="s">
        <v>688</v>
      </c>
      <c r="M19" s="25">
        <v>100</v>
      </c>
      <c r="N19" s="25">
        <v>34500000000</v>
      </c>
      <c r="O19" s="1"/>
      <c r="P19" s="1"/>
    </row>
    <row r="20" spans="1:16" x14ac:dyDescent="0.35">
      <c r="A20" s="1"/>
      <c r="B20" s="5"/>
      <c r="C20" s="25" t="s">
        <v>704</v>
      </c>
      <c r="D20" s="25" t="s">
        <v>600</v>
      </c>
      <c r="E20" s="25" t="s">
        <v>516</v>
      </c>
      <c r="F20" s="25" t="s">
        <v>685</v>
      </c>
      <c r="G20" s="25">
        <v>273</v>
      </c>
      <c r="H20" s="90" t="s">
        <v>686</v>
      </c>
      <c r="I20" s="76"/>
      <c r="J20" s="25">
        <v>11.9534</v>
      </c>
      <c r="K20" s="25" t="s">
        <v>687</v>
      </c>
      <c r="L20" s="25" t="s">
        <v>688</v>
      </c>
      <c r="M20" s="25">
        <v>100</v>
      </c>
      <c r="N20" s="25">
        <v>18000000000</v>
      </c>
      <c r="O20" s="1"/>
      <c r="P20" s="1"/>
    </row>
    <row r="21" spans="1:16" x14ac:dyDescent="0.35">
      <c r="A21" s="1"/>
      <c r="B21" s="5"/>
      <c r="C21" s="25" t="s">
        <v>704</v>
      </c>
      <c r="D21" s="25" t="s">
        <v>600</v>
      </c>
      <c r="E21" s="25" t="s">
        <v>516</v>
      </c>
      <c r="F21" s="25" t="s">
        <v>697</v>
      </c>
      <c r="G21" s="25">
        <v>365</v>
      </c>
      <c r="H21" s="90" t="s">
        <v>686</v>
      </c>
      <c r="I21" s="76"/>
      <c r="J21" s="25">
        <v>12.1364</v>
      </c>
      <c r="K21" s="25" t="s">
        <v>687</v>
      </c>
      <c r="L21" s="25" t="s">
        <v>688</v>
      </c>
      <c r="M21" s="25">
        <v>100</v>
      </c>
      <c r="N21" s="25">
        <v>10000000000</v>
      </c>
      <c r="O21" s="1"/>
      <c r="P21" s="1"/>
    </row>
    <row r="22" spans="1:16" x14ac:dyDescent="0.35">
      <c r="A22" s="1"/>
      <c r="B22" s="5"/>
      <c r="C22" s="25" t="s">
        <v>704</v>
      </c>
      <c r="D22" s="25" t="s">
        <v>600</v>
      </c>
      <c r="E22" s="25" t="s">
        <v>516</v>
      </c>
      <c r="F22" s="25" t="s">
        <v>692</v>
      </c>
      <c r="G22" s="25">
        <v>549</v>
      </c>
      <c r="H22" s="90" t="s">
        <v>686</v>
      </c>
      <c r="I22" s="76"/>
      <c r="J22" s="25">
        <v>12.2278</v>
      </c>
      <c r="K22" s="25" t="s">
        <v>687</v>
      </c>
      <c r="L22" s="25" t="s">
        <v>688</v>
      </c>
      <c r="M22" s="25">
        <v>100</v>
      </c>
      <c r="N22" s="25">
        <v>500000000</v>
      </c>
      <c r="O22" s="1"/>
      <c r="P22" s="1"/>
    </row>
    <row r="23" spans="1:16" x14ac:dyDescent="0.35">
      <c r="A23" s="1"/>
      <c r="B23" s="5"/>
      <c r="C23" s="25" t="s">
        <v>705</v>
      </c>
      <c r="D23" s="25" t="s">
        <v>706</v>
      </c>
      <c r="E23" s="25" t="s">
        <v>516</v>
      </c>
      <c r="F23" s="25" t="s">
        <v>692</v>
      </c>
      <c r="G23" s="25">
        <v>549</v>
      </c>
      <c r="H23" s="90" t="s">
        <v>700</v>
      </c>
      <c r="I23" s="76"/>
      <c r="J23" s="25">
        <v>0.9</v>
      </c>
      <c r="K23" s="25" t="s">
        <v>687</v>
      </c>
      <c r="L23" s="25" t="s">
        <v>701</v>
      </c>
      <c r="M23" s="25">
        <v>100</v>
      </c>
      <c r="N23" s="25">
        <v>30000000000</v>
      </c>
      <c r="O23" s="1"/>
      <c r="P23" s="1"/>
    </row>
    <row r="24" spans="1:16" x14ac:dyDescent="0.35">
      <c r="A24" s="1"/>
      <c r="B24" s="5"/>
      <c r="C24" s="25" t="s">
        <v>707</v>
      </c>
      <c r="D24" s="25" t="s">
        <v>708</v>
      </c>
      <c r="E24" s="25" t="s">
        <v>516</v>
      </c>
      <c r="F24" s="25" t="s">
        <v>697</v>
      </c>
      <c r="G24" s="25">
        <v>365</v>
      </c>
      <c r="H24" s="90" t="s">
        <v>686</v>
      </c>
      <c r="I24" s="76"/>
      <c r="J24" s="25">
        <v>12.1364</v>
      </c>
      <c r="K24" s="25" t="s">
        <v>687</v>
      </c>
      <c r="L24" s="25" t="s">
        <v>688</v>
      </c>
      <c r="M24" s="25">
        <v>100</v>
      </c>
      <c r="N24" s="25">
        <v>10500000000</v>
      </c>
      <c r="O24" s="1"/>
      <c r="P24" s="1"/>
    </row>
    <row r="25" spans="1:16" x14ac:dyDescent="0.35">
      <c r="A25" s="1"/>
      <c r="B25" s="5"/>
      <c r="C25" s="25" t="s">
        <v>707</v>
      </c>
      <c r="D25" s="25" t="s">
        <v>708</v>
      </c>
      <c r="E25" s="25" t="s">
        <v>516</v>
      </c>
      <c r="F25" s="25" t="s">
        <v>709</v>
      </c>
      <c r="G25" s="25">
        <v>915</v>
      </c>
      <c r="H25" s="90" t="s">
        <v>686</v>
      </c>
      <c r="I25" s="76"/>
      <c r="J25" s="25">
        <v>12.1821</v>
      </c>
      <c r="K25" s="25" t="s">
        <v>687</v>
      </c>
      <c r="L25" s="25" t="s">
        <v>688</v>
      </c>
      <c r="M25" s="25">
        <v>100</v>
      </c>
      <c r="N25" s="25">
        <v>160000000000</v>
      </c>
      <c r="O25" s="1"/>
      <c r="P25" s="1"/>
    </row>
    <row r="26" spans="1:16" x14ac:dyDescent="0.35">
      <c r="A26" s="1"/>
      <c r="B26" s="5"/>
      <c r="C26" s="25" t="s">
        <v>710</v>
      </c>
      <c r="D26" s="25" t="s">
        <v>711</v>
      </c>
      <c r="E26" s="25" t="s">
        <v>516</v>
      </c>
      <c r="F26" s="25" t="s">
        <v>697</v>
      </c>
      <c r="G26" s="25">
        <v>365</v>
      </c>
      <c r="H26" s="90" t="s">
        <v>686</v>
      </c>
      <c r="I26" s="76"/>
      <c r="J26" s="25">
        <v>12.6838</v>
      </c>
      <c r="K26" s="25" t="s">
        <v>687</v>
      </c>
      <c r="L26" s="25" t="s">
        <v>688</v>
      </c>
      <c r="M26" s="25">
        <v>100</v>
      </c>
      <c r="N26" s="25">
        <v>191000000</v>
      </c>
      <c r="O26" s="1"/>
      <c r="P26" s="1"/>
    </row>
    <row r="27" spans="1:16" x14ac:dyDescent="0.35">
      <c r="A27" s="1"/>
      <c r="B27" s="5"/>
      <c r="C27" s="25" t="s">
        <v>712</v>
      </c>
      <c r="D27" s="25" t="s">
        <v>327</v>
      </c>
      <c r="E27" s="25" t="s">
        <v>516</v>
      </c>
      <c r="F27" s="25" t="s">
        <v>713</v>
      </c>
      <c r="G27" s="25">
        <v>184</v>
      </c>
      <c r="H27" s="90" t="s">
        <v>686</v>
      </c>
      <c r="I27" s="76"/>
      <c r="J27" s="25">
        <v>11.0924</v>
      </c>
      <c r="K27" s="25" t="s">
        <v>687</v>
      </c>
      <c r="L27" s="25" t="s">
        <v>689</v>
      </c>
      <c r="M27" s="25">
        <v>100</v>
      </c>
      <c r="N27" s="25">
        <v>120000000</v>
      </c>
      <c r="O27" s="1"/>
      <c r="P27" s="1"/>
    </row>
    <row r="28" spans="1:16" x14ac:dyDescent="0.35">
      <c r="A28" s="1"/>
      <c r="B28" s="5"/>
      <c r="C28" s="25" t="s">
        <v>712</v>
      </c>
      <c r="D28" s="25" t="s">
        <v>327</v>
      </c>
      <c r="E28" s="25" t="s">
        <v>516</v>
      </c>
      <c r="F28" s="25" t="s">
        <v>713</v>
      </c>
      <c r="G28" s="25">
        <v>184</v>
      </c>
      <c r="H28" s="90" t="s">
        <v>686</v>
      </c>
      <c r="I28" s="76"/>
      <c r="J28" s="25">
        <v>11.5656</v>
      </c>
      <c r="K28" s="25" t="s">
        <v>687</v>
      </c>
      <c r="L28" s="25" t="s">
        <v>689</v>
      </c>
      <c r="M28" s="25">
        <v>100</v>
      </c>
      <c r="N28" s="25">
        <v>9475000000</v>
      </c>
      <c r="O28" s="1"/>
      <c r="P28" s="1"/>
    </row>
    <row r="29" spans="1:16" x14ac:dyDescent="0.35">
      <c r="A29" s="1"/>
      <c r="B29" s="5"/>
      <c r="C29" s="25" t="s">
        <v>712</v>
      </c>
      <c r="D29" s="25" t="s">
        <v>327</v>
      </c>
      <c r="E29" s="25" t="s">
        <v>516</v>
      </c>
      <c r="F29" s="25" t="s">
        <v>714</v>
      </c>
      <c r="G29" s="25">
        <v>304</v>
      </c>
      <c r="H29" s="90" t="s">
        <v>686</v>
      </c>
      <c r="I29" s="76"/>
      <c r="J29" s="25">
        <v>12.3757</v>
      </c>
      <c r="K29" s="25" t="s">
        <v>687</v>
      </c>
      <c r="L29" s="25" t="s">
        <v>689</v>
      </c>
      <c r="M29" s="25">
        <v>100</v>
      </c>
      <c r="N29" s="25">
        <v>500000000</v>
      </c>
      <c r="O29" s="1"/>
      <c r="P29" s="1"/>
    </row>
    <row r="30" spans="1:16" x14ac:dyDescent="0.35">
      <c r="A30" s="1"/>
      <c r="B30" s="5"/>
      <c r="C30" s="25" t="s">
        <v>712</v>
      </c>
      <c r="D30" s="25" t="s">
        <v>327</v>
      </c>
      <c r="E30" s="25" t="s">
        <v>516</v>
      </c>
      <c r="F30" s="25" t="s">
        <v>697</v>
      </c>
      <c r="G30" s="25">
        <v>365</v>
      </c>
      <c r="H30" s="90" t="s">
        <v>686</v>
      </c>
      <c r="I30" s="76"/>
      <c r="J30" s="25">
        <v>11.5</v>
      </c>
      <c r="K30" s="25" t="s">
        <v>687</v>
      </c>
      <c r="L30" s="25" t="s">
        <v>689</v>
      </c>
      <c r="M30" s="25">
        <v>100</v>
      </c>
      <c r="N30" s="25">
        <v>200000000</v>
      </c>
      <c r="O30" s="1"/>
      <c r="P30" s="1"/>
    </row>
    <row r="31" spans="1:16" x14ac:dyDescent="0.35">
      <c r="A31" s="1"/>
      <c r="B31" s="5"/>
      <c r="C31" s="25" t="s">
        <v>712</v>
      </c>
      <c r="D31" s="25" t="s">
        <v>327</v>
      </c>
      <c r="E31" s="25" t="s">
        <v>516</v>
      </c>
      <c r="F31" s="25" t="s">
        <v>697</v>
      </c>
      <c r="G31" s="25">
        <v>365</v>
      </c>
      <c r="H31" s="90" t="s">
        <v>686</v>
      </c>
      <c r="I31" s="76"/>
      <c r="J31" s="25">
        <v>11.9992</v>
      </c>
      <c r="K31" s="25" t="s">
        <v>687</v>
      </c>
      <c r="L31" s="25" t="s">
        <v>688</v>
      </c>
      <c r="M31" s="25">
        <v>100</v>
      </c>
      <c r="N31" s="25">
        <v>4905000000</v>
      </c>
      <c r="O31" s="1"/>
      <c r="P31" s="1"/>
    </row>
    <row r="32" spans="1:16" x14ac:dyDescent="0.35">
      <c r="A32" s="1"/>
      <c r="B32" s="5"/>
      <c r="C32" s="25" t="s">
        <v>712</v>
      </c>
      <c r="D32" s="25" t="s">
        <v>327</v>
      </c>
      <c r="E32" s="25" t="s">
        <v>516</v>
      </c>
      <c r="F32" s="25" t="s">
        <v>697</v>
      </c>
      <c r="G32" s="25">
        <v>365</v>
      </c>
      <c r="H32" s="90" t="s">
        <v>686</v>
      </c>
      <c r="I32" s="76"/>
      <c r="J32" s="25">
        <v>12</v>
      </c>
      <c r="K32" s="25" t="s">
        <v>687</v>
      </c>
      <c r="L32" s="25" t="s">
        <v>689</v>
      </c>
      <c r="M32" s="25">
        <v>100</v>
      </c>
      <c r="N32" s="25">
        <v>167000000</v>
      </c>
      <c r="O32" s="1"/>
      <c r="P32" s="1"/>
    </row>
    <row r="33" spans="1:16" x14ac:dyDescent="0.35">
      <c r="A33" s="1"/>
      <c r="B33" s="5"/>
      <c r="C33" s="25" t="s">
        <v>712</v>
      </c>
      <c r="D33" s="25" t="s">
        <v>327</v>
      </c>
      <c r="E33" s="25" t="s">
        <v>516</v>
      </c>
      <c r="F33" s="25" t="s">
        <v>697</v>
      </c>
      <c r="G33" s="25">
        <v>365</v>
      </c>
      <c r="H33" s="90" t="s">
        <v>686</v>
      </c>
      <c r="I33" s="76"/>
      <c r="J33" s="25">
        <v>12.1364</v>
      </c>
      <c r="K33" s="25" t="s">
        <v>687</v>
      </c>
      <c r="L33" s="25" t="s">
        <v>688</v>
      </c>
      <c r="M33" s="25">
        <v>100</v>
      </c>
      <c r="N33" s="25">
        <v>52974813</v>
      </c>
      <c r="O33" s="1"/>
      <c r="P33" s="1"/>
    </row>
    <row r="34" spans="1:16" x14ac:dyDescent="0.35">
      <c r="A34" s="1"/>
      <c r="B34" s="5"/>
      <c r="C34" s="25" t="s">
        <v>712</v>
      </c>
      <c r="D34" s="25" t="s">
        <v>327</v>
      </c>
      <c r="E34" s="25" t="s">
        <v>516</v>
      </c>
      <c r="F34" s="25" t="s">
        <v>697</v>
      </c>
      <c r="G34" s="25">
        <v>365</v>
      </c>
      <c r="H34" s="90" t="s">
        <v>686</v>
      </c>
      <c r="I34" s="76"/>
      <c r="J34" s="25">
        <v>12.4</v>
      </c>
      <c r="K34" s="25" t="s">
        <v>687</v>
      </c>
      <c r="L34" s="25" t="s">
        <v>689</v>
      </c>
      <c r="M34" s="25">
        <v>100</v>
      </c>
      <c r="N34" s="25">
        <v>230000000</v>
      </c>
      <c r="O34" s="1"/>
      <c r="P34" s="1"/>
    </row>
    <row r="35" spans="1:16" x14ac:dyDescent="0.35">
      <c r="A35" s="1"/>
      <c r="B35" s="5"/>
      <c r="C35" s="25" t="s">
        <v>712</v>
      </c>
      <c r="D35" s="25" t="s">
        <v>327</v>
      </c>
      <c r="E35" s="25" t="s">
        <v>516</v>
      </c>
      <c r="F35" s="25" t="s">
        <v>697</v>
      </c>
      <c r="G35" s="25">
        <v>365</v>
      </c>
      <c r="H35" s="90" t="s">
        <v>686</v>
      </c>
      <c r="I35" s="76"/>
      <c r="J35" s="25">
        <v>12.5</v>
      </c>
      <c r="K35" s="25" t="s">
        <v>687</v>
      </c>
      <c r="L35" s="25" t="s">
        <v>689</v>
      </c>
      <c r="M35" s="25">
        <v>100</v>
      </c>
      <c r="N35" s="25">
        <v>44000000</v>
      </c>
      <c r="O35" s="1"/>
      <c r="P35" s="1"/>
    </row>
    <row r="36" spans="1:16" x14ac:dyDescent="0.35">
      <c r="A36" s="1"/>
      <c r="B36" s="5"/>
      <c r="C36" s="25" t="s">
        <v>712</v>
      </c>
      <c r="D36" s="25" t="s">
        <v>327</v>
      </c>
      <c r="E36" s="25" t="s">
        <v>516</v>
      </c>
      <c r="F36" s="25" t="s">
        <v>697</v>
      </c>
      <c r="G36" s="25">
        <v>365</v>
      </c>
      <c r="H36" s="90" t="s">
        <v>686</v>
      </c>
      <c r="I36" s="76"/>
      <c r="J36" s="25">
        <v>12.55</v>
      </c>
      <c r="K36" s="25" t="s">
        <v>687</v>
      </c>
      <c r="L36" s="25" t="s">
        <v>689</v>
      </c>
      <c r="M36" s="25">
        <v>100</v>
      </c>
      <c r="N36" s="25">
        <v>1687000000</v>
      </c>
      <c r="O36" s="1"/>
      <c r="P36" s="1"/>
    </row>
    <row r="37" spans="1:16" x14ac:dyDescent="0.35">
      <c r="A37" s="1"/>
      <c r="B37" s="5"/>
      <c r="C37" s="25" t="s">
        <v>712</v>
      </c>
      <c r="D37" s="25" t="s">
        <v>327</v>
      </c>
      <c r="E37" s="25" t="s">
        <v>516</v>
      </c>
      <c r="F37" s="25" t="s">
        <v>692</v>
      </c>
      <c r="G37" s="25">
        <v>549</v>
      </c>
      <c r="H37" s="90" t="s">
        <v>686</v>
      </c>
      <c r="I37" s="76"/>
      <c r="J37" s="25">
        <v>12.1821</v>
      </c>
      <c r="K37" s="25" t="s">
        <v>687</v>
      </c>
      <c r="L37" s="25" t="s">
        <v>688</v>
      </c>
      <c r="M37" s="25">
        <v>100</v>
      </c>
      <c r="N37" s="25">
        <v>52000000000</v>
      </c>
      <c r="O37" s="1"/>
      <c r="P37" s="1"/>
    </row>
    <row r="38" spans="1:16" x14ac:dyDescent="0.35">
      <c r="A38" s="1"/>
      <c r="B38" s="5"/>
      <c r="C38" s="25" t="s">
        <v>712</v>
      </c>
      <c r="D38" s="25" t="s">
        <v>327</v>
      </c>
      <c r="E38" s="25" t="s">
        <v>516</v>
      </c>
      <c r="F38" s="25" t="s">
        <v>693</v>
      </c>
      <c r="G38" s="25">
        <v>731</v>
      </c>
      <c r="H38" s="90" t="s">
        <v>686</v>
      </c>
      <c r="I38" s="76"/>
      <c r="J38" s="25">
        <v>11.6785</v>
      </c>
      <c r="K38" s="25" t="s">
        <v>687</v>
      </c>
      <c r="L38" s="25" t="s">
        <v>688</v>
      </c>
      <c r="M38" s="25">
        <v>100</v>
      </c>
      <c r="N38" s="25">
        <v>200000000</v>
      </c>
      <c r="O38" s="1"/>
      <c r="P38" s="1"/>
    </row>
    <row r="39" spans="1:16" x14ac:dyDescent="0.35">
      <c r="A39" s="1"/>
      <c r="B39" s="5"/>
      <c r="C39" s="25" t="s">
        <v>712</v>
      </c>
      <c r="D39" s="25" t="s">
        <v>327</v>
      </c>
      <c r="E39" s="25" t="s">
        <v>516</v>
      </c>
      <c r="F39" s="25" t="s">
        <v>693</v>
      </c>
      <c r="G39" s="25">
        <v>731</v>
      </c>
      <c r="H39" s="90" t="s">
        <v>686</v>
      </c>
      <c r="I39" s="76"/>
      <c r="J39" s="25">
        <v>11.9534</v>
      </c>
      <c r="K39" s="25" t="s">
        <v>687</v>
      </c>
      <c r="L39" s="25" t="s">
        <v>688</v>
      </c>
      <c r="M39" s="25">
        <v>100</v>
      </c>
      <c r="N39" s="25">
        <v>280000000</v>
      </c>
      <c r="O39" s="1"/>
      <c r="P39" s="1"/>
    </row>
    <row r="40" spans="1:16" x14ac:dyDescent="0.35">
      <c r="A40" s="1"/>
      <c r="B40" s="5"/>
      <c r="C40" s="25" t="s">
        <v>712</v>
      </c>
      <c r="D40" s="25" t="s">
        <v>327</v>
      </c>
      <c r="E40" s="25" t="s">
        <v>516</v>
      </c>
      <c r="F40" s="25" t="s">
        <v>693</v>
      </c>
      <c r="G40" s="25">
        <v>731</v>
      </c>
      <c r="H40" s="90" t="s">
        <v>686</v>
      </c>
      <c r="I40" s="76"/>
      <c r="J40" s="25">
        <v>12.0449</v>
      </c>
      <c r="K40" s="25" t="s">
        <v>687</v>
      </c>
      <c r="L40" s="25" t="s">
        <v>688</v>
      </c>
      <c r="M40" s="25">
        <v>100</v>
      </c>
      <c r="N40" s="25">
        <v>768000000</v>
      </c>
      <c r="O40" s="1"/>
      <c r="P40" s="1"/>
    </row>
    <row r="41" spans="1:16" x14ac:dyDescent="0.35">
      <c r="A41" s="1"/>
      <c r="B41" s="5"/>
      <c r="C41" s="25" t="s">
        <v>712</v>
      </c>
      <c r="D41" s="25" t="s">
        <v>327</v>
      </c>
      <c r="E41" s="25" t="s">
        <v>516</v>
      </c>
      <c r="F41" s="25" t="s">
        <v>693</v>
      </c>
      <c r="G41" s="25">
        <v>731</v>
      </c>
      <c r="H41" s="90" t="s">
        <v>686</v>
      </c>
      <c r="I41" s="76"/>
      <c r="J41" s="25">
        <v>12.0907</v>
      </c>
      <c r="K41" s="25" t="s">
        <v>687</v>
      </c>
      <c r="L41" s="25" t="s">
        <v>688</v>
      </c>
      <c r="M41" s="25">
        <v>100</v>
      </c>
      <c r="N41" s="25">
        <v>11760000000</v>
      </c>
      <c r="O41" s="1"/>
      <c r="P41" s="1"/>
    </row>
    <row r="42" spans="1:16" x14ac:dyDescent="0.35">
      <c r="A42" s="1"/>
      <c r="B42" s="5"/>
      <c r="C42" s="25" t="s">
        <v>712</v>
      </c>
      <c r="D42" s="25" t="s">
        <v>327</v>
      </c>
      <c r="E42" s="25" t="s">
        <v>516</v>
      </c>
      <c r="F42" s="25" t="s">
        <v>693</v>
      </c>
      <c r="G42" s="25">
        <v>731</v>
      </c>
      <c r="H42" s="90" t="s">
        <v>686</v>
      </c>
      <c r="I42" s="76"/>
      <c r="J42" s="25">
        <v>12.2278</v>
      </c>
      <c r="K42" s="25" t="s">
        <v>687</v>
      </c>
      <c r="L42" s="25" t="s">
        <v>688</v>
      </c>
      <c r="M42" s="25">
        <v>100</v>
      </c>
      <c r="N42" s="25">
        <v>23500000000</v>
      </c>
      <c r="O42" s="1"/>
      <c r="P42" s="1"/>
    </row>
    <row r="43" spans="1:16" x14ac:dyDescent="0.35">
      <c r="A43" s="1"/>
      <c r="B43" s="5"/>
      <c r="C43" s="25" t="s">
        <v>712</v>
      </c>
      <c r="D43" s="25" t="s">
        <v>327</v>
      </c>
      <c r="E43" s="25" t="s">
        <v>516</v>
      </c>
      <c r="F43" s="25" t="s">
        <v>693</v>
      </c>
      <c r="G43" s="25">
        <v>731</v>
      </c>
      <c r="H43" s="90" t="s">
        <v>686</v>
      </c>
      <c r="I43" s="76"/>
      <c r="J43" s="25">
        <v>12.65</v>
      </c>
      <c r="K43" s="25" t="s">
        <v>687</v>
      </c>
      <c r="L43" s="25" t="s">
        <v>715</v>
      </c>
      <c r="M43" s="25">
        <v>100</v>
      </c>
      <c r="N43" s="25">
        <v>200000000</v>
      </c>
      <c r="O43" s="1"/>
      <c r="P43" s="1"/>
    </row>
    <row r="44" spans="1:16" x14ac:dyDescent="0.35">
      <c r="A44" s="1"/>
      <c r="B44" s="5"/>
      <c r="C44" s="25" t="s">
        <v>716</v>
      </c>
      <c r="D44" s="25" t="s">
        <v>717</v>
      </c>
      <c r="E44" s="25" t="s">
        <v>516</v>
      </c>
      <c r="F44" s="25" t="s">
        <v>697</v>
      </c>
      <c r="G44" s="25">
        <v>365</v>
      </c>
      <c r="H44" s="90" t="s">
        <v>686</v>
      </c>
      <c r="I44" s="76"/>
      <c r="J44" s="25">
        <v>12.2293</v>
      </c>
      <c r="K44" s="25" t="s">
        <v>687</v>
      </c>
      <c r="L44" s="25" t="s">
        <v>688</v>
      </c>
      <c r="M44" s="25">
        <v>100</v>
      </c>
      <c r="N44" s="25">
        <v>2740000000</v>
      </c>
      <c r="O44" s="1"/>
      <c r="P44" s="1"/>
    </row>
    <row r="45" spans="1:16" x14ac:dyDescent="0.35">
      <c r="A45" s="1"/>
      <c r="B45" s="5"/>
      <c r="C45" s="25" t="s">
        <v>716</v>
      </c>
      <c r="D45" s="25" t="s">
        <v>717</v>
      </c>
      <c r="E45" s="25" t="s">
        <v>516</v>
      </c>
      <c r="F45" s="25" t="s">
        <v>693</v>
      </c>
      <c r="G45" s="25">
        <v>731</v>
      </c>
      <c r="H45" s="90" t="s">
        <v>686</v>
      </c>
      <c r="I45" s="76"/>
      <c r="J45" s="25">
        <v>12.3207</v>
      </c>
      <c r="K45" s="25" t="s">
        <v>687</v>
      </c>
      <c r="L45" s="25" t="s">
        <v>688</v>
      </c>
      <c r="M45" s="25">
        <v>100</v>
      </c>
      <c r="N45" s="25">
        <v>4000000000</v>
      </c>
      <c r="O45" s="1"/>
      <c r="P45" s="1"/>
    </row>
    <row r="46" spans="1:16" x14ac:dyDescent="0.35">
      <c r="A46" s="1"/>
      <c r="B46" s="5"/>
      <c r="C46" s="25" t="s">
        <v>718</v>
      </c>
      <c r="D46" s="25" t="s">
        <v>719</v>
      </c>
      <c r="E46" s="25" t="s">
        <v>516</v>
      </c>
      <c r="F46" s="25" t="s">
        <v>697</v>
      </c>
      <c r="G46" s="25">
        <v>365</v>
      </c>
      <c r="H46" s="90" t="s">
        <v>686</v>
      </c>
      <c r="I46" s="76"/>
      <c r="J46" s="25">
        <v>12.0907</v>
      </c>
      <c r="K46" s="25" t="s">
        <v>687</v>
      </c>
      <c r="L46" s="25" t="s">
        <v>688</v>
      </c>
      <c r="M46" s="25">
        <v>100</v>
      </c>
      <c r="N46" s="25">
        <v>1000000000</v>
      </c>
      <c r="O46" s="1"/>
      <c r="P46" s="1"/>
    </row>
    <row r="47" spans="1:16" x14ac:dyDescent="0.35">
      <c r="A47" s="1"/>
      <c r="B47" s="5"/>
      <c r="C47" s="25" t="s">
        <v>718</v>
      </c>
      <c r="D47" s="25" t="s">
        <v>719</v>
      </c>
      <c r="E47" s="25" t="s">
        <v>516</v>
      </c>
      <c r="F47" s="25" t="s">
        <v>697</v>
      </c>
      <c r="G47" s="25">
        <v>365</v>
      </c>
      <c r="H47" s="90" t="s">
        <v>686</v>
      </c>
      <c r="I47" s="76"/>
      <c r="J47" s="25">
        <v>12.1821</v>
      </c>
      <c r="K47" s="25" t="s">
        <v>687</v>
      </c>
      <c r="L47" s="25" t="s">
        <v>688</v>
      </c>
      <c r="M47" s="25">
        <v>100</v>
      </c>
      <c r="N47" s="25">
        <v>990000000</v>
      </c>
      <c r="O47" s="1"/>
      <c r="P47" s="1"/>
    </row>
    <row r="48" spans="1:16" x14ac:dyDescent="0.35">
      <c r="A48" s="1"/>
      <c r="B48" s="5"/>
      <c r="C48" s="25" t="s">
        <v>718</v>
      </c>
      <c r="D48" s="25" t="s">
        <v>719</v>
      </c>
      <c r="E48" s="25" t="s">
        <v>516</v>
      </c>
      <c r="F48" s="25" t="s">
        <v>697</v>
      </c>
      <c r="G48" s="25">
        <v>365</v>
      </c>
      <c r="H48" s="90" t="s">
        <v>686</v>
      </c>
      <c r="I48" s="76"/>
      <c r="J48" s="25">
        <v>12.319100000000001</v>
      </c>
      <c r="K48" s="25" t="s">
        <v>687</v>
      </c>
      <c r="L48" s="25" t="s">
        <v>688</v>
      </c>
      <c r="M48" s="25">
        <v>100</v>
      </c>
      <c r="N48" s="25">
        <v>6000000000</v>
      </c>
      <c r="O48" s="1"/>
      <c r="P48" s="1"/>
    </row>
    <row r="49" spans="1:16" x14ac:dyDescent="0.35">
      <c r="A49" s="1"/>
      <c r="B49" s="5"/>
      <c r="C49" s="25" t="s">
        <v>720</v>
      </c>
      <c r="D49" s="25" t="s">
        <v>721</v>
      </c>
      <c r="E49" s="25" t="s">
        <v>516</v>
      </c>
      <c r="F49" s="25" t="s">
        <v>692</v>
      </c>
      <c r="G49" s="25">
        <v>549</v>
      </c>
      <c r="H49" s="90" t="s">
        <v>686</v>
      </c>
      <c r="I49" s="76"/>
      <c r="J49" s="25">
        <v>11.770200000000001</v>
      </c>
      <c r="K49" s="25" t="s">
        <v>687</v>
      </c>
      <c r="L49" s="25" t="s">
        <v>688</v>
      </c>
      <c r="M49" s="25">
        <v>100</v>
      </c>
      <c r="N49" s="25">
        <v>1000000000</v>
      </c>
      <c r="O49" s="1"/>
      <c r="P49" s="1"/>
    </row>
    <row r="50" spans="1:16" x14ac:dyDescent="0.35">
      <c r="A50" s="1"/>
      <c r="B50" s="5"/>
      <c r="C50" s="25" t="s">
        <v>722</v>
      </c>
      <c r="D50" s="25" t="s">
        <v>723</v>
      </c>
      <c r="E50" s="25" t="s">
        <v>516</v>
      </c>
      <c r="F50" s="25" t="s">
        <v>713</v>
      </c>
      <c r="G50" s="25">
        <v>184</v>
      </c>
      <c r="H50" s="90" t="s">
        <v>686</v>
      </c>
      <c r="I50" s="76"/>
      <c r="J50" s="25">
        <v>11.770200000000001</v>
      </c>
      <c r="K50" s="25" t="s">
        <v>687</v>
      </c>
      <c r="L50" s="25" t="s">
        <v>688</v>
      </c>
      <c r="M50" s="25">
        <v>100</v>
      </c>
      <c r="N50" s="25">
        <v>200000000</v>
      </c>
      <c r="O50" s="1"/>
      <c r="P50" s="1"/>
    </row>
    <row r="51" spans="1:16" x14ac:dyDescent="0.35">
      <c r="A51" s="1"/>
      <c r="B51" s="5"/>
      <c r="C51" s="25" t="s">
        <v>722</v>
      </c>
      <c r="D51" s="25" t="s">
        <v>723</v>
      </c>
      <c r="E51" s="25" t="s">
        <v>516</v>
      </c>
      <c r="F51" s="25" t="s">
        <v>714</v>
      </c>
      <c r="G51" s="25">
        <v>304</v>
      </c>
      <c r="H51" s="90" t="s">
        <v>686</v>
      </c>
      <c r="I51" s="76"/>
      <c r="J51" s="25">
        <v>12.816800000000001</v>
      </c>
      <c r="K51" s="25" t="s">
        <v>687</v>
      </c>
      <c r="L51" s="25" t="s">
        <v>689</v>
      </c>
      <c r="M51" s="25">
        <v>100</v>
      </c>
      <c r="N51" s="25">
        <v>1810800000</v>
      </c>
      <c r="O51" s="1"/>
      <c r="P51" s="1"/>
    </row>
    <row r="52" spans="1:16" x14ac:dyDescent="0.35">
      <c r="A52" s="1"/>
      <c r="B52" s="5"/>
      <c r="C52" s="25" t="s">
        <v>722</v>
      </c>
      <c r="D52" s="25" t="s">
        <v>723</v>
      </c>
      <c r="E52" s="25" t="s">
        <v>516</v>
      </c>
      <c r="F52" s="25" t="s">
        <v>697</v>
      </c>
      <c r="G52" s="25">
        <v>365</v>
      </c>
      <c r="H52" s="90" t="s">
        <v>686</v>
      </c>
      <c r="I52" s="76"/>
      <c r="J52" s="25">
        <v>13</v>
      </c>
      <c r="K52" s="25" t="s">
        <v>687</v>
      </c>
      <c r="L52" s="25" t="s">
        <v>689</v>
      </c>
      <c r="M52" s="25">
        <v>100</v>
      </c>
      <c r="N52" s="25">
        <v>1700000000</v>
      </c>
      <c r="O52" s="1"/>
      <c r="P52" s="1"/>
    </row>
    <row r="53" spans="1:16" x14ac:dyDescent="0.35">
      <c r="A53" s="1"/>
      <c r="B53" s="5"/>
      <c r="C53" s="25" t="s">
        <v>724</v>
      </c>
      <c r="D53" s="25" t="s">
        <v>725</v>
      </c>
      <c r="E53" s="25" t="s">
        <v>516</v>
      </c>
      <c r="F53" s="25" t="s">
        <v>697</v>
      </c>
      <c r="G53" s="25">
        <v>365</v>
      </c>
      <c r="H53" s="90" t="s">
        <v>686</v>
      </c>
      <c r="I53" s="76"/>
      <c r="J53" s="25">
        <v>12.1053</v>
      </c>
      <c r="K53" s="25" t="s">
        <v>687</v>
      </c>
      <c r="L53" s="25" t="s">
        <v>701</v>
      </c>
      <c r="M53" s="25">
        <v>100</v>
      </c>
      <c r="N53" s="25">
        <v>200000000</v>
      </c>
      <c r="O53" s="1"/>
      <c r="P53" s="1"/>
    </row>
    <row r="54" spans="1:16" x14ac:dyDescent="0.35">
      <c r="A54" s="1"/>
      <c r="B54" s="5"/>
      <c r="C54" s="25" t="s">
        <v>724</v>
      </c>
      <c r="D54" s="25" t="s">
        <v>725</v>
      </c>
      <c r="E54" s="25" t="s">
        <v>516</v>
      </c>
      <c r="F54" s="25" t="s">
        <v>697</v>
      </c>
      <c r="G54" s="25">
        <v>365</v>
      </c>
      <c r="H54" s="90" t="s">
        <v>686</v>
      </c>
      <c r="I54" s="76"/>
      <c r="J54" s="25">
        <v>12.3</v>
      </c>
      <c r="K54" s="25" t="s">
        <v>687</v>
      </c>
      <c r="L54" s="25" t="s">
        <v>689</v>
      </c>
      <c r="M54" s="25">
        <v>100</v>
      </c>
      <c r="N54" s="25">
        <v>100000000</v>
      </c>
      <c r="O54" s="1"/>
      <c r="P54" s="1"/>
    </row>
    <row r="55" spans="1:16" x14ac:dyDescent="0.35">
      <c r="A55" s="1"/>
      <c r="B55" s="5"/>
      <c r="C55" s="25" t="s">
        <v>724</v>
      </c>
      <c r="D55" s="25" t="s">
        <v>725</v>
      </c>
      <c r="E55" s="25" t="s">
        <v>516</v>
      </c>
      <c r="F55" s="25" t="s">
        <v>692</v>
      </c>
      <c r="G55" s="25">
        <v>549</v>
      </c>
      <c r="H55" s="90" t="s">
        <v>686</v>
      </c>
      <c r="I55" s="76"/>
      <c r="J55" s="25">
        <v>12.2278</v>
      </c>
      <c r="K55" s="25" t="s">
        <v>687</v>
      </c>
      <c r="L55" s="25" t="s">
        <v>688</v>
      </c>
      <c r="M55" s="25">
        <v>100</v>
      </c>
      <c r="N55" s="25">
        <v>100000000</v>
      </c>
      <c r="O55" s="1"/>
      <c r="P55" s="1"/>
    </row>
    <row r="56" spans="1:16" x14ac:dyDescent="0.35">
      <c r="A56" s="1"/>
      <c r="B56" s="5"/>
      <c r="C56" s="25" t="s">
        <v>724</v>
      </c>
      <c r="D56" s="25" t="s">
        <v>725</v>
      </c>
      <c r="E56" s="25" t="s">
        <v>516</v>
      </c>
      <c r="F56" s="25" t="s">
        <v>692</v>
      </c>
      <c r="G56" s="25">
        <v>549</v>
      </c>
      <c r="H56" s="90" t="s">
        <v>686</v>
      </c>
      <c r="I56" s="76"/>
      <c r="J56" s="25">
        <v>12.4147</v>
      </c>
      <c r="K56" s="25" t="s">
        <v>687</v>
      </c>
      <c r="L56" s="25" t="s">
        <v>726</v>
      </c>
      <c r="M56" s="25">
        <v>100</v>
      </c>
      <c r="N56" s="25">
        <v>600000000</v>
      </c>
      <c r="O56" s="1"/>
      <c r="P56" s="1"/>
    </row>
    <row r="57" spans="1:16" x14ac:dyDescent="0.35">
      <c r="A57" s="1"/>
      <c r="B57" s="5"/>
      <c r="C57" s="25" t="s">
        <v>727</v>
      </c>
      <c r="D57" s="25" t="s">
        <v>728</v>
      </c>
      <c r="E57" s="25" t="s">
        <v>516</v>
      </c>
      <c r="F57" s="25" t="s">
        <v>729</v>
      </c>
      <c r="G57" s="25">
        <v>1096</v>
      </c>
      <c r="H57" s="90" t="s">
        <v>686</v>
      </c>
      <c r="I57" s="76"/>
      <c r="J57" s="25">
        <v>12.2552</v>
      </c>
      <c r="K57" s="25" t="s">
        <v>687</v>
      </c>
      <c r="L57" s="25" t="s">
        <v>688</v>
      </c>
      <c r="M57" s="25">
        <v>100</v>
      </c>
      <c r="N57" s="25">
        <v>20000000000</v>
      </c>
      <c r="O57" s="1"/>
      <c r="P57" s="1"/>
    </row>
    <row r="58" spans="1:16" x14ac:dyDescent="0.35">
      <c r="A58" s="1"/>
      <c r="B58" s="5"/>
      <c r="C58" s="25" t="s">
        <v>727</v>
      </c>
      <c r="D58" s="25" t="s">
        <v>728</v>
      </c>
      <c r="E58" s="25" t="s">
        <v>516</v>
      </c>
      <c r="F58" s="25" t="s">
        <v>729</v>
      </c>
      <c r="G58" s="25">
        <v>1096</v>
      </c>
      <c r="H58" s="90" t="s">
        <v>686</v>
      </c>
      <c r="I58" s="76"/>
      <c r="J58" s="25">
        <v>12.2735</v>
      </c>
      <c r="K58" s="25" t="s">
        <v>687</v>
      </c>
      <c r="L58" s="25" t="s">
        <v>688</v>
      </c>
      <c r="M58" s="25">
        <v>100</v>
      </c>
      <c r="N58" s="25">
        <v>5000000000</v>
      </c>
      <c r="O58" s="1"/>
      <c r="P58" s="1"/>
    </row>
    <row r="59" spans="1:16" x14ac:dyDescent="0.35">
      <c r="A59" s="1"/>
      <c r="B59" s="5"/>
      <c r="C59" s="25" t="s">
        <v>730</v>
      </c>
      <c r="D59" s="25" t="s">
        <v>731</v>
      </c>
      <c r="E59" s="25" t="s">
        <v>516</v>
      </c>
      <c r="F59" s="25" t="s">
        <v>732</v>
      </c>
      <c r="G59" s="25">
        <v>92</v>
      </c>
      <c r="H59" s="90" t="s">
        <v>686</v>
      </c>
      <c r="I59" s="76"/>
      <c r="J59" s="25">
        <v>10.0174</v>
      </c>
      <c r="K59" s="25" t="s">
        <v>687</v>
      </c>
      <c r="L59" s="25" t="s">
        <v>689</v>
      </c>
      <c r="M59" s="25">
        <v>100</v>
      </c>
      <c r="N59" s="25">
        <v>36990903</v>
      </c>
      <c r="O59" s="1"/>
      <c r="P59" s="1"/>
    </row>
    <row r="60" spans="1:16" x14ac:dyDescent="0.35">
      <c r="A60" s="1"/>
      <c r="B60" s="5"/>
      <c r="C60" s="25" t="s">
        <v>730</v>
      </c>
      <c r="D60" s="25" t="s">
        <v>731</v>
      </c>
      <c r="E60" s="25" t="s">
        <v>516</v>
      </c>
      <c r="F60" s="25" t="s">
        <v>732</v>
      </c>
      <c r="G60" s="25">
        <v>92</v>
      </c>
      <c r="H60" s="90" t="s">
        <v>686</v>
      </c>
      <c r="I60" s="76"/>
      <c r="J60" s="25">
        <v>10.063800000000001</v>
      </c>
      <c r="K60" s="25" t="s">
        <v>687</v>
      </c>
      <c r="L60" s="25" t="s">
        <v>689</v>
      </c>
      <c r="M60" s="25">
        <v>100</v>
      </c>
      <c r="N60" s="25">
        <v>1774749536</v>
      </c>
      <c r="O60" s="1"/>
      <c r="P60" s="1"/>
    </row>
    <row r="61" spans="1:16" x14ac:dyDescent="0.35">
      <c r="A61" s="1"/>
      <c r="B61" s="5"/>
      <c r="C61" s="25" t="s">
        <v>730</v>
      </c>
      <c r="D61" s="25" t="s">
        <v>731</v>
      </c>
      <c r="E61" s="25" t="s">
        <v>516</v>
      </c>
      <c r="F61" s="25" t="s">
        <v>732</v>
      </c>
      <c r="G61" s="25">
        <v>92</v>
      </c>
      <c r="H61" s="90" t="s">
        <v>686</v>
      </c>
      <c r="I61" s="76"/>
      <c r="J61" s="25">
        <v>10.5733</v>
      </c>
      <c r="K61" s="25" t="s">
        <v>687</v>
      </c>
      <c r="L61" s="25" t="s">
        <v>689</v>
      </c>
      <c r="M61" s="25">
        <v>100</v>
      </c>
      <c r="N61" s="25">
        <v>4000000000</v>
      </c>
      <c r="O61" s="1"/>
      <c r="P61" s="1"/>
    </row>
    <row r="62" spans="1:16" x14ac:dyDescent="0.35">
      <c r="A62" s="1"/>
      <c r="B62" s="5"/>
      <c r="C62" s="25" t="s">
        <v>730</v>
      </c>
      <c r="D62" s="25" t="s">
        <v>731</v>
      </c>
      <c r="E62" s="25" t="s">
        <v>516</v>
      </c>
      <c r="F62" s="25" t="s">
        <v>713</v>
      </c>
      <c r="G62" s="25">
        <v>184</v>
      </c>
      <c r="H62" s="90" t="s">
        <v>686</v>
      </c>
      <c r="I62" s="76"/>
      <c r="J62" s="25">
        <v>10.902799999999999</v>
      </c>
      <c r="K62" s="25" t="s">
        <v>687</v>
      </c>
      <c r="L62" s="25" t="s">
        <v>689</v>
      </c>
      <c r="M62" s="25">
        <v>100</v>
      </c>
      <c r="N62" s="25">
        <v>25046752</v>
      </c>
      <c r="O62" s="1"/>
      <c r="P62" s="1"/>
    </row>
    <row r="63" spans="1:16" x14ac:dyDescent="0.35">
      <c r="A63" s="1"/>
      <c r="B63" s="5"/>
      <c r="C63" s="25" t="s">
        <v>730</v>
      </c>
      <c r="D63" s="25" t="s">
        <v>731</v>
      </c>
      <c r="E63" s="25" t="s">
        <v>516</v>
      </c>
      <c r="F63" s="25" t="s">
        <v>685</v>
      </c>
      <c r="G63" s="25">
        <v>273</v>
      </c>
      <c r="H63" s="90" t="s">
        <v>686</v>
      </c>
      <c r="I63" s="76"/>
      <c r="J63" s="25">
        <v>11.5367</v>
      </c>
      <c r="K63" s="25" t="s">
        <v>687</v>
      </c>
      <c r="L63" s="25" t="s">
        <v>689</v>
      </c>
      <c r="M63" s="25">
        <v>100</v>
      </c>
      <c r="N63" s="25">
        <v>90900560</v>
      </c>
      <c r="O63" s="1"/>
      <c r="P63" s="1"/>
    </row>
    <row r="64" spans="1:16" x14ac:dyDescent="0.35">
      <c r="A64" s="1"/>
      <c r="B64" s="5"/>
      <c r="C64" s="25" t="s">
        <v>730</v>
      </c>
      <c r="D64" s="25" t="s">
        <v>731</v>
      </c>
      <c r="E64" s="25" t="s">
        <v>516</v>
      </c>
      <c r="F64" s="25" t="s">
        <v>697</v>
      </c>
      <c r="G64" s="25">
        <v>365</v>
      </c>
      <c r="H64" s="90" t="s">
        <v>686</v>
      </c>
      <c r="I64" s="76"/>
      <c r="J64" s="25">
        <v>11.521699999999999</v>
      </c>
      <c r="K64" s="25" t="s">
        <v>687</v>
      </c>
      <c r="L64" s="25" t="s">
        <v>701</v>
      </c>
      <c r="M64" s="25">
        <v>100</v>
      </c>
      <c r="N64" s="25">
        <v>630000000</v>
      </c>
      <c r="O64" s="1"/>
      <c r="P64" s="1"/>
    </row>
    <row r="65" spans="1:16" x14ac:dyDescent="0.35">
      <c r="A65" s="1"/>
      <c r="B65" s="5"/>
      <c r="C65" s="25" t="s">
        <v>730</v>
      </c>
      <c r="D65" s="25" t="s">
        <v>731</v>
      </c>
      <c r="E65" s="25" t="s">
        <v>516</v>
      </c>
      <c r="F65" s="25" t="s">
        <v>697</v>
      </c>
      <c r="G65" s="25">
        <v>365</v>
      </c>
      <c r="H65" s="90" t="s">
        <v>686</v>
      </c>
      <c r="I65" s="76"/>
      <c r="J65" s="25">
        <v>11.6326</v>
      </c>
      <c r="K65" s="25" t="s">
        <v>687</v>
      </c>
      <c r="L65" s="25" t="s">
        <v>688</v>
      </c>
      <c r="M65" s="25">
        <v>100</v>
      </c>
      <c r="N65" s="25">
        <v>1409248960</v>
      </c>
      <c r="O65" s="1"/>
      <c r="P65" s="1"/>
    </row>
    <row r="66" spans="1:16" x14ac:dyDescent="0.35">
      <c r="A66" s="1"/>
      <c r="B66" s="5"/>
      <c r="C66" s="25" t="s">
        <v>730</v>
      </c>
      <c r="D66" s="25" t="s">
        <v>731</v>
      </c>
      <c r="E66" s="25" t="s">
        <v>516</v>
      </c>
      <c r="F66" s="25" t="s">
        <v>697</v>
      </c>
      <c r="G66" s="25">
        <v>365</v>
      </c>
      <c r="H66" s="90" t="s">
        <v>686</v>
      </c>
      <c r="I66" s="76"/>
      <c r="J66" s="25">
        <v>12</v>
      </c>
      <c r="K66" s="25" t="s">
        <v>687</v>
      </c>
      <c r="L66" s="25" t="s">
        <v>689</v>
      </c>
      <c r="M66" s="25">
        <v>100</v>
      </c>
      <c r="N66" s="25">
        <v>22300000</v>
      </c>
      <c r="O66" s="1"/>
      <c r="P66" s="1"/>
    </row>
    <row r="67" spans="1:16" x14ac:dyDescent="0.35">
      <c r="A67" s="1"/>
      <c r="B67" s="5"/>
      <c r="C67" s="25" t="s">
        <v>730</v>
      </c>
      <c r="D67" s="25" t="s">
        <v>731</v>
      </c>
      <c r="E67" s="25" t="s">
        <v>516</v>
      </c>
      <c r="F67" s="25" t="s">
        <v>697</v>
      </c>
      <c r="G67" s="25">
        <v>365</v>
      </c>
      <c r="H67" s="90" t="s">
        <v>686</v>
      </c>
      <c r="I67" s="76"/>
      <c r="J67" s="25">
        <v>12.15</v>
      </c>
      <c r="K67" s="25" t="s">
        <v>687</v>
      </c>
      <c r="L67" s="25" t="s">
        <v>689</v>
      </c>
      <c r="M67" s="25">
        <v>100</v>
      </c>
      <c r="N67" s="25">
        <v>3031067920</v>
      </c>
      <c r="O67" s="1"/>
      <c r="P67" s="1"/>
    </row>
    <row r="68" spans="1:16" x14ac:dyDescent="0.35">
      <c r="A68" s="1"/>
      <c r="B68" s="9"/>
      <c r="C68" s="25" t="s">
        <v>730</v>
      </c>
      <c r="D68" s="25" t="s">
        <v>731</v>
      </c>
      <c r="E68" s="25" t="s">
        <v>516</v>
      </c>
      <c r="F68" s="25" t="s">
        <v>733</v>
      </c>
      <c r="G68" s="25">
        <v>551</v>
      </c>
      <c r="H68" s="90" t="s">
        <v>686</v>
      </c>
      <c r="I68" s="76"/>
      <c r="J68" s="25">
        <v>12.675000000000001</v>
      </c>
      <c r="K68" s="25" t="s">
        <v>687</v>
      </c>
      <c r="L68" s="25" t="s">
        <v>689</v>
      </c>
      <c r="M68" s="25">
        <v>100</v>
      </c>
      <c r="N68" s="25">
        <v>55403000</v>
      </c>
      <c r="O68" s="1"/>
      <c r="P68" s="1"/>
    </row>
  </sheetData>
  <mergeCells count="65">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86"/>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8.1796875" customWidth="1"/>
    <col min="28" max="28" width="5.453125" customWidth="1"/>
    <col min="29" max="37" width="13.7265625" customWidth="1"/>
    <col min="38" max="38" width="0" hidden="1" customWidth="1"/>
  </cols>
  <sheetData>
    <row r="1" spans="1:37"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15" customHeight="1" x14ac:dyDescent="0.35">
      <c r="A5" s="1"/>
      <c r="B5" s="5"/>
      <c r="C5" s="91" t="s">
        <v>734</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9" customHeight="1" x14ac:dyDescent="0.3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35">
      <c r="A9" s="1"/>
      <c r="B9" s="5"/>
      <c r="C9" s="23" t="s">
        <v>328</v>
      </c>
      <c r="D9" s="23" t="s">
        <v>735</v>
      </c>
      <c r="E9" s="23" t="s">
        <v>736</v>
      </c>
      <c r="F9" s="23" t="s">
        <v>677</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15" customHeight="1" x14ac:dyDescent="0.35">
      <c r="A12" s="1"/>
      <c r="B12" s="5"/>
      <c r="C12" s="91" t="s">
        <v>737</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35">
      <c r="A14" s="1"/>
      <c r="B14" s="5"/>
      <c r="C14" s="14" t="s">
        <v>5</v>
      </c>
      <c r="D14" s="14" t="s">
        <v>5</v>
      </c>
      <c r="E14" s="14" t="s">
        <v>5</v>
      </c>
      <c r="F14" s="61" t="s">
        <v>5</v>
      </c>
      <c r="G14" s="74" t="s">
        <v>738</v>
      </c>
      <c r="H14" s="75"/>
      <c r="I14" s="75"/>
      <c r="J14" s="75"/>
      <c r="K14" s="75"/>
      <c r="L14" s="75"/>
      <c r="M14" s="75"/>
      <c r="N14" s="75"/>
      <c r="O14" s="75"/>
      <c r="P14" s="76"/>
      <c r="Q14" s="74" t="s">
        <v>739</v>
      </c>
      <c r="R14" s="75"/>
      <c r="S14" s="75"/>
      <c r="T14" s="75"/>
      <c r="U14" s="75"/>
      <c r="V14" s="75"/>
      <c r="W14" s="75"/>
      <c r="X14" s="75"/>
      <c r="Y14" s="75"/>
      <c r="Z14" s="76"/>
      <c r="AA14" s="74" t="s">
        <v>233</v>
      </c>
      <c r="AB14" s="75"/>
      <c r="AC14" s="75"/>
      <c r="AD14" s="75"/>
      <c r="AE14" s="75"/>
      <c r="AF14" s="75"/>
      <c r="AG14" s="75"/>
      <c r="AH14" s="75"/>
      <c r="AI14" s="75"/>
      <c r="AJ14" s="75"/>
      <c r="AK14" s="76"/>
    </row>
    <row r="15" spans="1:37" x14ac:dyDescent="0.35">
      <c r="A15" s="1"/>
      <c r="B15" s="5"/>
      <c r="C15" s="59" t="s">
        <v>5</v>
      </c>
      <c r="D15" s="59" t="s">
        <v>5</v>
      </c>
      <c r="E15" s="59" t="s">
        <v>5</v>
      </c>
      <c r="F15" s="60" t="s">
        <v>5</v>
      </c>
      <c r="G15" s="62" t="s">
        <v>5</v>
      </c>
      <c r="H15" s="62" t="s">
        <v>5</v>
      </c>
      <c r="I15" s="92" t="s">
        <v>740</v>
      </c>
      <c r="J15" s="75"/>
      <c r="K15" s="75"/>
      <c r="L15" s="76"/>
      <c r="M15" s="92" t="s">
        <v>741</v>
      </c>
      <c r="N15" s="75"/>
      <c r="O15" s="75"/>
      <c r="P15" s="76"/>
      <c r="Q15" s="62" t="s">
        <v>5</v>
      </c>
      <c r="R15" s="62" t="s">
        <v>5</v>
      </c>
      <c r="S15" s="92" t="s">
        <v>740</v>
      </c>
      <c r="T15" s="75"/>
      <c r="U15" s="75"/>
      <c r="V15" s="76"/>
      <c r="W15" s="92" t="s">
        <v>741</v>
      </c>
      <c r="X15" s="75"/>
      <c r="Y15" s="75"/>
      <c r="Z15" s="76"/>
      <c r="AA15" s="93" t="s">
        <v>5</v>
      </c>
      <c r="AB15" s="76"/>
      <c r="AC15" s="62" t="s">
        <v>5</v>
      </c>
      <c r="AD15" s="92" t="s">
        <v>740</v>
      </c>
      <c r="AE15" s="75"/>
      <c r="AF15" s="75"/>
      <c r="AG15" s="76"/>
      <c r="AH15" s="92" t="s">
        <v>741</v>
      </c>
      <c r="AI15" s="75"/>
      <c r="AJ15" s="75"/>
      <c r="AK15" s="76"/>
    </row>
    <row r="16" spans="1:37" x14ac:dyDescent="0.35">
      <c r="A16" s="1"/>
      <c r="B16" s="5"/>
      <c r="C16" s="23" t="s">
        <v>328</v>
      </c>
      <c r="D16" s="23" t="s">
        <v>735</v>
      </c>
      <c r="E16" s="23" t="s">
        <v>736</v>
      </c>
      <c r="F16" s="23" t="s">
        <v>677</v>
      </c>
      <c r="G16" s="23" t="s">
        <v>642</v>
      </c>
      <c r="H16" s="23" t="s">
        <v>640</v>
      </c>
      <c r="I16" s="23" t="s">
        <v>742</v>
      </c>
      <c r="J16" s="23" t="s">
        <v>743</v>
      </c>
      <c r="K16" s="23" t="s">
        <v>744</v>
      </c>
      <c r="L16" s="23" t="s">
        <v>745</v>
      </c>
      <c r="M16" s="23" t="s">
        <v>742</v>
      </c>
      <c r="N16" s="23" t="s">
        <v>743</v>
      </c>
      <c r="O16" s="23" t="s">
        <v>744</v>
      </c>
      <c r="P16" s="23" t="s">
        <v>745</v>
      </c>
      <c r="Q16" s="23" t="s">
        <v>642</v>
      </c>
      <c r="R16" s="23" t="s">
        <v>640</v>
      </c>
      <c r="S16" s="23" t="s">
        <v>742</v>
      </c>
      <c r="T16" s="23" t="s">
        <v>743</v>
      </c>
      <c r="U16" s="23" t="s">
        <v>744</v>
      </c>
      <c r="V16" s="23" t="s">
        <v>745</v>
      </c>
      <c r="W16" s="23" t="s">
        <v>742</v>
      </c>
      <c r="X16" s="23" t="s">
        <v>743</v>
      </c>
      <c r="Y16" s="23" t="s">
        <v>744</v>
      </c>
      <c r="Z16" s="23" t="s">
        <v>745</v>
      </c>
      <c r="AA16" s="74" t="s">
        <v>642</v>
      </c>
      <c r="AB16" s="76"/>
      <c r="AC16" s="23" t="s">
        <v>640</v>
      </c>
      <c r="AD16" s="23" t="s">
        <v>742</v>
      </c>
      <c r="AE16" s="23" t="s">
        <v>743</v>
      </c>
      <c r="AF16" s="23" t="s">
        <v>744</v>
      </c>
      <c r="AG16" s="23" t="s">
        <v>745</v>
      </c>
      <c r="AH16" s="23" t="s">
        <v>742</v>
      </c>
      <c r="AI16" s="23" t="s">
        <v>743</v>
      </c>
      <c r="AJ16" s="23" t="s">
        <v>744</v>
      </c>
      <c r="AK16" s="23" t="s">
        <v>745</v>
      </c>
    </row>
    <row r="17" spans="1:37" x14ac:dyDescent="0.35">
      <c r="A17" s="1"/>
      <c r="B17" s="5"/>
      <c r="C17" s="25" t="s">
        <v>746</v>
      </c>
      <c r="D17" s="25" t="s">
        <v>747</v>
      </c>
      <c r="E17" s="25" t="s">
        <v>748</v>
      </c>
      <c r="F17" s="25" t="s">
        <v>749</v>
      </c>
      <c r="G17" s="50">
        <v>0</v>
      </c>
      <c r="H17" s="25"/>
      <c r="I17" s="25"/>
      <c r="J17" s="25"/>
      <c r="K17" s="25"/>
      <c r="L17" s="25"/>
      <c r="M17" s="25"/>
      <c r="N17" s="25"/>
      <c r="O17" s="25"/>
      <c r="P17" s="25"/>
      <c r="Q17" s="50">
        <v>5671.8440700000001</v>
      </c>
      <c r="R17" s="50">
        <v>2</v>
      </c>
      <c r="S17" s="37">
        <v>12.25</v>
      </c>
      <c r="T17" s="37">
        <v>12.5</v>
      </c>
      <c r="U17" s="37">
        <v>12.2776591960157</v>
      </c>
      <c r="V17" s="37">
        <v>12.25</v>
      </c>
      <c r="W17" s="37">
        <v>100.71800231933599</v>
      </c>
      <c r="X17" s="37">
        <v>100.90699768066401</v>
      </c>
      <c r="Y17" s="37">
        <v>100.886087841684</v>
      </c>
      <c r="Z17" s="37">
        <v>100.75099945068401</v>
      </c>
      <c r="AA17" s="94">
        <v>0</v>
      </c>
      <c r="AB17" s="76"/>
      <c r="AC17" s="25"/>
      <c r="AD17" s="25"/>
      <c r="AE17" s="25"/>
      <c r="AF17" s="25"/>
      <c r="AG17" s="25"/>
      <c r="AH17" s="25"/>
      <c r="AI17" s="25"/>
      <c r="AJ17" s="25"/>
      <c r="AK17" s="25"/>
    </row>
    <row r="18" spans="1:37" x14ac:dyDescent="0.35">
      <c r="A18" s="1"/>
      <c r="B18" s="5"/>
      <c r="C18" s="25" t="s">
        <v>750</v>
      </c>
      <c r="D18" s="25" t="s">
        <v>747</v>
      </c>
      <c r="E18" s="25" t="s">
        <v>748</v>
      </c>
      <c r="F18" s="25" t="s">
        <v>749</v>
      </c>
      <c r="G18" s="50">
        <v>2055.7800000000002</v>
      </c>
      <c r="H18" s="50">
        <v>1</v>
      </c>
      <c r="I18" s="37">
        <v>12.7200002670288</v>
      </c>
      <c r="J18" s="37">
        <v>12.7200002670288</v>
      </c>
      <c r="K18" s="37">
        <v>12.7200002670288</v>
      </c>
      <c r="L18" s="37">
        <v>12.7200002670288</v>
      </c>
      <c r="M18" s="37">
        <v>102.78900146484401</v>
      </c>
      <c r="N18" s="37">
        <v>102.78900146484401</v>
      </c>
      <c r="O18" s="37">
        <v>102.78900146484401</v>
      </c>
      <c r="P18" s="37">
        <v>102.78900146484401</v>
      </c>
      <c r="Q18" s="50">
        <v>2055.7620000000002</v>
      </c>
      <c r="R18" s="50">
        <v>1</v>
      </c>
      <c r="S18" s="37">
        <v>12.310000419616699</v>
      </c>
      <c r="T18" s="37">
        <v>12.310000419616699</v>
      </c>
      <c r="U18" s="37">
        <v>12.310000419616699</v>
      </c>
      <c r="V18" s="37">
        <v>12.310000419616699</v>
      </c>
      <c r="W18" s="37">
        <v>102.78800201416</v>
      </c>
      <c r="X18" s="37">
        <v>102.78800201416</v>
      </c>
      <c r="Y18" s="37">
        <v>102.78800201416</v>
      </c>
      <c r="Z18" s="37">
        <v>102.81999969482401</v>
      </c>
      <c r="AA18" s="94">
        <v>0</v>
      </c>
      <c r="AB18" s="76"/>
      <c r="AC18" s="25"/>
      <c r="AD18" s="25"/>
      <c r="AE18" s="25"/>
      <c r="AF18" s="25"/>
      <c r="AG18" s="25"/>
      <c r="AH18" s="25"/>
      <c r="AI18" s="25"/>
      <c r="AJ18" s="25"/>
      <c r="AK18" s="25"/>
    </row>
    <row r="19" spans="1:37" x14ac:dyDescent="0.35">
      <c r="A19" s="1"/>
      <c r="B19" s="5"/>
      <c r="C19" s="25" t="s">
        <v>751</v>
      </c>
      <c r="D19" s="25" t="s">
        <v>747</v>
      </c>
      <c r="E19" s="25" t="s">
        <v>752</v>
      </c>
      <c r="F19" s="25" t="s">
        <v>753</v>
      </c>
      <c r="G19" s="50">
        <v>1000.68</v>
      </c>
      <c r="H19" s="50">
        <v>1</v>
      </c>
      <c r="I19" s="37">
        <v>12</v>
      </c>
      <c r="J19" s="37">
        <v>12</v>
      </c>
      <c r="K19" s="37">
        <v>12</v>
      </c>
      <c r="L19" s="37">
        <v>12</v>
      </c>
      <c r="M19" s="37">
        <v>100.068000793457</v>
      </c>
      <c r="N19" s="37">
        <v>100.068000793457</v>
      </c>
      <c r="O19" s="37">
        <v>100.068000793457</v>
      </c>
      <c r="P19" s="37">
        <v>100.068000793457</v>
      </c>
      <c r="Q19" s="50">
        <v>1001.0890000000001</v>
      </c>
      <c r="R19" s="50">
        <v>1</v>
      </c>
      <c r="S19" s="37">
        <v>12.001000404357899</v>
      </c>
      <c r="T19" s="37">
        <v>12.001000404357899</v>
      </c>
      <c r="U19" s="37">
        <v>12.001000404357899</v>
      </c>
      <c r="V19" s="37">
        <v>12.001000404357899</v>
      </c>
      <c r="W19" s="37">
        <v>100.10800170898401</v>
      </c>
      <c r="X19" s="37">
        <v>100.10800170898401</v>
      </c>
      <c r="Y19" s="37">
        <v>100.10800170898401</v>
      </c>
      <c r="Z19" s="37">
        <v>100.138999938965</v>
      </c>
      <c r="AA19" s="94">
        <v>0</v>
      </c>
      <c r="AB19" s="76"/>
      <c r="AC19" s="25"/>
      <c r="AD19" s="25"/>
      <c r="AE19" s="25"/>
      <c r="AF19" s="25"/>
      <c r="AG19" s="25"/>
      <c r="AH19" s="25"/>
      <c r="AI19" s="25"/>
      <c r="AJ19" s="25"/>
      <c r="AK19" s="25"/>
    </row>
    <row r="20" spans="1:37" x14ac:dyDescent="0.35">
      <c r="A20" s="1"/>
      <c r="B20" s="5"/>
      <c r="C20" s="25" t="s">
        <v>754</v>
      </c>
      <c r="D20" s="25" t="s">
        <v>747</v>
      </c>
      <c r="E20" s="25" t="s">
        <v>755</v>
      </c>
      <c r="F20" s="25" t="s">
        <v>756</v>
      </c>
      <c r="G20" s="50">
        <v>3175.0056</v>
      </c>
      <c r="H20" s="50">
        <v>1</v>
      </c>
      <c r="I20" s="37">
        <v>11.300000190734901</v>
      </c>
      <c r="J20" s="37">
        <v>11.300000190734901</v>
      </c>
      <c r="K20" s="37">
        <v>11.300000190734901</v>
      </c>
      <c r="L20" s="37">
        <v>11.300000190734901</v>
      </c>
      <c r="M20" s="37">
        <v>101.76300048828099</v>
      </c>
      <c r="N20" s="37">
        <v>101.76300048828099</v>
      </c>
      <c r="O20" s="37">
        <v>101.76300048828099</v>
      </c>
      <c r="P20" s="37">
        <v>101.76300048828099</v>
      </c>
      <c r="Q20" s="50">
        <v>0</v>
      </c>
      <c r="R20" s="25"/>
      <c r="S20" s="25"/>
      <c r="T20" s="25"/>
      <c r="U20" s="25"/>
      <c r="V20" s="25"/>
      <c r="W20" s="25"/>
      <c r="X20" s="25"/>
      <c r="Y20" s="25"/>
      <c r="Z20" s="25"/>
      <c r="AA20" s="94">
        <v>0</v>
      </c>
      <c r="AB20" s="76"/>
      <c r="AC20" s="25"/>
      <c r="AD20" s="25"/>
      <c r="AE20" s="25"/>
      <c r="AF20" s="25"/>
      <c r="AG20" s="25"/>
      <c r="AH20" s="25"/>
      <c r="AI20" s="25"/>
      <c r="AJ20" s="25"/>
      <c r="AK20" s="25"/>
    </row>
    <row r="21" spans="1:37" x14ac:dyDescent="0.35">
      <c r="A21" s="1"/>
      <c r="B21" s="5"/>
      <c r="C21" s="25" t="s">
        <v>757</v>
      </c>
      <c r="D21" s="25" t="s">
        <v>758</v>
      </c>
      <c r="E21" s="25" t="s">
        <v>759</v>
      </c>
      <c r="F21" s="25" t="s">
        <v>760</v>
      </c>
      <c r="G21" s="50">
        <v>0</v>
      </c>
      <c r="H21" s="25"/>
      <c r="I21" s="25"/>
      <c r="J21" s="25"/>
      <c r="K21" s="25"/>
      <c r="L21" s="25"/>
      <c r="M21" s="25"/>
      <c r="N21" s="25"/>
      <c r="O21" s="25"/>
      <c r="P21" s="25"/>
      <c r="Q21" s="50">
        <v>914.58399999999995</v>
      </c>
      <c r="R21" s="50">
        <v>1</v>
      </c>
      <c r="S21" s="37">
        <v>12.25</v>
      </c>
      <c r="T21" s="37">
        <v>12.25</v>
      </c>
      <c r="U21" s="37">
        <v>12.25</v>
      </c>
      <c r="V21" s="37">
        <v>12.25</v>
      </c>
      <c r="W21" s="37">
        <v>91.458000183105497</v>
      </c>
      <c r="X21" s="37">
        <v>91.458000183105497</v>
      </c>
      <c r="Y21" s="37">
        <v>91.458000183105497</v>
      </c>
      <c r="Z21" s="37">
        <v>91.486999511718807</v>
      </c>
      <c r="AA21" s="94">
        <v>0</v>
      </c>
      <c r="AB21" s="76"/>
      <c r="AC21" s="25"/>
      <c r="AD21" s="25"/>
      <c r="AE21" s="25"/>
      <c r="AF21" s="25"/>
      <c r="AG21" s="25"/>
      <c r="AH21" s="25"/>
      <c r="AI21" s="25"/>
      <c r="AJ21" s="25"/>
      <c r="AK21" s="25"/>
    </row>
    <row r="22" spans="1:37" x14ac:dyDescent="0.35">
      <c r="A22" s="1"/>
      <c r="B22" s="5"/>
      <c r="C22" s="25" t="s">
        <v>761</v>
      </c>
      <c r="D22" s="25" t="s">
        <v>747</v>
      </c>
      <c r="E22" s="25" t="s">
        <v>762</v>
      </c>
      <c r="F22" s="25" t="s">
        <v>763</v>
      </c>
      <c r="G22" s="50">
        <v>0</v>
      </c>
      <c r="H22" s="25"/>
      <c r="I22" s="25"/>
      <c r="J22" s="25"/>
      <c r="K22" s="25"/>
      <c r="L22" s="25"/>
      <c r="M22" s="25"/>
      <c r="N22" s="25"/>
      <c r="O22" s="25"/>
      <c r="P22" s="25"/>
      <c r="Q22" s="50">
        <v>1015.044</v>
      </c>
      <c r="R22" s="50">
        <v>1</v>
      </c>
      <c r="S22" s="37">
        <v>12.001000404357899</v>
      </c>
      <c r="T22" s="37">
        <v>12.001000404357899</v>
      </c>
      <c r="U22" s="37">
        <v>12.001000404357899</v>
      </c>
      <c r="V22" s="37">
        <v>12.001000404357899</v>
      </c>
      <c r="W22" s="37">
        <v>101.50399780273401</v>
      </c>
      <c r="X22" s="37">
        <v>101.50399780273401</v>
      </c>
      <c r="Y22" s="37">
        <v>101.50399780273401</v>
      </c>
      <c r="Z22" s="37">
        <v>101.53500366210901</v>
      </c>
      <c r="AA22" s="94">
        <v>0</v>
      </c>
      <c r="AB22" s="76"/>
      <c r="AC22" s="25"/>
      <c r="AD22" s="25"/>
      <c r="AE22" s="25"/>
      <c r="AF22" s="25"/>
      <c r="AG22" s="25"/>
      <c r="AH22" s="25"/>
      <c r="AI22" s="25"/>
      <c r="AJ22" s="25"/>
      <c r="AK22" s="25"/>
    </row>
    <row r="23" spans="1:37" x14ac:dyDescent="0.35">
      <c r="A23" s="1"/>
      <c r="B23" s="5"/>
      <c r="C23" s="25" t="s">
        <v>764</v>
      </c>
      <c r="D23" s="25" t="s">
        <v>747</v>
      </c>
      <c r="E23" s="25" t="s">
        <v>765</v>
      </c>
      <c r="F23" s="25" t="s">
        <v>766</v>
      </c>
      <c r="G23" s="50">
        <v>504.09</v>
      </c>
      <c r="H23" s="50">
        <v>1</v>
      </c>
      <c r="I23" s="37">
        <v>12.8999996185303</v>
      </c>
      <c r="J23" s="37">
        <v>12.8999996185303</v>
      </c>
      <c r="K23" s="37">
        <v>12.8999996185303</v>
      </c>
      <c r="L23" s="37">
        <v>12.8999996185303</v>
      </c>
      <c r="M23" s="37">
        <v>100.818000793457</v>
      </c>
      <c r="N23" s="37">
        <v>100.818000793457</v>
      </c>
      <c r="O23" s="37">
        <v>100.818000793457</v>
      </c>
      <c r="P23" s="37">
        <v>100.818000793457</v>
      </c>
      <c r="Q23" s="50">
        <v>0</v>
      </c>
      <c r="R23" s="25"/>
      <c r="S23" s="25"/>
      <c r="T23" s="25"/>
      <c r="U23" s="25"/>
      <c r="V23" s="25"/>
      <c r="W23" s="25"/>
      <c r="X23" s="25"/>
      <c r="Y23" s="25"/>
      <c r="Z23" s="25"/>
      <c r="AA23" s="94">
        <v>0</v>
      </c>
      <c r="AB23" s="76"/>
      <c r="AC23" s="25"/>
      <c r="AD23" s="25"/>
      <c r="AE23" s="25"/>
      <c r="AF23" s="25"/>
      <c r="AG23" s="25"/>
      <c r="AH23" s="25"/>
      <c r="AI23" s="25"/>
      <c r="AJ23" s="25"/>
      <c r="AK23" s="25"/>
    </row>
    <row r="24" spans="1:37" x14ac:dyDescent="0.35">
      <c r="A24" s="1"/>
      <c r="B24" s="5"/>
      <c r="C24" s="25" t="s">
        <v>767</v>
      </c>
      <c r="D24" s="25" t="s">
        <v>747</v>
      </c>
      <c r="E24" s="25" t="s">
        <v>768</v>
      </c>
      <c r="F24" s="25" t="s">
        <v>769</v>
      </c>
      <c r="G24" s="50">
        <v>0</v>
      </c>
      <c r="H24" s="25"/>
      <c r="I24" s="25"/>
      <c r="J24" s="25"/>
      <c r="K24" s="25"/>
      <c r="L24" s="25"/>
      <c r="M24" s="25"/>
      <c r="N24" s="25"/>
      <c r="O24" s="25"/>
      <c r="P24" s="25"/>
      <c r="Q24" s="50">
        <v>6952.2449999999999</v>
      </c>
      <c r="R24" s="50">
        <v>2</v>
      </c>
      <c r="S24" s="37">
        <v>12.201000213623001</v>
      </c>
      <c r="T24" s="37">
        <v>12.25</v>
      </c>
      <c r="U24" s="37">
        <v>12.2349231426532</v>
      </c>
      <c r="V24" s="37">
        <v>12.25</v>
      </c>
      <c r="W24" s="37">
        <v>106.888999938965</v>
      </c>
      <c r="X24" s="37">
        <v>107.11199951171901</v>
      </c>
      <c r="Y24" s="37">
        <v>106.95761519212</v>
      </c>
      <c r="Z24" s="37">
        <v>107.14499664306599</v>
      </c>
      <c r="AA24" s="94">
        <v>0</v>
      </c>
      <c r="AB24" s="76"/>
      <c r="AC24" s="25"/>
      <c r="AD24" s="25"/>
      <c r="AE24" s="25"/>
      <c r="AF24" s="25"/>
      <c r="AG24" s="25"/>
      <c r="AH24" s="25"/>
      <c r="AI24" s="25"/>
      <c r="AJ24" s="25"/>
      <c r="AK24" s="25"/>
    </row>
    <row r="25" spans="1:37" x14ac:dyDescent="0.35">
      <c r="A25" s="1"/>
      <c r="B25" s="5"/>
      <c r="C25" s="25" t="s">
        <v>770</v>
      </c>
      <c r="D25" s="25" t="s">
        <v>747</v>
      </c>
      <c r="E25" s="25" t="s">
        <v>771</v>
      </c>
      <c r="F25" s="25" t="s">
        <v>772</v>
      </c>
      <c r="G25" s="50">
        <v>0</v>
      </c>
      <c r="H25" s="25"/>
      <c r="I25" s="25"/>
      <c r="J25" s="25"/>
      <c r="K25" s="25"/>
      <c r="L25" s="25"/>
      <c r="M25" s="25"/>
      <c r="N25" s="25"/>
      <c r="O25" s="25"/>
      <c r="P25" s="25"/>
      <c r="Q25" s="50">
        <v>6549.9679999999998</v>
      </c>
      <c r="R25" s="50">
        <v>2</v>
      </c>
      <c r="S25" s="37">
        <v>12</v>
      </c>
      <c r="T25" s="37">
        <v>12.199999809265099</v>
      </c>
      <c r="U25" s="37">
        <v>12.0153846007127</v>
      </c>
      <c r="V25" s="37">
        <v>12.199999809265099</v>
      </c>
      <c r="W25" s="37">
        <v>100.765998840332</v>
      </c>
      <c r="X25" s="37">
        <v>100.79900360107401</v>
      </c>
      <c r="Y25" s="37">
        <v>100.768537668081</v>
      </c>
      <c r="Z25" s="37">
        <v>100.796997070313</v>
      </c>
      <c r="AA25" s="94">
        <v>0</v>
      </c>
      <c r="AB25" s="76"/>
      <c r="AC25" s="25"/>
      <c r="AD25" s="25"/>
      <c r="AE25" s="25"/>
      <c r="AF25" s="25"/>
      <c r="AG25" s="25"/>
      <c r="AH25" s="25"/>
      <c r="AI25" s="25"/>
      <c r="AJ25" s="25"/>
      <c r="AK25" s="25"/>
    </row>
    <row r="26" spans="1:37" x14ac:dyDescent="0.35">
      <c r="A26" s="1"/>
      <c r="B26" s="5"/>
      <c r="C26" s="25" t="s">
        <v>773</v>
      </c>
      <c r="D26" s="25" t="s">
        <v>747</v>
      </c>
      <c r="E26" s="25" t="s">
        <v>774</v>
      </c>
      <c r="F26" s="25" t="s">
        <v>775</v>
      </c>
      <c r="G26" s="50">
        <v>485.39499999999998</v>
      </c>
      <c r="H26" s="50">
        <v>2</v>
      </c>
      <c r="I26" s="37">
        <v>12.800000190734901</v>
      </c>
      <c r="J26" s="37">
        <v>12.800000190734901</v>
      </c>
      <c r="K26" s="37">
        <v>12.800000190734901</v>
      </c>
      <c r="L26" s="37">
        <v>12.800000190734901</v>
      </c>
      <c r="M26" s="37">
        <v>97.079002380371094</v>
      </c>
      <c r="N26" s="37">
        <v>97.079002380371094</v>
      </c>
      <c r="O26" s="37">
        <v>97.079002380371094</v>
      </c>
      <c r="P26" s="37">
        <v>97.079002380371094</v>
      </c>
      <c r="Q26" s="50">
        <v>0</v>
      </c>
      <c r="R26" s="25"/>
      <c r="S26" s="25"/>
      <c r="T26" s="25"/>
      <c r="U26" s="25"/>
      <c r="V26" s="25"/>
      <c r="W26" s="25"/>
      <c r="X26" s="25"/>
      <c r="Y26" s="25"/>
      <c r="Z26" s="25"/>
      <c r="AA26" s="94">
        <v>0</v>
      </c>
      <c r="AB26" s="76"/>
      <c r="AC26" s="25"/>
      <c r="AD26" s="25"/>
      <c r="AE26" s="25"/>
      <c r="AF26" s="25"/>
      <c r="AG26" s="25"/>
      <c r="AH26" s="25"/>
      <c r="AI26" s="25"/>
      <c r="AJ26" s="25"/>
      <c r="AK26" s="25"/>
    </row>
    <row r="27" spans="1:37" x14ac:dyDescent="0.35">
      <c r="A27" s="1"/>
      <c r="B27" s="5"/>
      <c r="C27" s="25" t="s">
        <v>776</v>
      </c>
      <c r="D27" s="25" t="s">
        <v>747</v>
      </c>
      <c r="E27" s="25" t="s">
        <v>777</v>
      </c>
      <c r="F27" s="25" t="s">
        <v>778</v>
      </c>
      <c r="G27" s="50">
        <v>0</v>
      </c>
      <c r="H27" s="25"/>
      <c r="I27" s="25"/>
      <c r="J27" s="25"/>
      <c r="K27" s="25"/>
      <c r="L27" s="25"/>
      <c r="M27" s="25"/>
      <c r="N27" s="25"/>
      <c r="O27" s="25"/>
      <c r="P27" s="25"/>
      <c r="Q27" s="50">
        <v>434.39490000000001</v>
      </c>
      <c r="R27" s="50">
        <v>1</v>
      </c>
      <c r="S27" s="37">
        <v>12.310000419616699</v>
      </c>
      <c r="T27" s="37">
        <v>12.310000419616699</v>
      </c>
      <c r="U27" s="37">
        <v>12.310000419616699</v>
      </c>
      <c r="V27" s="37">
        <v>12.310000419616699</v>
      </c>
      <c r="W27" s="37">
        <v>96.531997680664105</v>
      </c>
      <c r="X27" s="37">
        <v>96.531997680664105</v>
      </c>
      <c r="Y27" s="37">
        <v>96.531997680664105</v>
      </c>
      <c r="Z27" s="37">
        <v>97.394996643066406</v>
      </c>
      <c r="AA27" s="94">
        <v>0</v>
      </c>
      <c r="AB27" s="76"/>
      <c r="AC27" s="25"/>
      <c r="AD27" s="25"/>
      <c r="AE27" s="25"/>
      <c r="AF27" s="25"/>
      <c r="AG27" s="25"/>
      <c r="AH27" s="25"/>
      <c r="AI27" s="25"/>
      <c r="AJ27" s="25"/>
      <c r="AK27" s="25"/>
    </row>
    <row r="28" spans="1:37" x14ac:dyDescent="0.35">
      <c r="A28" s="1"/>
      <c r="B28" s="5"/>
      <c r="C28" s="25" t="s">
        <v>779</v>
      </c>
      <c r="D28" s="25" t="s">
        <v>780</v>
      </c>
      <c r="E28" s="25" t="s">
        <v>781</v>
      </c>
      <c r="F28" s="25" t="s">
        <v>782</v>
      </c>
      <c r="G28" s="50">
        <v>0</v>
      </c>
      <c r="H28" s="25"/>
      <c r="I28" s="25"/>
      <c r="J28" s="25"/>
      <c r="K28" s="25"/>
      <c r="L28" s="25"/>
      <c r="M28" s="25"/>
      <c r="N28" s="25"/>
      <c r="O28" s="25"/>
      <c r="P28" s="25"/>
      <c r="Q28" s="50">
        <v>510.49950000000001</v>
      </c>
      <c r="R28" s="50">
        <v>1</v>
      </c>
      <c r="S28" s="37">
        <v>12.199999809265099</v>
      </c>
      <c r="T28" s="37">
        <v>12.199999809265099</v>
      </c>
      <c r="U28" s="37">
        <v>12.199999809265099</v>
      </c>
      <c r="V28" s="37">
        <v>12.199999809265099</v>
      </c>
      <c r="W28" s="37">
        <v>102.098999023438</v>
      </c>
      <c r="X28" s="37">
        <v>102.098999023438</v>
      </c>
      <c r="Y28" s="37">
        <v>102.098999023438</v>
      </c>
      <c r="Z28" s="37">
        <v>102.098999023438</v>
      </c>
      <c r="AA28" s="94">
        <v>0</v>
      </c>
      <c r="AB28" s="76"/>
      <c r="AC28" s="25"/>
      <c r="AD28" s="25"/>
      <c r="AE28" s="25"/>
      <c r="AF28" s="25"/>
      <c r="AG28" s="25"/>
      <c r="AH28" s="25"/>
      <c r="AI28" s="25"/>
      <c r="AJ28" s="25"/>
      <c r="AK28" s="25"/>
    </row>
    <row r="29" spans="1:37" x14ac:dyDescent="0.35">
      <c r="A29" s="1"/>
      <c r="B29" s="5"/>
      <c r="C29" s="25" t="s">
        <v>779</v>
      </c>
      <c r="D29" s="25" t="s">
        <v>780</v>
      </c>
      <c r="E29" s="25" t="s">
        <v>783</v>
      </c>
      <c r="F29" s="25" t="s">
        <v>784</v>
      </c>
      <c r="G29" s="50">
        <v>0</v>
      </c>
      <c r="H29" s="25"/>
      <c r="I29" s="25"/>
      <c r="J29" s="25"/>
      <c r="K29" s="25"/>
      <c r="L29" s="25"/>
      <c r="M29" s="25"/>
      <c r="N29" s="25"/>
      <c r="O29" s="25"/>
      <c r="P29" s="25"/>
      <c r="Q29" s="50">
        <v>503.33449999999999</v>
      </c>
      <c r="R29" s="50">
        <v>1</v>
      </c>
      <c r="S29" s="37">
        <v>12.199999809265099</v>
      </c>
      <c r="T29" s="37">
        <v>12.199999809265099</v>
      </c>
      <c r="U29" s="37">
        <v>12.199999809265099</v>
      </c>
      <c r="V29" s="37">
        <v>12.199999809265099</v>
      </c>
      <c r="W29" s="37">
        <v>100.66600036621099</v>
      </c>
      <c r="X29" s="37">
        <v>100.66600036621099</v>
      </c>
      <c r="Y29" s="37">
        <v>100.66600036621099</v>
      </c>
      <c r="Z29" s="37">
        <v>100.66600036621099</v>
      </c>
      <c r="AA29" s="94">
        <v>0</v>
      </c>
      <c r="AB29" s="76"/>
      <c r="AC29" s="25"/>
      <c r="AD29" s="25"/>
      <c r="AE29" s="25"/>
      <c r="AF29" s="25"/>
      <c r="AG29" s="25"/>
      <c r="AH29" s="25"/>
      <c r="AI29" s="25"/>
      <c r="AJ29" s="25"/>
      <c r="AK29" s="25"/>
    </row>
    <row r="30" spans="1:37" x14ac:dyDescent="0.35">
      <c r="A30" s="1"/>
      <c r="B30" s="5"/>
      <c r="C30" s="25" t="s">
        <v>684</v>
      </c>
      <c r="D30" s="25" t="s">
        <v>780</v>
      </c>
      <c r="E30" s="25" t="s">
        <v>785</v>
      </c>
      <c r="F30" s="25" t="s">
        <v>786</v>
      </c>
      <c r="G30" s="50">
        <v>0</v>
      </c>
      <c r="H30" s="25"/>
      <c r="I30" s="25"/>
      <c r="J30" s="25"/>
      <c r="K30" s="25"/>
      <c r="L30" s="25"/>
      <c r="M30" s="25"/>
      <c r="N30" s="25"/>
      <c r="O30" s="25"/>
      <c r="P30" s="25"/>
      <c r="Q30" s="50">
        <v>513.44000000000005</v>
      </c>
      <c r="R30" s="50">
        <v>1</v>
      </c>
      <c r="S30" s="37">
        <v>12.199999809265099</v>
      </c>
      <c r="T30" s="37">
        <v>12.199999809265099</v>
      </c>
      <c r="U30" s="37">
        <v>12.199999809265099</v>
      </c>
      <c r="V30" s="37">
        <v>12.199999809265099</v>
      </c>
      <c r="W30" s="37">
        <v>102.68800354003901</v>
      </c>
      <c r="X30" s="37">
        <v>102.68800354003901</v>
      </c>
      <c r="Y30" s="37">
        <v>102.68800354003901</v>
      </c>
      <c r="Z30" s="37">
        <v>102.68800354003901</v>
      </c>
      <c r="AA30" s="94">
        <v>0</v>
      </c>
      <c r="AB30" s="76"/>
      <c r="AC30" s="25"/>
      <c r="AD30" s="25"/>
      <c r="AE30" s="25"/>
      <c r="AF30" s="25"/>
      <c r="AG30" s="25"/>
      <c r="AH30" s="25"/>
      <c r="AI30" s="25"/>
      <c r="AJ30" s="25"/>
      <c r="AK30" s="25"/>
    </row>
    <row r="31" spans="1:37" x14ac:dyDescent="0.35">
      <c r="A31" s="1"/>
      <c r="B31" s="5"/>
      <c r="C31" s="25" t="s">
        <v>684</v>
      </c>
      <c r="D31" s="25" t="s">
        <v>780</v>
      </c>
      <c r="E31" s="25" t="s">
        <v>787</v>
      </c>
      <c r="F31" s="25" t="s">
        <v>788</v>
      </c>
      <c r="G31" s="50">
        <v>199</v>
      </c>
      <c r="H31" s="50">
        <v>1</v>
      </c>
      <c r="I31" s="37">
        <v>13.800000190734901</v>
      </c>
      <c r="J31" s="37">
        <v>13.800000190734901</v>
      </c>
      <c r="K31" s="37">
        <v>13.800000190734901</v>
      </c>
      <c r="L31" s="37">
        <v>13.800000190734901</v>
      </c>
      <c r="M31" s="37">
        <v>99.5</v>
      </c>
      <c r="N31" s="37">
        <v>99.5</v>
      </c>
      <c r="O31" s="37">
        <v>99.5</v>
      </c>
      <c r="P31" s="37">
        <v>99.5</v>
      </c>
      <c r="Q31" s="50">
        <v>199.0016</v>
      </c>
      <c r="R31" s="50">
        <v>1</v>
      </c>
      <c r="S31" s="37">
        <v>12.5</v>
      </c>
      <c r="T31" s="37">
        <v>12.5</v>
      </c>
      <c r="U31" s="37">
        <v>12.5</v>
      </c>
      <c r="V31" s="37">
        <v>12.5</v>
      </c>
      <c r="W31" s="37">
        <v>99.5</v>
      </c>
      <c r="X31" s="37">
        <v>99.5</v>
      </c>
      <c r="Y31" s="37">
        <v>99.5</v>
      </c>
      <c r="Z31" s="37">
        <v>99.5</v>
      </c>
      <c r="AA31" s="94">
        <v>0</v>
      </c>
      <c r="AB31" s="76"/>
      <c r="AC31" s="25"/>
      <c r="AD31" s="25"/>
      <c r="AE31" s="25"/>
      <c r="AF31" s="25"/>
      <c r="AG31" s="25"/>
      <c r="AH31" s="25"/>
      <c r="AI31" s="25"/>
      <c r="AJ31" s="25"/>
      <c r="AK31" s="25"/>
    </row>
    <row r="32" spans="1:37" x14ac:dyDescent="0.35">
      <c r="A32" s="1"/>
      <c r="B32" s="5"/>
      <c r="C32" s="25" t="s">
        <v>684</v>
      </c>
      <c r="D32" s="25" t="s">
        <v>780</v>
      </c>
      <c r="E32" s="25" t="s">
        <v>789</v>
      </c>
      <c r="F32" s="25" t="s">
        <v>790</v>
      </c>
      <c r="G32" s="50">
        <v>0</v>
      </c>
      <c r="H32" s="25"/>
      <c r="I32" s="25"/>
      <c r="J32" s="25"/>
      <c r="K32" s="25"/>
      <c r="L32" s="25"/>
      <c r="M32" s="25"/>
      <c r="N32" s="25"/>
      <c r="O32" s="25"/>
      <c r="P32" s="25"/>
      <c r="Q32" s="50">
        <v>5916.018</v>
      </c>
      <c r="R32" s="50">
        <v>1</v>
      </c>
      <c r="S32" s="37">
        <v>12.199999809265099</v>
      </c>
      <c r="T32" s="37">
        <v>12.199999809265099</v>
      </c>
      <c r="U32" s="37">
        <v>12.199999809265099</v>
      </c>
      <c r="V32" s="37">
        <v>12.199999809265099</v>
      </c>
      <c r="W32" s="37">
        <v>98.599998474121094</v>
      </c>
      <c r="X32" s="37">
        <v>98.599998474121094</v>
      </c>
      <c r="Y32" s="37">
        <v>98.599998474121094</v>
      </c>
      <c r="Z32" s="37">
        <v>98.599998474121094</v>
      </c>
      <c r="AA32" s="94">
        <v>0</v>
      </c>
      <c r="AB32" s="76"/>
      <c r="AC32" s="25"/>
      <c r="AD32" s="25"/>
      <c r="AE32" s="25"/>
      <c r="AF32" s="25"/>
      <c r="AG32" s="25"/>
      <c r="AH32" s="25"/>
      <c r="AI32" s="25"/>
      <c r="AJ32" s="25"/>
      <c r="AK32" s="25"/>
    </row>
    <row r="33" spans="1:37" x14ac:dyDescent="0.35">
      <c r="A33" s="1"/>
      <c r="B33" s="5"/>
      <c r="C33" s="25" t="s">
        <v>684</v>
      </c>
      <c r="D33" s="25" t="s">
        <v>780</v>
      </c>
      <c r="E33" s="25" t="s">
        <v>791</v>
      </c>
      <c r="F33" s="25" t="s">
        <v>792</v>
      </c>
      <c r="G33" s="50">
        <v>0</v>
      </c>
      <c r="H33" s="25"/>
      <c r="I33" s="25"/>
      <c r="J33" s="25"/>
      <c r="K33" s="25"/>
      <c r="L33" s="25"/>
      <c r="M33" s="25"/>
      <c r="N33" s="25"/>
      <c r="O33" s="25"/>
      <c r="P33" s="25"/>
      <c r="Q33" s="50">
        <v>6856.9823729999998</v>
      </c>
      <c r="R33" s="50">
        <v>3</v>
      </c>
      <c r="S33" s="37">
        <v>11.8999996185303</v>
      </c>
      <c r="T33" s="37">
        <v>11.8999996185303</v>
      </c>
      <c r="U33" s="37">
        <v>11.8999996185303</v>
      </c>
      <c r="V33" s="37">
        <v>11.8999996185303</v>
      </c>
      <c r="W33" s="37">
        <v>99.044998168945298</v>
      </c>
      <c r="X33" s="37">
        <v>99.044998168945298</v>
      </c>
      <c r="Y33" s="37">
        <v>99.044998168945298</v>
      </c>
      <c r="Z33" s="37">
        <v>99.044998168945298</v>
      </c>
      <c r="AA33" s="94">
        <v>0</v>
      </c>
      <c r="AB33" s="76"/>
      <c r="AC33" s="25"/>
      <c r="AD33" s="25"/>
      <c r="AE33" s="25"/>
      <c r="AF33" s="25"/>
      <c r="AG33" s="25"/>
      <c r="AH33" s="25"/>
      <c r="AI33" s="25"/>
      <c r="AJ33" s="25"/>
      <c r="AK33" s="25"/>
    </row>
    <row r="34" spans="1:37" x14ac:dyDescent="0.35">
      <c r="A34" s="1"/>
      <c r="B34" s="5"/>
      <c r="C34" s="25" t="s">
        <v>684</v>
      </c>
      <c r="D34" s="25" t="s">
        <v>780</v>
      </c>
      <c r="E34" s="25" t="s">
        <v>793</v>
      </c>
      <c r="F34" s="25" t="s">
        <v>794</v>
      </c>
      <c r="G34" s="50">
        <v>0</v>
      </c>
      <c r="H34" s="25"/>
      <c r="I34" s="25"/>
      <c r="J34" s="25"/>
      <c r="K34" s="25"/>
      <c r="L34" s="25"/>
      <c r="M34" s="25"/>
      <c r="N34" s="25"/>
      <c r="O34" s="25"/>
      <c r="P34" s="25"/>
      <c r="Q34" s="50">
        <v>5008.6750000000002</v>
      </c>
      <c r="R34" s="50">
        <v>1</v>
      </c>
      <c r="S34" s="37">
        <v>12.001000404357899</v>
      </c>
      <c r="T34" s="37">
        <v>12.001000404357899</v>
      </c>
      <c r="U34" s="37">
        <v>12.001000404357899</v>
      </c>
      <c r="V34" s="37">
        <v>12.001000404357899</v>
      </c>
      <c r="W34" s="37">
        <v>100.17299652099599</v>
      </c>
      <c r="X34" s="37">
        <v>100.17299652099599</v>
      </c>
      <c r="Y34" s="37">
        <v>100.17299652099599</v>
      </c>
      <c r="Z34" s="37">
        <v>100.17299652099599</v>
      </c>
      <c r="AA34" s="94">
        <v>0</v>
      </c>
      <c r="AB34" s="76"/>
      <c r="AC34" s="25"/>
      <c r="AD34" s="25"/>
      <c r="AE34" s="25"/>
      <c r="AF34" s="25"/>
      <c r="AG34" s="25"/>
      <c r="AH34" s="25"/>
      <c r="AI34" s="25"/>
      <c r="AJ34" s="25"/>
      <c r="AK34" s="25"/>
    </row>
    <row r="35" spans="1:37" x14ac:dyDescent="0.35">
      <c r="A35" s="1"/>
      <c r="B35" s="5"/>
      <c r="C35" s="25" t="s">
        <v>684</v>
      </c>
      <c r="D35" s="25" t="s">
        <v>780</v>
      </c>
      <c r="E35" s="25" t="s">
        <v>795</v>
      </c>
      <c r="F35" s="25" t="s">
        <v>796</v>
      </c>
      <c r="G35" s="50">
        <v>0</v>
      </c>
      <c r="H35" s="25"/>
      <c r="I35" s="25"/>
      <c r="J35" s="25"/>
      <c r="K35" s="25"/>
      <c r="L35" s="25"/>
      <c r="M35" s="25"/>
      <c r="N35" s="25"/>
      <c r="O35" s="25"/>
      <c r="P35" s="25"/>
      <c r="Q35" s="50">
        <v>2476.15</v>
      </c>
      <c r="R35" s="50">
        <v>1</v>
      </c>
      <c r="S35" s="37">
        <v>12.100999832153301</v>
      </c>
      <c r="T35" s="37">
        <v>12.100999832153301</v>
      </c>
      <c r="U35" s="37">
        <v>12.100999832153301</v>
      </c>
      <c r="V35" s="37">
        <v>12.100999832153301</v>
      </c>
      <c r="W35" s="37">
        <v>99.045997619628906</v>
      </c>
      <c r="X35" s="37">
        <v>99.045997619628906</v>
      </c>
      <c r="Y35" s="37">
        <v>99.045997619628906</v>
      </c>
      <c r="Z35" s="37">
        <v>99.045997619628906</v>
      </c>
      <c r="AA35" s="94">
        <v>0</v>
      </c>
      <c r="AB35" s="76"/>
      <c r="AC35" s="25"/>
      <c r="AD35" s="25"/>
      <c r="AE35" s="25"/>
      <c r="AF35" s="25"/>
      <c r="AG35" s="25"/>
      <c r="AH35" s="25"/>
      <c r="AI35" s="25"/>
      <c r="AJ35" s="25"/>
      <c r="AK35" s="25"/>
    </row>
    <row r="36" spans="1:37" x14ac:dyDescent="0.35">
      <c r="A36" s="1"/>
      <c r="B36" s="5"/>
      <c r="C36" s="25" t="s">
        <v>684</v>
      </c>
      <c r="D36" s="25" t="s">
        <v>780</v>
      </c>
      <c r="E36" s="25" t="s">
        <v>797</v>
      </c>
      <c r="F36" s="25" t="s">
        <v>798</v>
      </c>
      <c r="G36" s="50">
        <v>10193.299999999999</v>
      </c>
      <c r="H36" s="50">
        <v>1</v>
      </c>
      <c r="I36" s="37">
        <v>12.3999996185303</v>
      </c>
      <c r="J36" s="37">
        <v>12.3999996185303</v>
      </c>
      <c r="K36" s="37">
        <v>12.3999996185303</v>
      </c>
      <c r="L36" s="37">
        <v>12.3999996185303</v>
      </c>
      <c r="M36" s="37">
        <v>101.932998657227</v>
      </c>
      <c r="N36" s="37">
        <v>101.932998657227</v>
      </c>
      <c r="O36" s="37">
        <v>101.932998657227</v>
      </c>
      <c r="P36" s="37">
        <v>101.932998657227</v>
      </c>
      <c r="Q36" s="50">
        <v>1528.26</v>
      </c>
      <c r="R36" s="50">
        <v>1</v>
      </c>
      <c r="S36" s="37">
        <v>12.001000404357899</v>
      </c>
      <c r="T36" s="37">
        <v>12.001000404357899</v>
      </c>
      <c r="U36" s="37">
        <v>12.001000404357899</v>
      </c>
      <c r="V36" s="37">
        <v>12.001000404357899</v>
      </c>
      <c r="W36" s="37">
        <v>101.884002685547</v>
      </c>
      <c r="X36" s="37">
        <v>101.884002685547</v>
      </c>
      <c r="Y36" s="37">
        <v>101.884002685547</v>
      </c>
      <c r="Z36" s="37">
        <v>101.884002685547</v>
      </c>
      <c r="AA36" s="94">
        <v>0</v>
      </c>
      <c r="AB36" s="76"/>
      <c r="AC36" s="25"/>
      <c r="AD36" s="25"/>
      <c r="AE36" s="25"/>
      <c r="AF36" s="25"/>
      <c r="AG36" s="25"/>
      <c r="AH36" s="25"/>
      <c r="AI36" s="25"/>
      <c r="AJ36" s="25"/>
      <c r="AK36" s="25"/>
    </row>
    <row r="37" spans="1:37" x14ac:dyDescent="0.35">
      <c r="A37" s="1"/>
      <c r="B37" s="5"/>
      <c r="C37" s="25" t="s">
        <v>684</v>
      </c>
      <c r="D37" s="25" t="s">
        <v>780</v>
      </c>
      <c r="E37" s="25" t="s">
        <v>799</v>
      </c>
      <c r="F37" s="25" t="s">
        <v>800</v>
      </c>
      <c r="G37" s="50">
        <v>303.67500000000001</v>
      </c>
      <c r="H37" s="50">
        <v>1</v>
      </c>
      <c r="I37" s="37">
        <v>13</v>
      </c>
      <c r="J37" s="37">
        <v>13</v>
      </c>
      <c r="K37" s="37">
        <v>13</v>
      </c>
      <c r="L37" s="37">
        <v>13</v>
      </c>
      <c r="M37" s="37">
        <v>101.22499847412099</v>
      </c>
      <c r="N37" s="37">
        <v>101.22499847412099</v>
      </c>
      <c r="O37" s="37">
        <v>101.22499847412099</v>
      </c>
      <c r="P37" s="37">
        <v>101.22499847412099</v>
      </c>
      <c r="Q37" s="50">
        <v>303.67680000000001</v>
      </c>
      <c r="R37" s="50">
        <v>1</v>
      </c>
      <c r="S37" s="37">
        <v>12.5</v>
      </c>
      <c r="T37" s="37">
        <v>12.5</v>
      </c>
      <c r="U37" s="37">
        <v>12.5</v>
      </c>
      <c r="V37" s="37">
        <v>12.5</v>
      </c>
      <c r="W37" s="37">
        <v>101.22499847412099</v>
      </c>
      <c r="X37" s="37">
        <v>101.22499847412099</v>
      </c>
      <c r="Y37" s="37">
        <v>101.22499847412099</v>
      </c>
      <c r="Z37" s="37">
        <v>101.22499847412099</v>
      </c>
      <c r="AA37" s="94">
        <v>0</v>
      </c>
      <c r="AB37" s="76"/>
      <c r="AC37" s="25"/>
      <c r="AD37" s="25"/>
      <c r="AE37" s="25"/>
      <c r="AF37" s="25"/>
      <c r="AG37" s="25"/>
      <c r="AH37" s="25"/>
      <c r="AI37" s="25"/>
      <c r="AJ37" s="25"/>
      <c r="AK37" s="25"/>
    </row>
    <row r="38" spans="1:37" x14ac:dyDescent="0.35">
      <c r="A38" s="1"/>
      <c r="B38" s="5"/>
      <c r="C38" s="25" t="s">
        <v>684</v>
      </c>
      <c r="D38" s="25" t="s">
        <v>780</v>
      </c>
      <c r="E38" s="25" t="s">
        <v>500</v>
      </c>
      <c r="F38" s="25" t="s">
        <v>801</v>
      </c>
      <c r="G38" s="50">
        <v>0</v>
      </c>
      <c r="H38" s="25"/>
      <c r="I38" s="25"/>
      <c r="J38" s="25"/>
      <c r="K38" s="25"/>
      <c r="L38" s="25"/>
      <c r="M38" s="25"/>
      <c r="N38" s="25"/>
      <c r="O38" s="25"/>
      <c r="P38" s="25"/>
      <c r="Q38" s="50">
        <v>5057.8100000000004</v>
      </c>
      <c r="R38" s="50">
        <v>1</v>
      </c>
      <c r="S38" s="37">
        <v>12.001000404357899</v>
      </c>
      <c r="T38" s="37">
        <v>12.001000404357899</v>
      </c>
      <c r="U38" s="37">
        <v>12.001000404357899</v>
      </c>
      <c r="V38" s="37">
        <v>12.001000404357899</v>
      </c>
      <c r="W38" s="37">
        <v>101.15599822998</v>
      </c>
      <c r="X38" s="37">
        <v>101.15599822998</v>
      </c>
      <c r="Y38" s="37">
        <v>101.15599822998</v>
      </c>
      <c r="Z38" s="37">
        <v>101.15599822998</v>
      </c>
      <c r="AA38" s="94">
        <v>0</v>
      </c>
      <c r="AB38" s="76"/>
      <c r="AC38" s="25"/>
      <c r="AD38" s="25"/>
      <c r="AE38" s="25"/>
      <c r="AF38" s="25"/>
      <c r="AG38" s="25"/>
      <c r="AH38" s="25"/>
      <c r="AI38" s="25"/>
      <c r="AJ38" s="25"/>
      <c r="AK38" s="25"/>
    </row>
    <row r="39" spans="1:37" x14ac:dyDescent="0.35">
      <c r="A39" s="1"/>
      <c r="B39" s="5"/>
      <c r="C39" s="25" t="s">
        <v>802</v>
      </c>
      <c r="D39" s="25" t="s">
        <v>780</v>
      </c>
      <c r="E39" s="25" t="s">
        <v>803</v>
      </c>
      <c r="F39" s="25" t="s">
        <v>804</v>
      </c>
      <c r="G39" s="50">
        <v>0</v>
      </c>
      <c r="H39" s="25"/>
      <c r="I39" s="25"/>
      <c r="J39" s="25"/>
      <c r="K39" s="25"/>
      <c r="L39" s="25"/>
      <c r="M39" s="25"/>
      <c r="N39" s="25"/>
      <c r="O39" s="25"/>
      <c r="P39" s="25"/>
      <c r="Q39" s="50">
        <v>474.70350000000002</v>
      </c>
      <c r="R39" s="50">
        <v>1</v>
      </c>
      <c r="S39" s="37">
        <v>12.199999809265099</v>
      </c>
      <c r="T39" s="37">
        <v>12.199999809265099</v>
      </c>
      <c r="U39" s="37">
        <v>12.199999809265099</v>
      </c>
      <c r="V39" s="37">
        <v>12.199999809265099</v>
      </c>
      <c r="W39" s="37">
        <v>94.940002441406307</v>
      </c>
      <c r="X39" s="37">
        <v>94.940002441406307</v>
      </c>
      <c r="Y39" s="37">
        <v>94.940002441406193</v>
      </c>
      <c r="Z39" s="37">
        <v>94.940002441406307</v>
      </c>
      <c r="AA39" s="94">
        <v>0</v>
      </c>
      <c r="AB39" s="76"/>
      <c r="AC39" s="25"/>
      <c r="AD39" s="25"/>
      <c r="AE39" s="25"/>
      <c r="AF39" s="25"/>
      <c r="AG39" s="25"/>
      <c r="AH39" s="25"/>
      <c r="AI39" s="25"/>
      <c r="AJ39" s="25"/>
      <c r="AK39" s="25"/>
    </row>
    <row r="40" spans="1:37" x14ac:dyDescent="0.35">
      <c r="A40" s="1"/>
      <c r="B40" s="5"/>
      <c r="C40" s="25" t="s">
        <v>802</v>
      </c>
      <c r="D40" s="25" t="s">
        <v>780</v>
      </c>
      <c r="E40" s="25" t="s">
        <v>805</v>
      </c>
      <c r="F40" s="25" t="s">
        <v>806</v>
      </c>
      <c r="G40" s="50">
        <v>0</v>
      </c>
      <c r="H40" s="25"/>
      <c r="I40" s="25"/>
      <c r="J40" s="25"/>
      <c r="K40" s="25"/>
      <c r="L40" s="25"/>
      <c r="M40" s="25"/>
      <c r="N40" s="25"/>
      <c r="O40" s="25"/>
      <c r="P40" s="25"/>
      <c r="Q40" s="50">
        <v>569.52300000000002</v>
      </c>
      <c r="R40" s="50">
        <v>1</v>
      </c>
      <c r="S40" s="37">
        <v>12.25</v>
      </c>
      <c r="T40" s="37">
        <v>12.25</v>
      </c>
      <c r="U40" s="37">
        <v>12.25</v>
      </c>
      <c r="V40" s="37">
        <v>12.25</v>
      </c>
      <c r="W40" s="37">
        <v>113.903999328613</v>
      </c>
      <c r="X40" s="37">
        <v>113.903999328613</v>
      </c>
      <c r="Y40" s="37">
        <v>113.903999328613</v>
      </c>
      <c r="Z40" s="37">
        <v>113.903999328613</v>
      </c>
      <c r="AA40" s="94">
        <v>0</v>
      </c>
      <c r="AB40" s="76"/>
      <c r="AC40" s="25"/>
      <c r="AD40" s="25"/>
      <c r="AE40" s="25"/>
      <c r="AF40" s="25"/>
      <c r="AG40" s="25"/>
      <c r="AH40" s="25"/>
      <c r="AI40" s="25"/>
      <c r="AJ40" s="25"/>
      <c r="AK40" s="25"/>
    </row>
    <row r="41" spans="1:37" x14ac:dyDescent="0.35">
      <c r="A41" s="1"/>
      <c r="B41" s="5"/>
      <c r="C41" s="25" t="s">
        <v>695</v>
      </c>
      <c r="D41" s="25" t="s">
        <v>780</v>
      </c>
      <c r="E41" s="25" t="s">
        <v>807</v>
      </c>
      <c r="F41" s="25" t="s">
        <v>808</v>
      </c>
      <c r="G41" s="50">
        <v>49.753999999999998</v>
      </c>
      <c r="H41" s="50">
        <v>1</v>
      </c>
      <c r="I41" s="37">
        <v>14</v>
      </c>
      <c r="J41" s="37">
        <v>14</v>
      </c>
      <c r="K41" s="37">
        <v>14</v>
      </c>
      <c r="L41" s="37">
        <v>14</v>
      </c>
      <c r="M41" s="37">
        <v>99.508003234863295</v>
      </c>
      <c r="N41" s="37">
        <v>99.508003234863295</v>
      </c>
      <c r="O41" s="37">
        <v>99.508003234863295</v>
      </c>
      <c r="P41" s="37">
        <v>99.508003234863295</v>
      </c>
      <c r="Q41" s="50">
        <v>0</v>
      </c>
      <c r="R41" s="25"/>
      <c r="S41" s="25"/>
      <c r="T41" s="25"/>
      <c r="U41" s="25"/>
      <c r="V41" s="25"/>
      <c r="W41" s="25"/>
      <c r="X41" s="25"/>
      <c r="Y41" s="25"/>
      <c r="Z41" s="25"/>
      <c r="AA41" s="94">
        <v>0</v>
      </c>
      <c r="AB41" s="76"/>
      <c r="AC41" s="25"/>
      <c r="AD41" s="25"/>
      <c r="AE41" s="25"/>
      <c r="AF41" s="25"/>
      <c r="AG41" s="25"/>
      <c r="AH41" s="25"/>
      <c r="AI41" s="25"/>
      <c r="AJ41" s="25"/>
      <c r="AK41" s="25"/>
    </row>
    <row r="42" spans="1:37" x14ac:dyDescent="0.35">
      <c r="A42" s="1"/>
      <c r="B42" s="5"/>
      <c r="C42" s="25" t="s">
        <v>695</v>
      </c>
      <c r="D42" s="25" t="s">
        <v>780</v>
      </c>
      <c r="E42" s="25" t="s">
        <v>809</v>
      </c>
      <c r="F42" s="25" t="s">
        <v>810</v>
      </c>
      <c r="G42" s="50">
        <v>57.944879999999998</v>
      </c>
      <c r="H42" s="50">
        <v>1</v>
      </c>
      <c r="I42" s="37">
        <v>13.5</v>
      </c>
      <c r="J42" s="37">
        <v>13.5</v>
      </c>
      <c r="K42" s="37">
        <v>13.5</v>
      </c>
      <c r="L42" s="37">
        <v>13.5</v>
      </c>
      <c r="M42" s="37">
        <v>103.47299957275401</v>
      </c>
      <c r="N42" s="37">
        <v>103.47299957275401</v>
      </c>
      <c r="O42" s="37">
        <v>103.47299957275401</v>
      </c>
      <c r="P42" s="37">
        <v>103.47299957275401</v>
      </c>
      <c r="Q42" s="50">
        <v>0</v>
      </c>
      <c r="R42" s="25"/>
      <c r="S42" s="25"/>
      <c r="T42" s="25"/>
      <c r="U42" s="25"/>
      <c r="V42" s="25"/>
      <c r="W42" s="25"/>
      <c r="X42" s="25"/>
      <c r="Y42" s="25"/>
      <c r="Z42" s="25"/>
      <c r="AA42" s="94">
        <v>0</v>
      </c>
      <c r="AB42" s="76"/>
      <c r="AC42" s="25"/>
      <c r="AD42" s="25"/>
      <c r="AE42" s="25"/>
      <c r="AF42" s="25"/>
      <c r="AG42" s="25"/>
      <c r="AH42" s="25"/>
      <c r="AI42" s="25"/>
      <c r="AJ42" s="25"/>
      <c r="AK42" s="25"/>
    </row>
    <row r="43" spans="1:37" x14ac:dyDescent="0.35">
      <c r="A43" s="1"/>
      <c r="B43" s="5"/>
      <c r="C43" s="25" t="s">
        <v>695</v>
      </c>
      <c r="D43" s="25" t="s">
        <v>780</v>
      </c>
      <c r="E43" s="25" t="s">
        <v>811</v>
      </c>
      <c r="F43" s="25" t="s">
        <v>713</v>
      </c>
      <c r="G43" s="50">
        <v>0</v>
      </c>
      <c r="H43" s="25"/>
      <c r="I43" s="25"/>
      <c r="J43" s="25"/>
      <c r="K43" s="25"/>
      <c r="L43" s="25"/>
      <c r="M43" s="25"/>
      <c r="N43" s="25"/>
      <c r="O43" s="25"/>
      <c r="P43" s="25"/>
      <c r="Q43" s="50">
        <v>3009.84</v>
      </c>
      <c r="R43" s="50">
        <v>1</v>
      </c>
      <c r="S43" s="37">
        <v>12.201000213623001</v>
      </c>
      <c r="T43" s="37">
        <v>12.201000213623001</v>
      </c>
      <c r="U43" s="37">
        <v>12.201000213623001</v>
      </c>
      <c r="V43" s="37">
        <v>12.201000213623001</v>
      </c>
      <c r="W43" s="37">
        <v>100.328002929688</v>
      </c>
      <c r="X43" s="37">
        <v>100.328002929688</v>
      </c>
      <c r="Y43" s="37">
        <v>100.328002929688</v>
      </c>
      <c r="Z43" s="37">
        <v>100.328002929688</v>
      </c>
      <c r="AA43" s="94">
        <v>0</v>
      </c>
      <c r="AB43" s="76"/>
      <c r="AC43" s="25"/>
      <c r="AD43" s="25"/>
      <c r="AE43" s="25"/>
      <c r="AF43" s="25"/>
      <c r="AG43" s="25"/>
      <c r="AH43" s="25"/>
      <c r="AI43" s="25"/>
      <c r="AJ43" s="25"/>
      <c r="AK43" s="25"/>
    </row>
    <row r="44" spans="1:37" x14ac:dyDescent="0.35">
      <c r="A44" s="1"/>
      <c r="B44" s="5"/>
      <c r="C44" s="25" t="s">
        <v>702</v>
      </c>
      <c r="D44" s="25" t="s">
        <v>780</v>
      </c>
      <c r="E44" s="25" t="s">
        <v>812</v>
      </c>
      <c r="F44" s="25" t="s">
        <v>813</v>
      </c>
      <c r="G44" s="50">
        <v>0</v>
      </c>
      <c r="H44" s="25"/>
      <c r="I44" s="25"/>
      <c r="J44" s="25"/>
      <c r="K44" s="25"/>
      <c r="L44" s="25"/>
      <c r="M44" s="25"/>
      <c r="N44" s="25"/>
      <c r="O44" s="25"/>
      <c r="P44" s="25"/>
      <c r="Q44" s="50">
        <v>1219.4159</v>
      </c>
      <c r="R44" s="50">
        <v>1</v>
      </c>
      <c r="S44" s="37">
        <v>12.300000190734901</v>
      </c>
      <c r="T44" s="37">
        <v>12.300000190734901</v>
      </c>
      <c r="U44" s="37">
        <v>12.300000190734901</v>
      </c>
      <c r="V44" s="37">
        <v>12.300000190734901</v>
      </c>
      <c r="W44" s="37">
        <v>96.016998291015597</v>
      </c>
      <c r="X44" s="37">
        <v>96.016998291015597</v>
      </c>
      <c r="Y44" s="37">
        <v>96.016998291015597</v>
      </c>
      <c r="Z44" s="37">
        <v>96.016998291015597</v>
      </c>
      <c r="AA44" s="94">
        <v>0</v>
      </c>
      <c r="AB44" s="76"/>
      <c r="AC44" s="25"/>
      <c r="AD44" s="25"/>
      <c r="AE44" s="25"/>
      <c r="AF44" s="25"/>
      <c r="AG44" s="25"/>
      <c r="AH44" s="25"/>
      <c r="AI44" s="25"/>
      <c r="AJ44" s="25"/>
      <c r="AK44" s="25"/>
    </row>
    <row r="45" spans="1:37" x14ac:dyDescent="0.35">
      <c r="A45" s="1"/>
      <c r="B45" s="5"/>
      <c r="C45" s="25" t="s">
        <v>702</v>
      </c>
      <c r="D45" s="25" t="s">
        <v>780</v>
      </c>
      <c r="E45" s="25" t="s">
        <v>814</v>
      </c>
      <c r="F45" s="25" t="s">
        <v>815</v>
      </c>
      <c r="G45" s="50">
        <v>0</v>
      </c>
      <c r="H45" s="25"/>
      <c r="I45" s="25"/>
      <c r="J45" s="25"/>
      <c r="K45" s="25"/>
      <c r="L45" s="25"/>
      <c r="M45" s="25"/>
      <c r="N45" s="25"/>
      <c r="O45" s="25"/>
      <c r="P45" s="25"/>
      <c r="Q45" s="50">
        <v>1027.617</v>
      </c>
      <c r="R45" s="50">
        <v>1</v>
      </c>
      <c r="S45" s="37">
        <v>12.25</v>
      </c>
      <c r="T45" s="37">
        <v>12.25</v>
      </c>
      <c r="U45" s="37">
        <v>12.25</v>
      </c>
      <c r="V45" s="37">
        <v>12.25</v>
      </c>
      <c r="W45" s="37">
        <v>102.76100158691401</v>
      </c>
      <c r="X45" s="37">
        <v>102.76100158691401</v>
      </c>
      <c r="Y45" s="37">
        <v>102.76100158691401</v>
      </c>
      <c r="Z45" s="37">
        <v>102.76100158691401</v>
      </c>
      <c r="AA45" s="94">
        <v>0</v>
      </c>
      <c r="AB45" s="76"/>
      <c r="AC45" s="25"/>
      <c r="AD45" s="25"/>
      <c r="AE45" s="25"/>
      <c r="AF45" s="25"/>
      <c r="AG45" s="25"/>
      <c r="AH45" s="25"/>
      <c r="AI45" s="25"/>
      <c r="AJ45" s="25"/>
      <c r="AK45" s="25"/>
    </row>
    <row r="46" spans="1:37" x14ac:dyDescent="0.35">
      <c r="A46" s="1"/>
      <c r="B46" s="5"/>
      <c r="C46" s="25" t="s">
        <v>702</v>
      </c>
      <c r="D46" s="25" t="s">
        <v>780</v>
      </c>
      <c r="E46" s="25" t="s">
        <v>816</v>
      </c>
      <c r="F46" s="25" t="s">
        <v>817</v>
      </c>
      <c r="G46" s="50">
        <v>0</v>
      </c>
      <c r="H46" s="25"/>
      <c r="I46" s="25"/>
      <c r="J46" s="25"/>
      <c r="K46" s="25"/>
      <c r="L46" s="25"/>
      <c r="M46" s="25"/>
      <c r="N46" s="25"/>
      <c r="O46" s="25"/>
      <c r="P46" s="25"/>
      <c r="Q46" s="50">
        <v>1026.1669999999999</v>
      </c>
      <c r="R46" s="50">
        <v>1</v>
      </c>
      <c r="S46" s="37">
        <v>12.25</v>
      </c>
      <c r="T46" s="37">
        <v>12.25</v>
      </c>
      <c r="U46" s="37">
        <v>12.25</v>
      </c>
      <c r="V46" s="37">
        <v>12.25</v>
      </c>
      <c r="W46" s="37">
        <v>102.615997314453</v>
      </c>
      <c r="X46" s="37">
        <v>102.615997314453</v>
      </c>
      <c r="Y46" s="37">
        <v>102.615997314453</v>
      </c>
      <c r="Z46" s="37">
        <v>102.615997314453</v>
      </c>
      <c r="AA46" s="94">
        <v>0</v>
      </c>
      <c r="AB46" s="76"/>
      <c r="AC46" s="25"/>
      <c r="AD46" s="25"/>
      <c r="AE46" s="25"/>
      <c r="AF46" s="25"/>
      <c r="AG46" s="25"/>
      <c r="AH46" s="25"/>
      <c r="AI46" s="25"/>
      <c r="AJ46" s="25"/>
      <c r="AK46" s="25"/>
    </row>
    <row r="47" spans="1:37" x14ac:dyDescent="0.35">
      <c r="A47" s="1"/>
      <c r="B47" s="5"/>
      <c r="C47" s="25" t="s">
        <v>702</v>
      </c>
      <c r="D47" s="25" t="s">
        <v>780</v>
      </c>
      <c r="E47" s="25" t="s">
        <v>818</v>
      </c>
      <c r="F47" s="25" t="s">
        <v>819</v>
      </c>
      <c r="G47" s="50">
        <v>0</v>
      </c>
      <c r="H47" s="25"/>
      <c r="I47" s="25"/>
      <c r="J47" s="25"/>
      <c r="K47" s="25"/>
      <c r="L47" s="25"/>
      <c r="M47" s="25"/>
      <c r="N47" s="25"/>
      <c r="O47" s="25"/>
      <c r="P47" s="25"/>
      <c r="Q47" s="50">
        <v>3025.848</v>
      </c>
      <c r="R47" s="50">
        <v>2</v>
      </c>
      <c r="S47" s="37">
        <v>11.8999996185303</v>
      </c>
      <c r="T47" s="37">
        <v>12.25</v>
      </c>
      <c r="U47" s="37">
        <v>12.0166664123535</v>
      </c>
      <c r="V47" s="37">
        <v>12.25</v>
      </c>
      <c r="W47" s="37">
        <v>100.651000976563</v>
      </c>
      <c r="X47" s="37">
        <v>100.96600341796901</v>
      </c>
      <c r="Y47" s="37">
        <v>100.861002604167</v>
      </c>
      <c r="Z47" s="37">
        <v>100.96600341796901</v>
      </c>
      <c r="AA47" s="94">
        <v>0</v>
      </c>
      <c r="AB47" s="76"/>
      <c r="AC47" s="25"/>
      <c r="AD47" s="25"/>
      <c r="AE47" s="25"/>
      <c r="AF47" s="25"/>
      <c r="AG47" s="25"/>
      <c r="AH47" s="25"/>
      <c r="AI47" s="25"/>
      <c r="AJ47" s="25"/>
      <c r="AK47" s="25"/>
    </row>
    <row r="48" spans="1:37" x14ac:dyDescent="0.35">
      <c r="A48" s="1"/>
      <c r="B48" s="5"/>
      <c r="C48" s="25" t="s">
        <v>702</v>
      </c>
      <c r="D48" s="25" t="s">
        <v>780</v>
      </c>
      <c r="E48" s="25" t="s">
        <v>820</v>
      </c>
      <c r="F48" s="25" t="s">
        <v>821</v>
      </c>
      <c r="G48" s="50">
        <v>0</v>
      </c>
      <c r="H48" s="25"/>
      <c r="I48" s="25"/>
      <c r="J48" s="25"/>
      <c r="K48" s="25"/>
      <c r="L48" s="25"/>
      <c r="M48" s="25"/>
      <c r="N48" s="25"/>
      <c r="O48" s="25"/>
      <c r="P48" s="25"/>
      <c r="Q48" s="50">
        <v>504.892</v>
      </c>
      <c r="R48" s="50">
        <v>1</v>
      </c>
      <c r="S48" s="37">
        <v>12</v>
      </c>
      <c r="T48" s="37">
        <v>12</v>
      </c>
      <c r="U48" s="37">
        <v>12</v>
      </c>
      <c r="V48" s="37">
        <v>12</v>
      </c>
      <c r="W48" s="37">
        <v>100.977996826172</v>
      </c>
      <c r="X48" s="37">
        <v>100.977996826172</v>
      </c>
      <c r="Y48" s="37">
        <v>100.977996826172</v>
      </c>
      <c r="Z48" s="37">
        <v>100.977996826172</v>
      </c>
      <c r="AA48" s="94">
        <v>0</v>
      </c>
      <c r="AB48" s="76"/>
      <c r="AC48" s="25"/>
      <c r="AD48" s="25"/>
      <c r="AE48" s="25"/>
      <c r="AF48" s="25"/>
      <c r="AG48" s="25"/>
      <c r="AH48" s="25"/>
      <c r="AI48" s="25"/>
      <c r="AJ48" s="25"/>
      <c r="AK48" s="25"/>
    </row>
    <row r="49" spans="1:37" x14ac:dyDescent="0.35">
      <c r="A49" s="1"/>
      <c r="B49" s="5"/>
      <c r="C49" s="25" t="s">
        <v>702</v>
      </c>
      <c r="D49" s="25" t="s">
        <v>780</v>
      </c>
      <c r="E49" s="25" t="s">
        <v>822</v>
      </c>
      <c r="F49" s="25" t="s">
        <v>823</v>
      </c>
      <c r="G49" s="50">
        <v>0</v>
      </c>
      <c r="H49" s="25"/>
      <c r="I49" s="25"/>
      <c r="J49" s="25"/>
      <c r="K49" s="25"/>
      <c r="L49" s="25"/>
      <c r="M49" s="25"/>
      <c r="N49" s="25"/>
      <c r="O49" s="25"/>
      <c r="P49" s="25"/>
      <c r="Q49" s="50">
        <v>991.32799999999997</v>
      </c>
      <c r="R49" s="50">
        <v>1</v>
      </c>
      <c r="S49" s="37">
        <v>12.001000404357899</v>
      </c>
      <c r="T49" s="37">
        <v>12.001000404357899</v>
      </c>
      <c r="U49" s="37">
        <v>12.001000404357899</v>
      </c>
      <c r="V49" s="37">
        <v>12.001000404357899</v>
      </c>
      <c r="W49" s="37">
        <v>99.132003784179702</v>
      </c>
      <c r="X49" s="37">
        <v>99.132003784179702</v>
      </c>
      <c r="Y49" s="37">
        <v>99.132003784179702</v>
      </c>
      <c r="Z49" s="37">
        <v>99.132003784179702</v>
      </c>
      <c r="AA49" s="94">
        <v>0</v>
      </c>
      <c r="AB49" s="76"/>
      <c r="AC49" s="25"/>
      <c r="AD49" s="25"/>
      <c r="AE49" s="25"/>
      <c r="AF49" s="25"/>
      <c r="AG49" s="25"/>
      <c r="AH49" s="25"/>
      <c r="AI49" s="25"/>
      <c r="AJ49" s="25"/>
      <c r="AK49" s="25"/>
    </row>
    <row r="50" spans="1:37" x14ac:dyDescent="0.35">
      <c r="A50" s="1"/>
      <c r="B50" s="5"/>
      <c r="C50" s="25" t="s">
        <v>702</v>
      </c>
      <c r="D50" s="25" t="s">
        <v>780</v>
      </c>
      <c r="E50" s="25" t="s">
        <v>824</v>
      </c>
      <c r="F50" s="25" t="s">
        <v>825</v>
      </c>
      <c r="G50" s="50">
        <v>0</v>
      </c>
      <c r="H50" s="25"/>
      <c r="I50" s="25"/>
      <c r="J50" s="25"/>
      <c r="K50" s="25"/>
      <c r="L50" s="25"/>
      <c r="M50" s="25"/>
      <c r="N50" s="25"/>
      <c r="O50" s="25"/>
      <c r="P50" s="25"/>
      <c r="Q50" s="50">
        <v>1973.644</v>
      </c>
      <c r="R50" s="50">
        <v>1</v>
      </c>
      <c r="S50" s="37">
        <v>12.25</v>
      </c>
      <c r="T50" s="37">
        <v>12.25</v>
      </c>
      <c r="U50" s="37">
        <v>12.25</v>
      </c>
      <c r="V50" s="37">
        <v>12.25</v>
      </c>
      <c r="W50" s="37">
        <v>98.681999206542997</v>
      </c>
      <c r="X50" s="37">
        <v>98.681999206542997</v>
      </c>
      <c r="Y50" s="37">
        <v>98.681999206542997</v>
      </c>
      <c r="Z50" s="37">
        <v>98.681999206542997</v>
      </c>
      <c r="AA50" s="94">
        <v>0</v>
      </c>
      <c r="AB50" s="76"/>
      <c r="AC50" s="25"/>
      <c r="AD50" s="25"/>
      <c r="AE50" s="25"/>
      <c r="AF50" s="25"/>
      <c r="AG50" s="25"/>
      <c r="AH50" s="25"/>
      <c r="AI50" s="25"/>
      <c r="AJ50" s="25"/>
      <c r="AK50" s="25"/>
    </row>
    <row r="51" spans="1:37" x14ac:dyDescent="0.35">
      <c r="A51" s="1"/>
      <c r="B51" s="5"/>
      <c r="C51" s="25" t="s">
        <v>702</v>
      </c>
      <c r="D51" s="25" t="s">
        <v>780</v>
      </c>
      <c r="E51" s="25" t="s">
        <v>826</v>
      </c>
      <c r="F51" s="25" t="s">
        <v>827</v>
      </c>
      <c r="G51" s="50">
        <v>0</v>
      </c>
      <c r="H51" s="25"/>
      <c r="I51" s="25"/>
      <c r="J51" s="25"/>
      <c r="K51" s="25"/>
      <c r="L51" s="25"/>
      <c r="M51" s="25"/>
      <c r="N51" s="25"/>
      <c r="O51" s="25"/>
      <c r="P51" s="25"/>
      <c r="Q51" s="50">
        <v>2481.1374999999998</v>
      </c>
      <c r="R51" s="50">
        <v>1</v>
      </c>
      <c r="S51" s="37">
        <v>12.201000213623001</v>
      </c>
      <c r="T51" s="37">
        <v>12.201000213623001</v>
      </c>
      <c r="U51" s="37">
        <v>12.201000213623001</v>
      </c>
      <c r="V51" s="37">
        <v>12.201000213623001</v>
      </c>
      <c r="W51" s="37">
        <v>99.245002746582003</v>
      </c>
      <c r="X51" s="37">
        <v>99.245002746582003</v>
      </c>
      <c r="Y51" s="37">
        <v>99.245002746582003</v>
      </c>
      <c r="Z51" s="37">
        <v>99.245002746582003</v>
      </c>
      <c r="AA51" s="94">
        <v>0</v>
      </c>
      <c r="AB51" s="76"/>
      <c r="AC51" s="25"/>
      <c r="AD51" s="25"/>
      <c r="AE51" s="25"/>
      <c r="AF51" s="25"/>
      <c r="AG51" s="25"/>
      <c r="AH51" s="25"/>
      <c r="AI51" s="25"/>
      <c r="AJ51" s="25"/>
      <c r="AK51" s="25"/>
    </row>
    <row r="52" spans="1:37" x14ac:dyDescent="0.35">
      <c r="A52" s="1"/>
      <c r="B52" s="5"/>
      <c r="C52" s="25" t="s">
        <v>702</v>
      </c>
      <c r="D52" s="25" t="s">
        <v>780</v>
      </c>
      <c r="E52" s="25" t="s">
        <v>828</v>
      </c>
      <c r="F52" s="25" t="s">
        <v>829</v>
      </c>
      <c r="G52" s="50">
        <v>0</v>
      </c>
      <c r="H52" s="25"/>
      <c r="I52" s="25"/>
      <c r="J52" s="25"/>
      <c r="K52" s="25"/>
      <c r="L52" s="25"/>
      <c r="M52" s="25"/>
      <c r="N52" s="25"/>
      <c r="O52" s="25"/>
      <c r="P52" s="25"/>
      <c r="Q52" s="50">
        <v>4963.4949999999999</v>
      </c>
      <c r="R52" s="50">
        <v>1</v>
      </c>
      <c r="S52" s="37">
        <v>12.25</v>
      </c>
      <c r="T52" s="37">
        <v>12.25</v>
      </c>
      <c r="U52" s="37">
        <v>12.25</v>
      </c>
      <c r="V52" s="37">
        <v>12.25</v>
      </c>
      <c r="W52" s="37">
        <v>99.268997192382798</v>
      </c>
      <c r="X52" s="37">
        <v>99.268997192382798</v>
      </c>
      <c r="Y52" s="37">
        <v>99.268997192382798</v>
      </c>
      <c r="Z52" s="37">
        <v>99.268997192382798</v>
      </c>
      <c r="AA52" s="94">
        <v>0</v>
      </c>
      <c r="AB52" s="76"/>
      <c r="AC52" s="25"/>
      <c r="AD52" s="25"/>
      <c r="AE52" s="25"/>
      <c r="AF52" s="25"/>
      <c r="AG52" s="25"/>
      <c r="AH52" s="25"/>
      <c r="AI52" s="25"/>
      <c r="AJ52" s="25"/>
      <c r="AK52" s="25"/>
    </row>
    <row r="53" spans="1:37" x14ac:dyDescent="0.35">
      <c r="A53" s="1"/>
      <c r="B53" s="5"/>
      <c r="C53" s="25" t="s">
        <v>702</v>
      </c>
      <c r="D53" s="25" t="s">
        <v>780</v>
      </c>
      <c r="E53" s="25" t="s">
        <v>830</v>
      </c>
      <c r="F53" s="25" t="s">
        <v>690</v>
      </c>
      <c r="G53" s="50">
        <v>0</v>
      </c>
      <c r="H53" s="25"/>
      <c r="I53" s="25"/>
      <c r="J53" s="25"/>
      <c r="K53" s="25"/>
      <c r="L53" s="25"/>
      <c r="M53" s="25"/>
      <c r="N53" s="25"/>
      <c r="O53" s="25"/>
      <c r="P53" s="25"/>
      <c r="Q53" s="50">
        <v>2970.1418560000002</v>
      </c>
      <c r="R53" s="50">
        <v>5</v>
      </c>
      <c r="S53" s="37">
        <v>11.8999996185303</v>
      </c>
      <c r="T53" s="37">
        <v>11.8999996185303</v>
      </c>
      <c r="U53" s="37">
        <v>11.8999996185303</v>
      </c>
      <c r="V53" s="37">
        <v>11.8999996185303</v>
      </c>
      <c r="W53" s="37">
        <v>99.111999511718807</v>
      </c>
      <c r="X53" s="37">
        <v>99.111999511718807</v>
      </c>
      <c r="Y53" s="37">
        <v>99.111999511718807</v>
      </c>
      <c r="Z53" s="37">
        <v>99.111999511718807</v>
      </c>
      <c r="AA53" s="94">
        <v>0</v>
      </c>
      <c r="AB53" s="76"/>
      <c r="AC53" s="25"/>
      <c r="AD53" s="25"/>
      <c r="AE53" s="25"/>
      <c r="AF53" s="25"/>
      <c r="AG53" s="25"/>
      <c r="AH53" s="25"/>
      <c r="AI53" s="25"/>
      <c r="AJ53" s="25"/>
      <c r="AK53" s="25"/>
    </row>
    <row r="54" spans="1:37" x14ac:dyDescent="0.35">
      <c r="A54" s="1"/>
      <c r="B54" s="5"/>
      <c r="C54" s="25" t="s">
        <v>702</v>
      </c>
      <c r="D54" s="25" t="s">
        <v>780</v>
      </c>
      <c r="E54" s="25" t="s">
        <v>831</v>
      </c>
      <c r="F54" s="25" t="s">
        <v>832</v>
      </c>
      <c r="G54" s="50">
        <v>0</v>
      </c>
      <c r="H54" s="25"/>
      <c r="I54" s="25"/>
      <c r="J54" s="25"/>
      <c r="K54" s="25"/>
      <c r="L54" s="25"/>
      <c r="M54" s="25"/>
      <c r="N54" s="25"/>
      <c r="O54" s="25"/>
      <c r="P54" s="25"/>
      <c r="Q54" s="50">
        <v>4895.78</v>
      </c>
      <c r="R54" s="50">
        <v>1</v>
      </c>
      <c r="S54" s="37">
        <v>12.25</v>
      </c>
      <c r="T54" s="37">
        <v>12.25</v>
      </c>
      <c r="U54" s="37">
        <v>12.25</v>
      </c>
      <c r="V54" s="37">
        <v>12.25</v>
      </c>
      <c r="W54" s="37">
        <v>97.915000915527301</v>
      </c>
      <c r="X54" s="37">
        <v>97.915000915527301</v>
      </c>
      <c r="Y54" s="37">
        <v>97.915000915527301</v>
      </c>
      <c r="Z54" s="37">
        <v>97.915000915527301</v>
      </c>
      <c r="AA54" s="94">
        <v>0</v>
      </c>
      <c r="AB54" s="76"/>
      <c r="AC54" s="25"/>
      <c r="AD54" s="25"/>
      <c r="AE54" s="25"/>
      <c r="AF54" s="25"/>
      <c r="AG54" s="25"/>
      <c r="AH54" s="25"/>
      <c r="AI54" s="25"/>
      <c r="AJ54" s="25"/>
      <c r="AK54" s="25"/>
    </row>
    <row r="55" spans="1:37" x14ac:dyDescent="0.35">
      <c r="A55" s="1"/>
      <c r="B55" s="5"/>
      <c r="C55" s="25" t="s">
        <v>702</v>
      </c>
      <c r="D55" s="25" t="s">
        <v>780</v>
      </c>
      <c r="E55" s="25" t="s">
        <v>833</v>
      </c>
      <c r="F55" s="25" t="s">
        <v>834</v>
      </c>
      <c r="G55" s="50">
        <v>0</v>
      </c>
      <c r="H55" s="25"/>
      <c r="I55" s="25"/>
      <c r="J55" s="25"/>
      <c r="K55" s="25"/>
      <c r="L55" s="25"/>
      <c r="M55" s="25"/>
      <c r="N55" s="25"/>
      <c r="O55" s="25"/>
      <c r="P55" s="25"/>
      <c r="Q55" s="50">
        <v>1966.4880000000001</v>
      </c>
      <c r="R55" s="50">
        <v>1</v>
      </c>
      <c r="S55" s="37">
        <v>12.001000404357899</v>
      </c>
      <c r="T55" s="37">
        <v>12.001000404357899</v>
      </c>
      <c r="U55" s="37">
        <v>12.001000404357899</v>
      </c>
      <c r="V55" s="37">
        <v>12.001000404357899</v>
      </c>
      <c r="W55" s="37">
        <v>98.323997497558594</v>
      </c>
      <c r="X55" s="37">
        <v>98.323997497558594</v>
      </c>
      <c r="Y55" s="37">
        <v>98.323997497558594</v>
      </c>
      <c r="Z55" s="37">
        <v>98.323997497558594</v>
      </c>
      <c r="AA55" s="94">
        <v>0</v>
      </c>
      <c r="AB55" s="76"/>
      <c r="AC55" s="25"/>
      <c r="AD55" s="25"/>
      <c r="AE55" s="25"/>
      <c r="AF55" s="25"/>
      <c r="AG55" s="25"/>
      <c r="AH55" s="25"/>
      <c r="AI55" s="25"/>
      <c r="AJ55" s="25"/>
      <c r="AK55" s="25"/>
    </row>
    <row r="56" spans="1:37" x14ac:dyDescent="0.35">
      <c r="A56" s="1"/>
      <c r="B56" s="5"/>
      <c r="C56" s="25" t="s">
        <v>835</v>
      </c>
      <c r="D56" s="25" t="s">
        <v>780</v>
      </c>
      <c r="E56" s="25" t="s">
        <v>836</v>
      </c>
      <c r="F56" s="25" t="s">
        <v>837</v>
      </c>
      <c r="G56" s="50">
        <v>507.5</v>
      </c>
      <c r="H56" s="50">
        <v>1</v>
      </c>
      <c r="I56" s="37">
        <v>12.8999996185303</v>
      </c>
      <c r="J56" s="37">
        <v>12.8999996185303</v>
      </c>
      <c r="K56" s="37">
        <v>12.8999996185303</v>
      </c>
      <c r="L56" s="37">
        <v>12.8999996185303</v>
      </c>
      <c r="M56" s="37">
        <v>101.5</v>
      </c>
      <c r="N56" s="37">
        <v>101.5</v>
      </c>
      <c r="O56" s="37">
        <v>101.5</v>
      </c>
      <c r="P56" s="37">
        <v>101.5</v>
      </c>
      <c r="Q56" s="50">
        <v>0</v>
      </c>
      <c r="R56" s="25"/>
      <c r="S56" s="25"/>
      <c r="T56" s="25"/>
      <c r="U56" s="25"/>
      <c r="V56" s="25"/>
      <c r="W56" s="25"/>
      <c r="X56" s="25"/>
      <c r="Y56" s="25"/>
      <c r="Z56" s="25"/>
      <c r="AA56" s="94">
        <v>0</v>
      </c>
      <c r="AB56" s="76"/>
      <c r="AC56" s="25"/>
      <c r="AD56" s="25"/>
      <c r="AE56" s="25"/>
      <c r="AF56" s="25"/>
      <c r="AG56" s="25"/>
      <c r="AH56" s="25"/>
      <c r="AI56" s="25"/>
      <c r="AJ56" s="25"/>
      <c r="AK56" s="25"/>
    </row>
    <row r="57" spans="1:37" x14ac:dyDescent="0.35">
      <c r="A57" s="1"/>
      <c r="B57" s="5"/>
      <c r="C57" s="25" t="s">
        <v>704</v>
      </c>
      <c r="D57" s="25" t="s">
        <v>780</v>
      </c>
      <c r="E57" s="25" t="s">
        <v>838</v>
      </c>
      <c r="F57" s="25" t="s">
        <v>839</v>
      </c>
      <c r="G57" s="50">
        <v>0</v>
      </c>
      <c r="H57" s="25"/>
      <c r="I57" s="25"/>
      <c r="J57" s="25"/>
      <c r="K57" s="25"/>
      <c r="L57" s="25"/>
      <c r="M57" s="25"/>
      <c r="N57" s="25"/>
      <c r="O57" s="25"/>
      <c r="P57" s="25"/>
      <c r="Q57" s="50">
        <v>1957.0923760000001</v>
      </c>
      <c r="R57" s="50">
        <v>1</v>
      </c>
      <c r="S57" s="37">
        <v>11.8999996185303</v>
      </c>
      <c r="T57" s="37">
        <v>11.8999996185303</v>
      </c>
      <c r="U57" s="37">
        <v>11.8999996185303</v>
      </c>
      <c r="V57" s="37">
        <v>11.8999996185303</v>
      </c>
      <c r="W57" s="37">
        <v>103.037002563477</v>
      </c>
      <c r="X57" s="37">
        <v>103.037002563477</v>
      </c>
      <c r="Y57" s="37">
        <v>103.037002563477</v>
      </c>
      <c r="Z57" s="37">
        <v>103.037002563477</v>
      </c>
      <c r="AA57" s="94">
        <v>0</v>
      </c>
      <c r="AB57" s="76"/>
      <c r="AC57" s="25"/>
      <c r="AD57" s="25"/>
      <c r="AE57" s="25"/>
      <c r="AF57" s="25"/>
      <c r="AG57" s="25"/>
      <c r="AH57" s="25"/>
      <c r="AI57" s="25"/>
      <c r="AJ57" s="25"/>
      <c r="AK57" s="25"/>
    </row>
    <row r="58" spans="1:37" x14ac:dyDescent="0.35">
      <c r="A58" s="1"/>
      <c r="B58" s="5"/>
      <c r="C58" s="25" t="s">
        <v>704</v>
      </c>
      <c r="D58" s="25" t="s">
        <v>780</v>
      </c>
      <c r="E58" s="25" t="s">
        <v>840</v>
      </c>
      <c r="F58" s="25" t="s">
        <v>841</v>
      </c>
      <c r="G58" s="50">
        <v>0</v>
      </c>
      <c r="H58" s="25"/>
      <c r="I58" s="25"/>
      <c r="J58" s="25"/>
      <c r="K58" s="25"/>
      <c r="L58" s="25"/>
      <c r="M58" s="25"/>
      <c r="N58" s="25"/>
      <c r="O58" s="25"/>
      <c r="P58" s="25"/>
      <c r="Q58" s="50">
        <v>5045.1049999999996</v>
      </c>
      <c r="R58" s="50">
        <v>1</v>
      </c>
      <c r="S58" s="37">
        <v>12.25</v>
      </c>
      <c r="T58" s="37">
        <v>12.25</v>
      </c>
      <c r="U58" s="37">
        <v>12.25</v>
      </c>
      <c r="V58" s="37">
        <v>12.25</v>
      </c>
      <c r="W58" s="37">
        <v>100.90200042724599</v>
      </c>
      <c r="X58" s="37">
        <v>100.90200042724599</v>
      </c>
      <c r="Y58" s="37">
        <v>100.90200042724599</v>
      </c>
      <c r="Z58" s="37">
        <v>100.90200042724599</v>
      </c>
      <c r="AA58" s="94">
        <v>0</v>
      </c>
      <c r="AB58" s="76"/>
      <c r="AC58" s="25"/>
      <c r="AD58" s="25"/>
      <c r="AE58" s="25"/>
      <c r="AF58" s="25"/>
      <c r="AG58" s="25"/>
      <c r="AH58" s="25"/>
      <c r="AI58" s="25"/>
      <c r="AJ58" s="25"/>
      <c r="AK58" s="25"/>
    </row>
    <row r="59" spans="1:37" x14ac:dyDescent="0.35">
      <c r="A59" s="1"/>
      <c r="B59" s="5"/>
      <c r="C59" s="25" t="s">
        <v>842</v>
      </c>
      <c r="D59" s="25" t="s">
        <v>780</v>
      </c>
      <c r="E59" s="25" t="s">
        <v>799</v>
      </c>
      <c r="F59" s="25" t="s">
        <v>843</v>
      </c>
      <c r="G59" s="50">
        <v>3028.86</v>
      </c>
      <c r="H59" s="50">
        <v>3</v>
      </c>
      <c r="I59" s="37">
        <v>11.300000190734901</v>
      </c>
      <c r="J59" s="37">
        <v>11.800000190734901</v>
      </c>
      <c r="K59" s="37">
        <v>11.6200002034505</v>
      </c>
      <c r="L59" s="37">
        <v>11.800000190734901</v>
      </c>
      <c r="M59" s="37">
        <v>100.93399810791</v>
      </c>
      <c r="N59" s="37">
        <v>101.012001037598</v>
      </c>
      <c r="O59" s="37">
        <v>100.962000528971</v>
      </c>
      <c r="P59" s="37">
        <v>100.93399810791</v>
      </c>
      <c r="Q59" s="50">
        <v>0</v>
      </c>
      <c r="R59" s="25"/>
      <c r="S59" s="25"/>
      <c r="T59" s="25"/>
      <c r="U59" s="25"/>
      <c r="V59" s="25"/>
      <c r="W59" s="25"/>
      <c r="X59" s="25"/>
      <c r="Y59" s="25"/>
      <c r="Z59" s="25"/>
      <c r="AA59" s="94">
        <v>0</v>
      </c>
      <c r="AB59" s="76"/>
      <c r="AC59" s="25"/>
      <c r="AD59" s="25"/>
      <c r="AE59" s="25"/>
      <c r="AF59" s="25"/>
      <c r="AG59" s="25"/>
      <c r="AH59" s="25"/>
      <c r="AI59" s="25"/>
      <c r="AJ59" s="25"/>
      <c r="AK59" s="25"/>
    </row>
    <row r="60" spans="1:37" x14ac:dyDescent="0.35">
      <c r="A60" s="1"/>
      <c r="B60" s="5"/>
      <c r="C60" s="25" t="s">
        <v>844</v>
      </c>
      <c r="D60" s="25" t="s">
        <v>780</v>
      </c>
      <c r="E60" s="25" t="s">
        <v>845</v>
      </c>
      <c r="F60" s="25" t="s">
        <v>846</v>
      </c>
      <c r="G60" s="50">
        <v>0</v>
      </c>
      <c r="H60" s="25"/>
      <c r="I60" s="25"/>
      <c r="J60" s="25"/>
      <c r="K60" s="25"/>
      <c r="L60" s="25"/>
      <c r="M60" s="25"/>
      <c r="N60" s="25"/>
      <c r="O60" s="25"/>
      <c r="P60" s="25"/>
      <c r="Q60" s="50">
        <v>3014.7689999999998</v>
      </c>
      <c r="R60" s="50">
        <v>1</v>
      </c>
      <c r="S60" s="37">
        <v>12.25</v>
      </c>
      <c r="T60" s="37">
        <v>12.25</v>
      </c>
      <c r="U60" s="37">
        <v>12.25</v>
      </c>
      <c r="V60" s="37">
        <v>12.25</v>
      </c>
      <c r="W60" s="37">
        <v>100.491996765137</v>
      </c>
      <c r="X60" s="37">
        <v>100.491996765137</v>
      </c>
      <c r="Y60" s="37">
        <v>100.491996765137</v>
      </c>
      <c r="Z60" s="37">
        <v>100.491996765137</v>
      </c>
      <c r="AA60" s="94">
        <v>0</v>
      </c>
      <c r="AB60" s="76"/>
      <c r="AC60" s="25"/>
      <c r="AD60" s="25"/>
      <c r="AE60" s="25"/>
      <c r="AF60" s="25"/>
      <c r="AG60" s="25"/>
      <c r="AH60" s="25"/>
      <c r="AI60" s="25"/>
      <c r="AJ60" s="25"/>
      <c r="AK60" s="25"/>
    </row>
    <row r="61" spans="1:37" x14ac:dyDescent="0.35">
      <c r="A61" s="1"/>
      <c r="B61" s="5"/>
      <c r="C61" s="25" t="s">
        <v>844</v>
      </c>
      <c r="D61" s="25" t="s">
        <v>780</v>
      </c>
      <c r="E61" s="25" t="s">
        <v>494</v>
      </c>
      <c r="F61" s="25" t="s">
        <v>847</v>
      </c>
      <c r="G61" s="50">
        <v>0</v>
      </c>
      <c r="H61" s="25"/>
      <c r="I61" s="25"/>
      <c r="J61" s="25"/>
      <c r="K61" s="25"/>
      <c r="L61" s="25"/>
      <c r="M61" s="25"/>
      <c r="N61" s="25"/>
      <c r="O61" s="25"/>
      <c r="P61" s="25"/>
      <c r="Q61" s="50">
        <v>507.36750000000001</v>
      </c>
      <c r="R61" s="50">
        <v>1</v>
      </c>
      <c r="S61" s="37">
        <v>12.199999809265099</v>
      </c>
      <c r="T61" s="37">
        <v>12.199999809265099</v>
      </c>
      <c r="U61" s="37">
        <v>12.199999809265099</v>
      </c>
      <c r="V61" s="37">
        <v>12.199999809265099</v>
      </c>
      <c r="W61" s="37">
        <v>101.47299957275401</v>
      </c>
      <c r="X61" s="37">
        <v>101.47299957275401</v>
      </c>
      <c r="Y61" s="37">
        <v>101.47299957275401</v>
      </c>
      <c r="Z61" s="37">
        <v>101.47299957275401</v>
      </c>
      <c r="AA61" s="94">
        <v>0</v>
      </c>
      <c r="AB61" s="76"/>
      <c r="AC61" s="25"/>
      <c r="AD61" s="25"/>
      <c r="AE61" s="25"/>
      <c r="AF61" s="25"/>
      <c r="AG61" s="25"/>
      <c r="AH61" s="25"/>
      <c r="AI61" s="25"/>
      <c r="AJ61" s="25"/>
      <c r="AK61" s="25"/>
    </row>
    <row r="62" spans="1:37" x14ac:dyDescent="0.35">
      <c r="A62" s="1"/>
      <c r="B62" s="5"/>
      <c r="C62" s="25" t="s">
        <v>712</v>
      </c>
      <c r="D62" s="25" t="s">
        <v>780</v>
      </c>
      <c r="E62" s="25" t="s">
        <v>848</v>
      </c>
      <c r="F62" s="25" t="s">
        <v>849</v>
      </c>
      <c r="G62" s="50">
        <v>0</v>
      </c>
      <c r="H62" s="25"/>
      <c r="I62" s="25"/>
      <c r="J62" s="25"/>
      <c r="K62" s="25"/>
      <c r="L62" s="25"/>
      <c r="M62" s="25"/>
      <c r="N62" s="25"/>
      <c r="O62" s="25"/>
      <c r="P62" s="25"/>
      <c r="Q62" s="50">
        <v>1045.431</v>
      </c>
      <c r="R62" s="50">
        <v>1</v>
      </c>
      <c r="S62" s="37">
        <v>12.25</v>
      </c>
      <c r="T62" s="37">
        <v>12.25</v>
      </c>
      <c r="U62" s="37">
        <v>12.25</v>
      </c>
      <c r="V62" s="37">
        <v>12.25</v>
      </c>
      <c r="W62" s="37">
        <v>104.542999267578</v>
      </c>
      <c r="X62" s="37">
        <v>104.542999267578</v>
      </c>
      <c r="Y62" s="37">
        <v>104.542999267578</v>
      </c>
      <c r="Z62" s="37">
        <v>104.542999267578</v>
      </c>
      <c r="AA62" s="94">
        <v>0</v>
      </c>
      <c r="AB62" s="76"/>
      <c r="AC62" s="25"/>
      <c r="AD62" s="25"/>
      <c r="AE62" s="25"/>
      <c r="AF62" s="25"/>
      <c r="AG62" s="25"/>
      <c r="AH62" s="25"/>
      <c r="AI62" s="25"/>
      <c r="AJ62" s="25"/>
      <c r="AK62" s="25"/>
    </row>
    <row r="63" spans="1:37" x14ac:dyDescent="0.35">
      <c r="A63" s="1"/>
      <c r="B63" s="5"/>
      <c r="C63" s="25" t="s">
        <v>712</v>
      </c>
      <c r="D63" s="25" t="s">
        <v>780</v>
      </c>
      <c r="E63" s="25" t="s">
        <v>850</v>
      </c>
      <c r="F63" s="25" t="s">
        <v>851</v>
      </c>
      <c r="G63" s="50">
        <v>0</v>
      </c>
      <c r="H63" s="25"/>
      <c r="I63" s="25"/>
      <c r="J63" s="25"/>
      <c r="K63" s="25"/>
      <c r="L63" s="25"/>
      <c r="M63" s="25"/>
      <c r="N63" s="25"/>
      <c r="O63" s="25"/>
      <c r="P63" s="25"/>
      <c r="Q63" s="50">
        <v>470.72550000000001</v>
      </c>
      <c r="R63" s="50">
        <v>1</v>
      </c>
      <c r="S63" s="37">
        <v>12.199999809265099</v>
      </c>
      <c r="T63" s="37">
        <v>12.199999809265099</v>
      </c>
      <c r="U63" s="37">
        <v>12.199999809265099</v>
      </c>
      <c r="V63" s="37">
        <v>12.199999809265099</v>
      </c>
      <c r="W63" s="37">
        <v>94.144996643066406</v>
      </c>
      <c r="X63" s="37">
        <v>94.144996643066406</v>
      </c>
      <c r="Y63" s="37">
        <v>94.144996643066406</v>
      </c>
      <c r="Z63" s="37">
        <v>94.144996643066406</v>
      </c>
      <c r="AA63" s="94">
        <v>0</v>
      </c>
      <c r="AB63" s="76"/>
      <c r="AC63" s="25"/>
      <c r="AD63" s="25"/>
      <c r="AE63" s="25"/>
      <c r="AF63" s="25"/>
      <c r="AG63" s="25"/>
      <c r="AH63" s="25"/>
      <c r="AI63" s="25"/>
      <c r="AJ63" s="25"/>
      <c r="AK63" s="25"/>
    </row>
    <row r="64" spans="1:37" x14ac:dyDescent="0.35">
      <c r="A64" s="1"/>
      <c r="B64" s="5"/>
      <c r="C64" s="25" t="s">
        <v>712</v>
      </c>
      <c r="D64" s="25" t="s">
        <v>780</v>
      </c>
      <c r="E64" s="25" t="s">
        <v>852</v>
      </c>
      <c r="F64" s="25" t="s">
        <v>853</v>
      </c>
      <c r="G64" s="50">
        <v>0</v>
      </c>
      <c r="H64" s="25"/>
      <c r="I64" s="25"/>
      <c r="J64" s="25"/>
      <c r="K64" s="25"/>
      <c r="L64" s="25"/>
      <c r="M64" s="25"/>
      <c r="N64" s="25"/>
      <c r="O64" s="25"/>
      <c r="P64" s="25"/>
      <c r="Q64" s="50">
        <v>470.10899999999998</v>
      </c>
      <c r="R64" s="50">
        <v>1</v>
      </c>
      <c r="S64" s="37">
        <v>12.199999809265099</v>
      </c>
      <c r="T64" s="37">
        <v>12.199999809265099</v>
      </c>
      <c r="U64" s="37">
        <v>12.199999809265099</v>
      </c>
      <c r="V64" s="37">
        <v>12.199999809265099</v>
      </c>
      <c r="W64" s="37">
        <v>94.021003723144503</v>
      </c>
      <c r="X64" s="37">
        <v>94.021003723144503</v>
      </c>
      <c r="Y64" s="37">
        <v>94.021003723144503</v>
      </c>
      <c r="Z64" s="37">
        <v>94.021003723144503</v>
      </c>
      <c r="AA64" s="94">
        <v>0</v>
      </c>
      <c r="AB64" s="76"/>
      <c r="AC64" s="25"/>
      <c r="AD64" s="25"/>
      <c r="AE64" s="25"/>
      <c r="AF64" s="25"/>
      <c r="AG64" s="25"/>
      <c r="AH64" s="25"/>
      <c r="AI64" s="25"/>
      <c r="AJ64" s="25"/>
      <c r="AK64" s="25"/>
    </row>
    <row r="65" spans="1:37" x14ac:dyDescent="0.35">
      <c r="A65" s="1"/>
      <c r="B65" s="5"/>
      <c r="C65" s="25" t="s">
        <v>712</v>
      </c>
      <c r="D65" s="25" t="s">
        <v>780</v>
      </c>
      <c r="E65" s="25" t="s">
        <v>854</v>
      </c>
      <c r="F65" s="25" t="s">
        <v>855</v>
      </c>
      <c r="G65" s="50">
        <v>0</v>
      </c>
      <c r="H65" s="25"/>
      <c r="I65" s="25"/>
      <c r="J65" s="25"/>
      <c r="K65" s="25"/>
      <c r="L65" s="25"/>
      <c r="M65" s="25"/>
      <c r="N65" s="25"/>
      <c r="O65" s="25"/>
      <c r="P65" s="25"/>
      <c r="Q65" s="50">
        <v>1933.4079999999999</v>
      </c>
      <c r="R65" s="50">
        <v>1</v>
      </c>
      <c r="S65" s="37">
        <v>12.001000404357899</v>
      </c>
      <c r="T65" s="37">
        <v>12.001000404357899</v>
      </c>
      <c r="U65" s="37">
        <v>12.001000404357899</v>
      </c>
      <c r="V65" s="37">
        <v>12.001000404357899</v>
      </c>
      <c r="W65" s="37">
        <v>96.669998168945298</v>
      </c>
      <c r="X65" s="37">
        <v>96.669998168945298</v>
      </c>
      <c r="Y65" s="37">
        <v>96.669998168945298</v>
      </c>
      <c r="Z65" s="37">
        <v>96.669998168945298</v>
      </c>
      <c r="AA65" s="94">
        <v>0</v>
      </c>
      <c r="AB65" s="76"/>
      <c r="AC65" s="25"/>
      <c r="AD65" s="25"/>
      <c r="AE65" s="25"/>
      <c r="AF65" s="25"/>
      <c r="AG65" s="25"/>
      <c r="AH65" s="25"/>
      <c r="AI65" s="25"/>
      <c r="AJ65" s="25"/>
      <c r="AK65" s="25"/>
    </row>
    <row r="66" spans="1:37" x14ac:dyDescent="0.35">
      <c r="A66" s="1"/>
      <c r="B66" s="5"/>
      <c r="C66" s="25" t="s">
        <v>712</v>
      </c>
      <c r="D66" s="25" t="s">
        <v>780</v>
      </c>
      <c r="E66" s="25" t="s">
        <v>496</v>
      </c>
      <c r="F66" s="25" t="s">
        <v>856</v>
      </c>
      <c r="G66" s="50">
        <v>414.26188000000002</v>
      </c>
      <c r="H66" s="50">
        <v>1</v>
      </c>
      <c r="I66" s="37">
        <v>12.5</v>
      </c>
      <c r="J66" s="37">
        <v>12.5</v>
      </c>
      <c r="K66" s="37">
        <v>12.5</v>
      </c>
      <c r="L66" s="37">
        <v>12.5</v>
      </c>
      <c r="M66" s="37">
        <v>100.54900360107401</v>
      </c>
      <c r="N66" s="37">
        <v>100.54900360107401</v>
      </c>
      <c r="O66" s="37">
        <v>100.54900360107401</v>
      </c>
      <c r="P66" s="37">
        <v>100.54900360107401</v>
      </c>
      <c r="Q66" s="50">
        <v>0</v>
      </c>
      <c r="R66" s="25"/>
      <c r="S66" s="25"/>
      <c r="T66" s="25"/>
      <c r="U66" s="25"/>
      <c r="V66" s="25"/>
      <c r="W66" s="25"/>
      <c r="X66" s="25"/>
      <c r="Y66" s="25"/>
      <c r="Z66" s="25"/>
      <c r="AA66" s="94">
        <v>0</v>
      </c>
      <c r="AB66" s="76"/>
      <c r="AC66" s="25"/>
      <c r="AD66" s="25"/>
      <c r="AE66" s="25"/>
      <c r="AF66" s="25"/>
      <c r="AG66" s="25"/>
      <c r="AH66" s="25"/>
      <c r="AI66" s="25"/>
      <c r="AJ66" s="25"/>
      <c r="AK66" s="25"/>
    </row>
    <row r="67" spans="1:37" x14ac:dyDescent="0.35">
      <c r="A67" s="1"/>
      <c r="B67" s="5"/>
      <c r="C67" s="25" t="s">
        <v>712</v>
      </c>
      <c r="D67" s="25" t="s">
        <v>780</v>
      </c>
      <c r="E67" s="25" t="s">
        <v>511</v>
      </c>
      <c r="F67" s="25" t="s">
        <v>857</v>
      </c>
      <c r="G67" s="50">
        <v>5025.5600800000002</v>
      </c>
      <c r="H67" s="50">
        <v>4</v>
      </c>
      <c r="I67" s="37">
        <v>12.3500003814697</v>
      </c>
      <c r="J67" s="37">
        <v>12.699999809265099</v>
      </c>
      <c r="K67" s="37">
        <v>12.5816804992083</v>
      </c>
      <c r="L67" s="37">
        <v>12.5</v>
      </c>
      <c r="M67" s="37">
        <v>100.43800354003901</v>
      </c>
      <c r="N67" s="37">
        <v>101.138999938965</v>
      </c>
      <c r="O67" s="37">
        <v>100.672279662047</v>
      </c>
      <c r="P67" s="37">
        <v>100.899002075195</v>
      </c>
      <c r="Q67" s="50">
        <v>4445.6449439999997</v>
      </c>
      <c r="R67" s="50">
        <v>2</v>
      </c>
      <c r="S67" s="37">
        <v>12.25</v>
      </c>
      <c r="T67" s="37">
        <v>12.5</v>
      </c>
      <c r="U67" s="37">
        <v>12.3306233062331</v>
      </c>
      <c r="V67" s="37">
        <v>12.25</v>
      </c>
      <c r="W67" s="37">
        <v>100.30899810791</v>
      </c>
      <c r="X67" s="37">
        <v>100.44000244140599</v>
      </c>
      <c r="Y67" s="37">
        <v>100.397754431417</v>
      </c>
      <c r="Z67" s="37">
        <v>100.30899810791</v>
      </c>
      <c r="AA67" s="94">
        <v>0</v>
      </c>
      <c r="AB67" s="76"/>
      <c r="AC67" s="25"/>
      <c r="AD67" s="25"/>
      <c r="AE67" s="25"/>
      <c r="AF67" s="25"/>
      <c r="AG67" s="25"/>
      <c r="AH67" s="25"/>
      <c r="AI67" s="25"/>
      <c r="AJ67" s="25"/>
      <c r="AK67" s="25"/>
    </row>
    <row r="68" spans="1:37" x14ac:dyDescent="0.35">
      <c r="A68" s="1"/>
      <c r="B68" s="5"/>
      <c r="C68" s="25" t="s">
        <v>858</v>
      </c>
      <c r="D68" s="25" t="s">
        <v>859</v>
      </c>
      <c r="E68" s="25" t="s">
        <v>860</v>
      </c>
      <c r="F68" s="25" t="s">
        <v>861</v>
      </c>
      <c r="G68" s="50">
        <v>0</v>
      </c>
      <c r="H68" s="25"/>
      <c r="I68" s="25"/>
      <c r="J68" s="25"/>
      <c r="K68" s="25"/>
      <c r="L68" s="25"/>
      <c r="M68" s="25"/>
      <c r="N68" s="25"/>
      <c r="O68" s="25"/>
      <c r="P68" s="25"/>
      <c r="Q68" s="50">
        <v>993.90599999999995</v>
      </c>
      <c r="R68" s="50">
        <v>1</v>
      </c>
      <c r="S68" s="37">
        <v>12.001000404357899</v>
      </c>
      <c r="T68" s="37">
        <v>12.001000404357899</v>
      </c>
      <c r="U68" s="37">
        <v>12.001000404357899</v>
      </c>
      <c r="V68" s="37">
        <v>12.001000404357899</v>
      </c>
      <c r="W68" s="37">
        <v>99.389999389648395</v>
      </c>
      <c r="X68" s="37">
        <v>99.389999389648395</v>
      </c>
      <c r="Y68" s="37">
        <v>99.389999389648395</v>
      </c>
      <c r="Z68" s="37">
        <v>99.389999389648395</v>
      </c>
      <c r="AA68" s="94">
        <v>0</v>
      </c>
      <c r="AB68" s="76"/>
      <c r="AC68" s="25"/>
      <c r="AD68" s="25"/>
      <c r="AE68" s="25"/>
      <c r="AF68" s="25"/>
      <c r="AG68" s="25"/>
      <c r="AH68" s="25"/>
      <c r="AI68" s="25"/>
      <c r="AJ68" s="25"/>
      <c r="AK68" s="25"/>
    </row>
    <row r="69" spans="1:37" x14ac:dyDescent="0.35">
      <c r="A69" s="1"/>
      <c r="B69" s="5"/>
      <c r="C69" s="25" t="s">
        <v>858</v>
      </c>
      <c r="D69" s="25" t="s">
        <v>859</v>
      </c>
      <c r="E69" s="25" t="s">
        <v>862</v>
      </c>
      <c r="F69" s="25" t="s">
        <v>863</v>
      </c>
      <c r="G69" s="50">
        <v>0</v>
      </c>
      <c r="H69" s="25"/>
      <c r="I69" s="25"/>
      <c r="J69" s="25"/>
      <c r="K69" s="25"/>
      <c r="L69" s="25"/>
      <c r="M69" s="25"/>
      <c r="N69" s="25"/>
      <c r="O69" s="25"/>
      <c r="P69" s="25"/>
      <c r="Q69" s="50">
        <v>5106.1400000000003</v>
      </c>
      <c r="R69" s="50">
        <v>1</v>
      </c>
      <c r="S69" s="37">
        <v>12.001000404357899</v>
      </c>
      <c r="T69" s="37">
        <v>12.001000404357899</v>
      </c>
      <c r="U69" s="37">
        <v>12.001000404357899</v>
      </c>
      <c r="V69" s="37">
        <v>12.001000404357899</v>
      </c>
      <c r="W69" s="37">
        <v>102.12200164794901</v>
      </c>
      <c r="X69" s="37">
        <v>102.12200164794901</v>
      </c>
      <c r="Y69" s="37">
        <v>102.12200164794901</v>
      </c>
      <c r="Z69" s="37">
        <v>102.12200164794901</v>
      </c>
      <c r="AA69" s="94">
        <v>0</v>
      </c>
      <c r="AB69" s="76"/>
      <c r="AC69" s="25"/>
      <c r="AD69" s="25"/>
      <c r="AE69" s="25"/>
      <c r="AF69" s="25"/>
      <c r="AG69" s="25"/>
      <c r="AH69" s="25"/>
      <c r="AI69" s="25"/>
      <c r="AJ69" s="25"/>
      <c r="AK69" s="25"/>
    </row>
    <row r="70" spans="1:37" x14ac:dyDescent="0.35">
      <c r="A70" s="1"/>
      <c r="B70" s="5"/>
      <c r="C70" s="25" t="s">
        <v>858</v>
      </c>
      <c r="D70" s="25" t="s">
        <v>859</v>
      </c>
      <c r="E70" s="25" t="s">
        <v>864</v>
      </c>
      <c r="F70" s="25" t="s">
        <v>865</v>
      </c>
      <c r="G70" s="50">
        <v>0</v>
      </c>
      <c r="H70" s="25"/>
      <c r="I70" s="25"/>
      <c r="J70" s="25"/>
      <c r="K70" s="25"/>
      <c r="L70" s="25"/>
      <c r="M70" s="25"/>
      <c r="N70" s="25"/>
      <c r="O70" s="25"/>
      <c r="P70" s="25"/>
      <c r="Q70" s="50">
        <v>2036.644</v>
      </c>
      <c r="R70" s="50">
        <v>1</v>
      </c>
      <c r="S70" s="37">
        <v>12.25</v>
      </c>
      <c r="T70" s="37">
        <v>12.25</v>
      </c>
      <c r="U70" s="37">
        <v>12.25</v>
      </c>
      <c r="V70" s="37">
        <v>12.25</v>
      </c>
      <c r="W70" s="37">
        <v>101.832000732422</v>
      </c>
      <c r="X70" s="37">
        <v>101.832000732422</v>
      </c>
      <c r="Y70" s="37">
        <v>101.832000732422</v>
      </c>
      <c r="Z70" s="37">
        <v>101.832000732422</v>
      </c>
      <c r="AA70" s="94">
        <v>0</v>
      </c>
      <c r="AB70" s="76"/>
      <c r="AC70" s="25"/>
      <c r="AD70" s="25"/>
      <c r="AE70" s="25"/>
      <c r="AF70" s="25"/>
      <c r="AG70" s="25"/>
      <c r="AH70" s="25"/>
      <c r="AI70" s="25"/>
      <c r="AJ70" s="25"/>
      <c r="AK70" s="25"/>
    </row>
    <row r="71" spans="1:37" x14ac:dyDescent="0.35">
      <c r="A71" s="1"/>
      <c r="B71" s="5"/>
      <c r="C71" s="25" t="s">
        <v>858</v>
      </c>
      <c r="D71" s="25" t="s">
        <v>859</v>
      </c>
      <c r="E71" s="25" t="s">
        <v>490</v>
      </c>
      <c r="F71" s="25" t="s">
        <v>866</v>
      </c>
      <c r="G71" s="50">
        <v>0</v>
      </c>
      <c r="H71" s="25"/>
      <c r="I71" s="25"/>
      <c r="J71" s="25"/>
      <c r="K71" s="25"/>
      <c r="L71" s="25"/>
      <c r="M71" s="25"/>
      <c r="N71" s="25"/>
      <c r="O71" s="25"/>
      <c r="P71" s="25"/>
      <c r="Q71" s="50">
        <v>13257.785</v>
      </c>
      <c r="R71" s="50">
        <v>2</v>
      </c>
      <c r="S71" s="37">
        <v>12.199999809265099</v>
      </c>
      <c r="T71" s="37">
        <v>12.201000213623001</v>
      </c>
      <c r="U71" s="37">
        <v>12.200230671809299</v>
      </c>
      <c r="V71" s="37">
        <v>12.201000213623001</v>
      </c>
      <c r="W71" s="37">
        <v>101.970001220703</v>
      </c>
      <c r="X71" s="37">
        <v>102.024002075195</v>
      </c>
      <c r="Y71" s="37">
        <v>101.98246295635499</v>
      </c>
      <c r="Z71" s="37">
        <v>101.970001220703</v>
      </c>
      <c r="AA71" s="94">
        <v>0</v>
      </c>
      <c r="AB71" s="76"/>
      <c r="AC71" s="25"/>
      <c r="AD71" s="25"/>
      <c r="AE71" s="25"/>
      <c r="AF71" s="25"/>
      <c r="AG71" s="25"/>
      <c r="AH71" s="25"/>
      <c r="AI71" s="25"/>
      <c r="AJ71" s="25"/>
      <c r="AK71" s="25"/>
    </row>
    <row r="72" spans="1:37" x14ac:dyDescent="0.35">
      <c r="A72" s="1"/>
      <c r="B72" s="5"/>
      <c r="C72" s="25" t="s">
        <v>858</v>
      </c>
      <c r="D72" s="25" t="s">
        <v>859</v>
      </c>
      <c r="E72" s="25" t="s">
        <v>495</v>
      </c>
      <c r="F72" s="25" t="s">
        <v>867</v>
      </c>
      <c r="G72" s="50">
        <v>0</v>
      </c>
      <c r="H72" s="25"/>
      <c r="I72" s="25"/>
      <c r="J72" s="25"/>
      <c r="K72" s="25"/>
      <c r="L72" s="25"/>
      <c r="M72" s="25"/>
      <c r="N72" s="25"/>
      <c r="O72" s="25"/>
      <c r="P72" s="25"/>
      <c r="Q72" s="50">
        <v>7626.15</v>
      </c>
      <c r="R72" s="50">
        <v>1</v>
      </c>
      <c r="S72" s="37">
        <v>12.199999809265099</v>
      </c>
      <c r="T72" s="37">
        <v>12.199999809265099</v>
      </c>
      <c r="U72" s="37">
        <v>12.199999809265099</v>
      </c>
      <c r="V72" s="37">
        <v>12.199999809265099</v>
      </c>
      <c r="W72" s="37">
        <v>101.681999206543</v>
      </c>
      <c r="X72" s="37">
        <v>101.681999206543</v>
      </c>
      <c r="Y72" s="37">
        <v>101.681999206543</v>
      </c>
      <c r="Z72" s="37">
        <v>101.681999206543</v>
      </c>
      <c r="AA72" s="94">
        <v>0</v>
      </c>
      <c r="AB72" s="76"/>
      <c r="AC72" s="25"/>
      <c r="AD72" s="25"/>
      <c r="AE72" s="25"/>
      <c r="AF72" s="25"/>
      <c r="AG72" s="25"/>
      <c r="AH72" s="25"/>
      <c r="AI72" s="25"/>
      <c r="AJ72" s="25"/>
      <c r="AK72" s="25"/>
    </row>
    <row r="73" spans="1:37" x14ac:dyDescent="0.35">
      <c r="A73" s="1"/>
      <c r="B73" s="5"/>
      <c r="C73" s="25" t="s">
        <v>868</v>
      </c>
      <c r="D73" s="25" t="s">
        <v>859</v>
      </c>
      <c r="E73" s="25" t="s">
        <v>797</v>
      </c>
      <c r="F73" s="25" t="s">
        <v>869</v>
      </c>
      <c r="G73" s="50">
        <v>0</v>
      </c>
      <c r="H73" s="25"/>
      <c r="I73" s="25"/>
      <c r="J73" s="25"/>
      <c r="K73" s="25"/>
      <c r="L73" s="25"/>
      <c r="M73" s="25"/>
      <c r="N73" s="25"/>
      <c r="O73" s="25"/>
      <c r="P73" s="25"/>
      <c r="Q73" s="50">
        <v>1038.077</v>
      </c>
      <c r="R73" s="50">
        <v>1</v>
      </c>
      <c r="S73" s="37">
        <v>12.25</v>
      </c>
      <c r="T73" s="37">
        <v>12.25</v>
      </c>
      <c r="U73" s="37">
        <v>12.25</v>
      </c>
      <c r="V73" s="37">
        <v>12.25</v>
      </c>
      <c r="W73" s="37">
        <v>103.806999206543</v>
      </c>
      <c r="X73" s="37">
        <v>103.806999206543</v>
      </c>
      <c r="Y73" s="37">
        <v>103.806999206543</v>
      </c>
      <c r="Z73" s="37">
        <v>103.806999206543</v>
      </c>
      <c r="AA73" s="94">
        <v>0</v>
      </c>
      <c r="AB73" s="76"/>
      <c r="AC73" s="25"/>
      <c r="AD73" s="25"/>
      <c r="AE73" s="25"/>
      <c r="AF73" s="25"/>
      <c r="AG73" s="25"/>
      <c r="AH73" s="25"/>
      <c r="AI73" s="25"/>
      <c r="AJ73" s="25"/>
      <c r="AK73" s="25"/>
    </row>
    <row r="74" spans="1:37" x14ac:dyDescent="0.35">
      <c r="A74" s="1"/>
      <c r="B74" s="5"/>
      <c r="C74" s="25" t="s">
        <v>870</v>
      </c>
      <c r="D74" s="25" t="s">
        <v>780</v>
      </c>
      <c r="E74" s="25" t="s">
        <v>871</v>
      </c>
      <c r="F74" s="25" t="s">
        <v>872</v>
      </c>
      <c r="G74" s="50">
        <v>2016.76</v>
      </c>
      <c r="H74" s="50">
        <v>1</v>
      </c>
      <c r="I74" s="37">
        <v>12.1499996185303</v>
      </c>
      <c r="J74" s="37">
        <v>12.1499996185303</v>
      </c>
      <c r="K74" s="37">
        <v>12.1499996185303</v>
      </c>
      <c r="L74" s="37">
        <v>12.1499996185303</v>
      </c>
      <c r="M74" s="37">
        <v>100.837997436523</v>
      </c>
      <c r="N74" s="37">
        <v>100.837997436523</v>
      </c>
      <c r="O74" s="37">
        <v>100.837997436523</v>
      </c>
      <c r="P74" s="37">
        <v>100.837997436523</v>
      </c>
      <c r="Q74" s="50">
        <v>0</v>
      </c>
      <c r="R74" s="25"/>
      <c r="S74" s="25"/>
      <c r="T74" s="25"/>
      <c r="U74" s="25"/>
      <c r="V74" s="25"/>
      <c r="W74" s="25"/>
      <c r="X74" s="25"/>
      <c r="Y74" s="25"/>
      <c r="Z74" s="25"/>
      <c r="AA74" s="94">
        <v>0</v>
      </c>
      <c r="AB74" s="76"/>
      <c r="AC74" s="25"/>
      <c r="AD74" s="25"/>
      <c r="AE74" s="25"/>
      <c r="AF74" s="25"/>
      <c r="AG74" s="25"/>
      <c r="AH74" s="25"/>
      <c r="AI74" s="25"/>
      <c r="AJ74" s="25"/>
      <c r="AK74" s="25"/>
    </row>
    <row r="75" spans="1:37" x14ac:dyDescent="0.35">
      <c r="A75" s="1"/>
      <c r="B75" s="5"/>
      <c r="C75" s="25" t="s">
        <v>873</v>
      </c>
      <c r="D75" s="25" t="s">
        <v>780</v>
      </c>
      <c r="E75" s="25" t="s">
        <v>874</v>
      </c>
      <c r="F75" s="25" t="s">
        <v>875</v>
      </c>
      <c r="G75" s="50">
        <v>0</v>
      </c>
      <c r="H75" s="25"/>
      <c r="I75" s="25"/>
      <c r="J75" s="25"/>
      <c r="K75" s="25"/>
      <c r="L75" s="25"/>
      <c r="M75" s="25"/>
      <c r="N75" s="25"/>
      <c r="O75" s="25"/>
      <c r="P75" s="25"/>
      <c r="Q75" s="50">
        <v>2877.1247410000001</v>
      </c>
      <c r="R75" s="50">
        <v>5</v>
      </c>
      <c r="S75" s="37">
        <v>11.8999996185303</v>
      </c>
      <c r="T75" s="37">
        <v>11.8999996185303</v>
      </c>
      <c r="U75" s="37">
        <v>11.8999996185303</v>
      </c>
      <c r="V75" s="37">
        <v>11.8999996185303</v>
      </c>
      <c r="W75" s="37">
        <v>100.765998840332</v>
      </c>
      <c r="X75" s="37">
        <v>100.765998840332</v>
      </c>
      <c r="Y75" s="37">
        <v>100.765998840332</v>
      </c>
      <c r="Z75" s="37">
        <v>100.765998840332</v>
      </c>
      <c r="AA75" s="94">
        <v>0</v>
      </c>
      <c r="AB75" s="76"/>
      <c r="AC75" s="25"/>
      <c r="AD75" s="25"/>
      <c r="AE75" s="25"/>
      <c r="AF75" s="25"/>
      <c r="AG75" s="25"/>
      <c r="AH75" s="25"/>
      <c r="AI75" s="25"/>
      <c r="AJ75" s="25"/>
      <c r="AK75" s="25"/>
    </row>
    <row r="76" spans="1:37" x14ac:dyDescent="0.35">
      <c r="A76" s="1"/>
      <c r="B76" s="5"/>
      <c r="C76" s="25" t="s">
        <v>873</v>
      </c>
      <c r="D76" s="25" t="s">
        <v>780</v>
      </c>
      <c r="E76" s="25" t="s">
        <v>487</v>
      </c>
      <c r="F76" s="25" t="s">
        <v>876</v>
      </c>
      <c r="G76" s="50">
        <v>1025.24</v>
      </c>
      <c r="H76" s="50">
        <v>1</v>
      </c>
      <c r="I76" s="37">
        <v>12.699999809265099</v>
      </c>
      <c r="J76" s="37">
        <v>12.699999809265099</v>
      </c>
      <c r="K76" s="37">
        <v>12.699999809265099</v>
      </c>
      <c r="L76" s="37">
        <v>12.699999809265099</v>
      </c>
      <c r="M76" s="37">
        <v>102.524002075195</v>
      </c>
      <c r="N76" s="37">
        <v>102.524002075195</v>
      </c>
      <c r="O76" s="37">
        <v>102.524002075195</v>
      </c>
      <c r="P76" s="37">
        <v>102.524002075195</v>
      </c>
      <c r="Q76" s="50">
        <v>0</v>
      </c>
      <c r="R76" s="25"/>
      <c r="S76" s="25"/>
      <c r="T76" s="25"/>
      <c r="U76" s="25"/>
      <c r="V76" s="25"/>
      <c r="W76" s="25"/>
      <c r="X76" s="25"/>
      <c r="Y76" s="25"/>
      <c r="Z76" s="25"/>
      <c r="AA76" s="94">
        <v>0</v>
      </c>
      <c r="AB76" s="76"/>
      <c r="AC76" s="25"/>
      <c r="AD76" s="25"/>
      <c r="AE76" s="25"/>
      <c r="AF76" s="25"/>
      <c r="AG76" s="25"/>
      <c r="AH76" s="25"/>
      <c r="AI76" s="25"/>
      <c r="AJ76" s="25"/>
      <c r="AK76" s="25"/>
    </row>
    <row r="77" spans="1:37" x14ac:dyDescent="0.35">
      <c r="A77" s="1"/>
      <c r="B77" s="5"/>
      <c r="C77" s="25" t="s">
        <v>873</v>
      </c>
      <c r="D77" s="25" t="s">
        <v>780</v>
      </c>
      <c r="E77" s="25" t="s">
        <v>489</v>
      </c>
      <c r="F77" s="25" t="s">
        <v>877</v>
      </c>
      <c r="G77" s="50">
        <v>0</v>
      </c>
      <c r="H77" s="25"/>
      <c r="I77" s="25"/>
      <c r="J77" s="25"/>
      <c r="K77" s="25"/>
      <c r="L77" s="25"/>
      <c r="M77" s="25"/>
      <c r="N77" s="25"/>
      <c r="O77" s="25"/>
      <c r="P77" s="25"/>
      <c r="Q77" s="50">
        <v>5087.1499999999996</v>
      </c>
      <c r="R77" s="50">
        <v>1</v>
      </c>
      <c r="S77" s="37">
        <v>12.201000213623001</v>
      </c>
      <c r="T77" s="37">
        <v>12.201000213623001</v>
      </c>
      <c r="U77" s="37">
        <v>12.201000213623001</v>
      </c>
      <c r="V77" s="37">
        <v>12.201000213623001</v>
      </c>
      <c r="W77" s="37">
        <v>101.74299621582</v>
      </c>
      <c r="X77" s="37">
        <v>101.74299621582</v>
      </c>
      <c r="Y77" s="37">
        <v>101.74299621582</v>
      </c>
      <c r="Z77" s="37">
        <v>101.74299621582</v>
      </c>
      <c r="AA77" s="94">
        <v>0</v>
      </c>
      <c r="AB77" s="76"/>
      <c r="AC77" s="25"/>
      <c r="AD77" s="25"/>
      <c r="AE77" s="25"/>
      <c r="AF77" s="25"/>
      <c r="AG77" s="25"/>
      <c r="AH77" s="25"/>
      <c r="AI77" s="25"/>
      <c r="AJ77" s="25"/>
      <c r="AK77" s="25"/>
    </row>
    <row r="78" spans="1:37" x14ac:dyDescent="0.35">
      <c r="A78" s="1"/>
      <c r="B78" s="5"/>
      <c r="C78" s="25" t="s">
        <v>873</v>
      </c>
      <c r="D78" s="25" t="s">
        <v>780</v>
      </c>
      <c r="E78" s="25" t="s">
        <v>495</v>
      </c>
      <c r="F78" s="25" t="s">
        <v>878</v>
      </c>
      <c r="G78" s="50">
        <v>0</v>
      </c>
      <c r="H78" s="25"/>
      <c r="I78" s="25"/>
      <c r="J78" s="25"/>
      <c r="K78" s="25"/>
      <c r="L78" s="25"/>
      <c r="M78" s="25"/>
      <c r="N78" s="25"/>
      <c r="O78" s="25"/>
      <c r="P78" s="25"/>
      <c r="Q78" s="50">
        <v>2542.75</v>
      </c>
      <c r="R78" s="50">
        <v>2</v>
      </c>
      <c r="S78" s="37">
        <v>11.8999996185303</v>
      </c>
      <c r="T78" s="37">
        <v>12.25</v>
      </c>
      <c r="U78" s="37">
        <v>12.0399997711182</v>
      </c>
      <c r="V78" s="37">
        <v>12.25</v>
      </c>
      <c r="W78" s="37">
        <v>101.524002075195</v>
      </c>
      <c r="X78" s="37">
        <v>101.833000183105</v>
      </c>
      <c r="Y78" s="37">
        <v>101.70940093994101</v>
      </c>
      <c r="Z78" s="37">
        <v>101.833000183105</v>
      </c>
      <c r="AA78" s="94">
        <v>0</v>
      </c>
      <c r="AB78" s="76"/>
      <c r="AC78" s="25"/>
      <c r="AD78" s="25"/>
      <c r="AE78" s="25"/>
      <c r="AF78" s="25"/>
      <c r="AG78" s="25"/>
      <c r="AH78" s="25"/>
      <c r="AI78" s="25"/>
      <c r="AJ78" s="25"/>
      <c r="AK78" s="25"/>
    </row>
    <row r="79" spans="1:37" x14ac:dyDescent="0.35">
      <c r="A79" s="1"/>
      <c r="B79" s="5"/>
      <c r="C79" s="25" t="s">
        <v>727</v>
      </c>
      <c r="D79" s="25" t="s">
        <v>879</v>
      </c>
      <c r="E79" s="25" t="s">
        <v>516</v>
      </c>
      <c r="F79" s="25" t="s">
        <v>729</v>
      </c>
      <c r="G79" s="50">
        <v>0</v>
      </c>
      <c r="H79" s="25"/>
      <c r="I79" s="25"/>
      <c r="J79" s="25"/>
      <c r="K79" s="25"/>
      <c r="L79" s="25"/>
      <c r="M79" s="25"/>
      <c r="N79" s="25"/>
      <c r="O79" s="25"/>
      <c r="P79" s="25"/>
      <c r="Q79" s="50">
        <v>10000</v>
      </c>
      <c r="R79" s="50">
        <v>2</v>
      </c>
      <c r="S79" s="37">
        <v>11</v>
      </c>
      <c r="T79" s="37">
        <v>12.300000190734901</v>
      </c>
      <c r="U79" s="37">
        <v>11.6500000953674</v>
      </c>
      <c r="V79" s="37">
        <v>12.300000190734901</v>
      </c>
      <c r="W79" s="37">
        <v>100</v>
      </c>
      <c r="X79" s="37">
        <v>100</v>
      </c>
      <c r="Y79" s="37">
        <v>100</v>
      </c>
      <c r="Z79" s="37">
        <v>100</v>
      </c>
      <c r="AA79" s="94">
        <v>0</v>
      </c>
      <c r="AB79" s="76"/>
      <c r="AC79" s="25"/>
      <c r="AD79" s="25"/>
      <c r="AE79" s="25"/>
      <c r="AF79" s="25"/>
      <c r="AG79" s="25"/>
      <c r="AH79" s="25"/>
      <c r="AI79" s="25"/>
      <c r="AJ79" s="25"/>
      <c r="AK79" s="25"/>
    </row>
    <row r="80" spans="1:37" x14ac:dyDescent="0.35">
      <c r="A80" s="1"/>
      <c r="B80" s="5"/>
      <c r="C80" s="25" t="s">
        <v>880</v>
      </c>
      <c r="D80" s="25" t="s">
        <v>881</v>
      </c>
      <c r="E80" s="25" t="s">
        <v>882</v>
      </c>
      <c r="F80" s="25" t="s">
        <v>883</v>
      </c>
      <c r="G80" s="50">
        <v>55351.576000000001</v>
      </c>
      <c r="H80" s="50">
        <v>3</v>
      </c>
      <c r="I80" s="37">
        <v>12.324999809265099</v>
      </c>
      <c r="J80" s="37">
        <v>12.550000190734901</v>
      </c>
      <c r="K80" s="37">
        <v>12.3392562945027</v>
      </c>
      <c r="L80" s="37">
        <v>12.550000190734901</v>
      </c>
      <c r="M80" s="37">
        <v>91.359001159667997</v>
      </c>
      <c r="N80" s="37">
        <v>91.499000549316406</v>
      </c>
      <c r="O80" s="37">
        <v>91.4899102203117</v>
      </c>
      <c r="P80" s="37">
        <v>91.359001159667997</v>
      </c>
      <c r="Q80" s="50">
        <v>0</v>
      </c>
      <c r="R80" s="25"/>
      <c r="S80" s="25"/>
      <c r="T80" s="25"/>
      <c r="U80" s="25"/>
      <c r="V80" s="25"/>
      <c r="W80" s="25"/>
      <c r="X80" s="25"/>
      <c r="Y80" s="25"/>
      <c r="Z80" s="25"/>
      <c r="AA80" s="94">
        <v>0</v>
      </c>
      <c r="AB80" s="76"/>
      <c r="AC80" s="25"/>
      <c r="AD80" s="25"/>
      <c r="AE80" s="25"/>
      <c r="AF80" s="25"/>
      <c r="AG80" s="25"/>
      <c r="AH80" s="25"/>
      <c r="AI80" s="25"/>
      <c r="AJ80" s="25"/>
      <c r="AK80" s="25"/>
    </row>
    <row r="81" spans="1:37" x14ac:dyDescent="0.35">
      <c r="A81" s="1"/>
      <c r="B81" s="5"/>
      <c r="C81" s="25" t="s">
        <v>884</v>
      </c>
      <c r="D81" s="25" t="s">
        <v>881</v>
      </c>
      <c r="E81" s="25" t="s">
        <v>885</v>
      </c>
      <c r="F81" s="25" t="s">
        <v>886</v>
      </c>
      <c r="G81" s="50">
        <v>3228.6590000000001</v>
      </c>
      <c r="H81" s="50">
        <v>3</v>
      </c>
      <c r="I81" s="37">
        <v>12.451000213623001</v>
      </c>
      <c r="J81" s="37">
        <v>12.451000213623001</v>
      </c>
      <c r="K81" s="37">
        <v>12.451000213623001</v>
      </c>
      <c r="L81" s="37">
        <v>12.451000213623001</v>
      </c>
      <c r="M81" s="37">
        <v>92.247001647949205</v>
      </c>
      <c r="N81" s="37">
        <v>92.247001647949205</v>
      </c>
      <c r="O81" s="37">
        <v>92.247001647949205</v>
      </c>
      <c r="P81" s="37">
        <v>92.247001647949205</v>
      </c>
      <c r="Q81" s="50">
        <v>0</v>
      </c>
      <c r="R81" s="25"/>
      <c r="S81" s="25"/>
      <c r="T81" s="25"/>
      <c r="U81" s="25"/>
      <c r="V81" s="25"/>
      <c r="W81" s="25"/>
      <c r="X81" s="25"/>
      <c r="Y81" s="25"/>
      <c r="Z81" s="25"/>
      <c r="AA81" s="94">
        <v>0</v>
      </c>
      <c r="AB81" s="76"/>
      <c r="AC81" s="25"/>
      <c r="AD81" s="25"/>
      <c r="AE81" s="25"/>
      <c r="AF81" s="25"/>
      <c r="AG81" s="25"/>
      <c r="AH81" s="25"/>
      <c r="AI81" s="25"/>
      <c r="AJ81" s="25"/>
      <c r="AK81" s="25"/>
    </row>
    <row r="82" spans="1:37" x14ac:dyDescent="0.35">
      <c r="A82" s="1"/>
      <c r="B82" s="5"/>
      <c r="C82" s="25" t="s">
        <v>887</v>
      </c>
      <c r="D82" s="25" t="s">
        <v>881</v>
      </c>
      <c r="E82" s="25" t="s">
        <v>888</v>
      </c>
      <c r="F82" s="25" t="s">
        <v>889</v>
      </c>
      <c r="G82" s="50">
        <v>0</v>
      </c>
      <c r="H82" s="25"/>
      <c r="I82" s="25"/>
      <c r="J82" s="25"/>
      <c r="K82" s="25"/>
      <c r="L82" s="25"/>
      <c r="M82" s="25"/>
      <c r="N82" s="25"/>
      <c r="O82" s="25"/>
      <c r="P82" s="25"/>
      <c r="Q82" s="50">
        <v>62128.780903999999</v>
      </c>
      <c r="R82" s="50">
        <v>3</v>
      </c>
      <c r="S82" s="37">
        <v>10.5</v>
      </c>
      <c r="T82" s="37">
        <v>12</v>
      </c>
      <c r="U82" s="37">
        <v>11.391812545962001</v>
      </c>
      <c r="V82" s="37">
        <v>12</v>
      </c>
      <c r="W82" s="37">
        <v>97.896003723144503</v>
      </c>
      <c r="X82" s="37">
        <v>97.896003723144503</v>
      </c>
      <c r="Y82" s="37">
        <v>97.896003723144503</v>
      </c>
      <c r="Z82" s="37">
        <v>97.896003723144503</v>
      </c>
      <c r="AA82" s="94">
        <v>0</v>
      </c>
      <c r="AB82" s="76"/>
      <c r="AC82" s="25"/>
      <c r="AD82" s="25"/>
      <c r="AE82" s="25"/>
      <c r="AF82" s="25"/>
      <c r="AG82" s="25"/>
      <c r="AH82" s="25"/>
      <c r="AI82" s="25"/>
      <c r="AJ82" s="25"/>
      <c r="AK82" s="25"/>
    </row>
    <row r="83" spans="1:37" x14ac:dyDescent="0.35">
      <c r="A83" s="1"/>
      <c r="B83" s="5"/>
      <c r="C83" s="25" t="s">
        <v>890</v>
      </c>
      <c r="D83" s="25" t="s">
        <v>881</v>
      </c>
      <c r="E83" s="25" t="s">
        <v>891</v>
      </c>
      <c r="F83" s="25" t="s">
        <v>892</v>
      </c>
      <c r="G83" s="50">
        <v>66407.686000000002</v>
      </c>
      <c r="H83" s="50">
        <v>10</v>
      </c>
      <c r="I83" s="37">
        <v>12.170000076293899</v>
      </c>
      <c r="J83" s="37">
        <v>12.2600002288818</v>
      </c>
      <c r="K83" s="37">
        <v>12.203500120980401</v>
      </c>
      <c r="L83" s="37">
        <v>12.25</v>
      </c>
      <c r="M83" s="37">
        <v>94.846000671386705</v>
      </c>
      <c r="N83" s="37">
        <v>94.880996704101605</v>
      </c>
      <c r="O83" s="37">
        <v>94.867999049595397</v>
      </c>
      <c r="P83" s="37">
        <v>94.849998474121094</v>
      </c>
      <c r="Q83" s="50">
        <v>0</v>
      </c>
      <c r="R83" s="25"/>
      <c r="S83" s="25"/>
      <c r="T83" s="25"/>
      <c r="U83" s="25"/>
      <c r="V83" s="25"/>
      <c r="W83" s="25"/>
      <c r="X83" s="25"/>
      <c r="Y83" s="25"/>
      <c r="Z83" s="25"/>
      <c r="AA83" s="94">
        <v>0</v>
      </c>
      <c r="AB83" s="76"/>
      <c r="AC83" s="25"/>
      <c r="AD83" s="25"/>
      <c r="AE83" s="25"/>
      <c r="AF83" s="25"/>
      <c r="AG83" s="25"/>
      <c r="AH83" s="25"/>
      <c r="AI83" s="25"/>
      <c r="AJ83" s="25"/>
      <c r="AK83" s="25"/>
    </row>
    <row r="84" spans="1:37" x14ac:dyDescent="0.35">
      <c r="A84" s="1"/>
      <c r="B84" s="5"/>
      <c r="C84" s="25" t="s">
        <v>333</v>
      </c>
      <c r="D84" s="25" t="s">
        <v>881</v>
      </c>
      <c r="E84" s="25" t="s">
        <v>893</v>
      </c>
      <c r="F84" s="25" t="s">
        <v>894</v>
      </c>
      <c r="G84" s="50">
        <v>0</v>
      </c>
      <c r="H84" s="25"/>
      <c r="I84" s="25"/>
      <c r="J84" s="25"/>
      <c r="K84" s="25"/>
      <c r="L84" s="25"/>
      <c r="M84" s="25"/>
      <c r="N84" s="25"/>
      <c r="O84" s="25"/>
      <c r="P84" s="25"/>
      <c r="Q84" s="50">
        <v>3396129.3769419999</v>
      </c>
      <c r="R84" s="50">
        <v>60</v>
      </c>
      <c r="S84" s="37">
        <v>8.75</v>
      </c>
      <c r="T84" s="37">
        <v>12.1000003814697</v>
      </c>
      <c r="U84" s="37">
        <v>11.9091796434437</v>
      </c>
      <c r="V84" s="37">
        <v>12</v>
      </c>
      <c r="W84" s="37">
        <v>107.903999328613</v>
      </c>
      <c r="X84" s="37">
        <v>108.26000213623</v>
      </c>
      <c r="Y84" s="37">
        <v>108.08833369441599</v>
      </c>
      <c r="Z84" s="37">
        <v>108.140998840332</v>
      </c>
      <c r="AA84" s="94">
        <v>0</v>
      </c>
      <c r="AB84" s="76"/>
      <c r="AC84" s="25"/>
      <c r="AD84" s="25"/>
      <c r="AE84" s="25"/>
      <c r="AF84" s="25"/>
      <c r="AG84" s="25"/>
      <c r="AH84" s="25"/>
      <c r="AI84" s="25"/>
      <c r="AJ84" s="25"/>
      <c r="AK84" s="25"/>
    </row>
    <row r="85" spans="1:37" x14ac:dyDescent="0.35">
      <c r="A85" s="1"/>
      <c r="B85" s="5"/>
      <c r="C85" s="25" t="s">
        <v>337</v>
      </c>
      <c r="D85" s="25" t="s">
        <v>881</v>
      </c>
      <c r="E85" s="25" t="s">
        <v>895</v>
      </c>
      <c r="F85" s="25" t="s">
        <v>896</v>
      </c>
      <c r="G85" s="50">
        <v>260836.28124000001</v>
      </c>
      <c r="H85" s="50">
        <v>38</v>
      </c>
      <c r="I85" s="37">
        <v>11.8999996185303</v>
      </c>
      <c r="J85" s="37">
        <v>12.1099996566772</v>
      </c>
      <c r="K85" s="37">
        <v>12.051945778991501</v>
      </c>
      <c r="L85" s="37">
        <v>12.0200004577637</v>
      </c>
      <c r="M85" s="37">
        <v>106.580001831055</v>
      </c>
      <c r="N85" s="37">
        <v>107.166999816895</v>
      </c>
      <c r="O85" s="37">
        <v>106.741726509852</v>
      </c>
      <c r="P85" s="37">
        <v>106.831001281738</v>
      </c>
      <c r="Q85" s="50">
        <v>668322.19400000002</v>
      </c>
      <c r="R85" s="50">
        <v>14</v>
      </c>
      <c r="S85" s="37">
        <v>12</v>
      </c>
      <c r="T85" s="37">
        <v>12.0100002288818</v>
      </c>
      <c r="U85" s="37">
        <v>12.000175722871701</v>
      </c>
      <c r="V85" s="37">
        <v>12.0100002288818</v>
      </c>
      <c r="W85" s="37">
        <v>106.69100189209</v>
      </c>
      <c r="X85" s="37">
        <v>106.887001037598</v>
      </c>
      <c r="Y85" s="37">
        <v>106.75983402142499</v>
      </c>
      <c r="Z85" s="37">
        <v>106.74700164794901</v>
      </c>
      <c r="AA85" s="94">
        <v>0</v>
      </c>
      <c r="AB85" s="76"/>
      <c r="AC85" s="25"/>
      <c r="AD85" s="25"/>
      <c r="AE85" s="25"/>
      <c r="AF85" s="25"/>
      <c r="AG85" s="25"/>
      <c r="AH85" s="25"/>
      <c r="AI85" s="25"/>
      <c r="AJ85" s="25"/>
      <c r="AK85" s="25"/>
    </row>
    <row r="86" spans="1:37" x14ac:dyDescent="0.35">
      <c r="A86" s="1"/>
      <c r="B86" s="5"/>
      <c r="C86" s="25" t="s">
        <v>341</v>
      </c>
      <c r="D86" s="25" t="s">
        <v>881</v>
      </c>
      <c r="E86" s="25" t="s">
        <v>897</v>
      </c>
      <c r="F86" s="25" t="s">
        <v>898</v>
      </c>
      <c r="G86" s="50">
        <v>26835.177500000002</v>
      </c>
      <c r="H86" s="50">
        <v>4</v>
      </c>
      <c r="I86" s="37">
        <v>12.0349998474121</v>
      </c>
      <c r="J86" s="37">
        <v>12.0900001525879</v>
      </c>
      <c r="K86" s="37">
        <v>12.0369998585094</v>
      </c>
      <c r="L86" s="37">
        <v>12.1000003814697</v>
      </c>
      <c r="M86" s="37">
        <v>97.527999877929702</v>
      </c>
      <c r="N86" s="37">
        <v>97.583999633789105</v>
      </c>
      <c r="O86" s="37">
        <v>97.581963279030504</v>
      </c>
      <c r="P86" s="37">
        <v>97.517997741699205</v>
      </c>
      <c r="Q86" s="50">
        <v>1099019.7608</v>
      </c>
      <c r="R86" s="50">
        <v>23</v>
      </c>
      <c r="S86" s="37">
        <v>11.949999809265099</v>
      </c>
      <c r="T86" s="37">
        <v>12</v>
      </c>
      <c r="U86" s="37">
        <v>11.999112496170699</v>
      </c>
      <c r="V86" s="37">
        <v>12</v>
      </c>
      <c r="W86" s="37">
        <v>97.499000549316406</v>
      </c>
      <c r="X86" s="37">
        <v>97.639999389648395</v>
      </c>
      <c r="Y86" s="37">
        <v>97.537551517493995</v>
      </c>
      <c r="Z86" s="37">
        <v>97.637001037597699</v>
      </c>
      <c r="AA86" s="94">
        <v>0</v>
      </c>
      <c r="AB86" s="76"/>
      <c r="AC86" s="25"/>
      <c r="AD86" s="25"/>
      <c r="AE86" s="25"/>
      <c r="AF86" s="25"/>
      <c r="AG86" s="25"/>
      <c r="AH86" s="25"/>
      <c r="AI86" s="25"/>
      <c r="AJ86" s="25"/>
      <c r="AK86" s="25"/>
    </row>
    <row r="87" spans="1:37" x14ac:dyDescent="0.35">
      <c r="A87" s="1"/>
      <c r="B87" s="5"/>
      <c r="C87" s="25" t="s">
        <v>345</v>
      </c>
      <c r="D87" s="25" t="s">
        <v>881</v>
      </c>
      <c r="E87" s="25" t="s">
        <v>899</v>
      </c>
      <c r="F87" s="25" t="s">
        <v>900</v>
      </c>
      <c r="G87" s="50">
        <v>599.74459999999999</v>
      </c>
      <c r="H87" s="50">
        <v>1</v>
      </c>
      <c r="I87" s="37">
        <v>11.970999717712401</v>
      </c>
      <c r="J87" s="37">
        <v>11.970999717712401</v>
      </c>
      <c r="K87" s="37">
        <v>11.970999717712401</v>
      </c>
      <c r="L87" s="37">
        <v>12.039999961853001</v>
      </c>
      <c r="M87" s="37">
        <v>85.677001953125</v>
      </c>
      <c r="N87" s="37">
        <v>85.677001953125</v>
      </c>
      <c r="O87" s="37">
        <v>85.677001953125</v>
      </c>
      <c r="P87" s="37">
        <v>85.470001220703097</v>
      </c>
      <c r="Q87" s="50">
        <v>0</v>
      </c>
      <c r="R87" s="25"/>
      <c r="S87" s="25"/>
      <c r="T87" s="25"/>
      <c r="U87" s="25"/>
      <c r="V87" s="25"/>
      <c r="W87" s="25"/>
      <c r="X87" s="25"/>
      <c r="Y87" s="25"/>
      <c r="Z87" s="25"/>
      <c r="AA87" s="94">
        <v>0</v>
      </c>
      <c r="AB87" s="76"/>
      <c r="AC87" s="25"/>
      <c r="AD87" s="25"/>
      <c r="AE87" s="25"/>
      <c r="AF87" s="25"/>
      <c r="AG87" s="25"/>
      <c r="AH87" s="25"/>
      <c r="AI87" s="25"/>
      <c r="AJ87" s="25"/>
      <c r="AK87" s="25"/>
    </row>
    <row r="88" spans="1:37" x14ac:dyDescent="0.35">
      <c r="A88" s="1"/>
      <c r="B88" s="5"/>
      <c r="C88" s="25" t="s">
        <v>349</v>
      </c>
      <c r="D88" s="25" t="s">
        <v>881</v>
      </c>
      <c r="E88" s="25" t="s">
        <v>901</v>
      </c>
      <c r="F88" s="25" t="s">
        <v>902</v>
      </c>
      <c r="G88" s="50">
        <v>0</v>
      </c>
      <c r="H88" s="25"/>
      <c r="I88" s="25"/>
      <c r="J88" s="25"/>
      <c r="K88" s="25"/>
      <c r="L88" s="25"/>
      <c r="M88" s="25"/>
      <c r="N88" s="25"/>
      <c r="O88" s="25"/>
      <c r="P88" s="25"/>
      <c r="Q88" s="50">
        <v>131884.80869500001</v>
      </c>
      <c r="R88" s="50">
        <v>5</v>
      </c>
      <c r="S88" s="37">
        <v>12</v>
      </c>
      <c r="T88" s="37">
        <v>12.199999809265099</v>
      </c>
      <c r="U88" s="37">
        <v>12.000124178051699</v>
      </c>
      <c r="V88" s="37">
        <v>12</v>
      </c>
      <c r="W88" s="37">
        <v>111.917999267578</v>
      </c>
      <c r="X88" s="37">
        <v>112.37100219726599</v>
      </c>
      <c r="Y88" s="37">
        <v>112.172201225027</v>
      </c>
      <c r="Z88" s="37">
        <v>112.37100219726599</v>
      </c>
      <c r="AA88" s="94">
        <v>0</v>
      </c>
      <c r="AB88" s="76"/>
      <c r="AC88" s="25"/>
      <c r="AD88" s="25"/>
      <c r="AE88" s="25"/>
      <c r="AF88" s="25"/>
      <c r="AG88" s="25"/>
      <c r="AH88" s="25"/>
      <c r="AI88" s="25"/>
      <c r="AJ88" s="25"/>
      <c r="AK88" s="25"/>
    </row>
    <row r="89" spans="1:37" x14ac:dyDescent="0.35">
      <c r="A89" s="1"/>
      <c r="B89" s="5"/>
      <c r="C89" s="25" t="s">
        <v>353</v>
      </c>
      <c r="D89" s="25" t="s">
        <v>881</v>
      </c>
      <c r="E89" s="25" t="s">
        <v>903</v>
      </c>
      <c r="F89" s="25" t="s">
        <v>904</v>
      </c>
      <c r="G89" s="50">
        <v>0</v>
      </c>
      <c r="H89" s="25"/>
      <c r="I89" s="25"/>
      <c r="J89" s="25"/>
      <c r="K89" s="25"/>
      <c r="L89" s="25"/>
      <c r="M89" s="25"/>
      <c r="N89" s="25"/>
      <c r="O89" s="25"/>
      <c r="P89" s="25"/>
      <c r="Q89" s="50">
        <v>60062.993000000002</v>
      </c>
      <c r="R89" s="50">
        <v>4</v>
      </c>
      <c r="S89" s="37">
        <v>12</v>
      </c>
      <c r="T89" s="37">
        <v>12.0100002288818</v>
      </c>
      <c r="U89" s="37">
        <v>12.000087721306</v>
      </c>
      <c r="V89" s="37">
        <v>12.0100002288818</v>
      </c>
      <c r="W89" s="37">
        <v>104.63200378418</v>
      </c>
      <c r="X89" s="37">
        <v>105.397003173828</v>
      </c>
      <c r="Y89" s="37">
        <v>105.373273749101</v>
      </c>
      <c r="Z89" s="37">
        <v>104.63200378418</v>
      </c>
      <c r="AA89" s="94">
        <v>0</v>
      </c>
      <c r="AB89" s="76"/>
      <c r="AC89" s="25"/>
      <c r="AD89" s="25"/>
      <c r="AE89" s="25"/>
      <c r="AF89" s="25"/>
      <c r="AG89" s="25"/>
      <c r="AH89" s="25"/>
      <c r="AI89" s="25"/>
      <c r="AJ89" s="25"/>
      <c r="AK89" s="25"/>
    </row>
    <row r="90" spans="1:37" x14ac:dyDescent="0.35">
      <c r="A90" s="1"/>
      <c r="B90" s="5"/>
      <c r="C90" s="25" t="s">
        <v>361</v>
      </c>
      <c r="D90" s="25" t="s">
        <v>881</v>
      </c>
      <c r="E90" s="25" t="s">
        <v>905</v>
      </c>
      <c r="F90" s="25" t="s">
        <v>906</v>
      </c>
      <c r="G90" s="50">
        <v>214398.89616500001</v>
      </c>
      <c r="H90" s="50">
        <v>4</v>
      </c>
      <c r="I90" s="37">
        <v>12.0310001373291</v>
      </c>
      <c r="J90" s="37">
        <v>12.1000003814697</v>
      </c>
      <c r="K90" s="37">
        <v>12.080430489385501</v>
      </c>
      <c r="L90" s="37">
        <v>12.069999694824199</v>
      </c>
      <c r="M90" s="37">
        <v>93.474998474121094</v>
      </c>
      <c r="N90" s="37">
        <v>93.726997375488295</v>
      </c>
      <c r="O90" s="37">
        <v>93.536443322212406</v>
      </c>
      <c r="P90" s="37">
        <v>93.558998107910199</v>
      </c>
      <c r="Q90" s="50">
        <v>41390.806165000002</v>
      </c>
      <c r="R90" s="50">
        <v>1</v>
      </c>
      <c r="S90" s="37">
        <v>12.0100002288818</v>
      </c>
      <c r="T90" s="37">
        <v>12.0100002288818</v>
      </c>
      <c r="U90" s="37">
        <v>12.0100002288818</v>
      </c>
      <c r="V90" s="37">
        <v>12.0100002288818</v>
      </c>
      <c r="W90" s="37">
        <v>93.615997314453097</v>
      </c>
      <c r="X90" s="37">
        <v>93.615997314453097</v>
      </c>
      <c r="Y90" s="37">
        <v>93.615997314453097</v>
      </c>
      <c r="Z90" s="37">
        <v>93.615997314453097</v>
      </c>
      <c r="AA90" s="94">
        <v>0</v>
      </c>
      <c r="AB90" s="76"/>
      <c r="AC90" s="25"/>
      <c r="AD90" s="25"/>
      <c r="AE90" s="25"/>
      <c r="AF90" s="25"/>
      <c r="AG90" s="25"/>
      <c r="AH90" s="25"/>
      <c r="AI90" s="25"/>
      <c r="AJ90" s="25"/>
      <c r="AK90" s="25"/>
    </row>
    <row r="91" spans="1:37" x14ac:dyDescent="0.35">
      <c r="A91" s="1"/>
      <c r="B91" s="5"/>
      <c r="C91" s="25" t="s">
        <v>369</v>
      </c>
      <c r="D91" s="25" t="s">
        <v>881</v>
      </c>
      <c r="E91" s="25" t="s">
        <v>907</v>
      </c>
      <c r="F91" s="25" t="s">
        <v>908</v>
      </c>
      <c r="G91" s="50">
        <v>610965.12</v>
      </c>
      <c r="H91" s="50">
        <v>49</v>
      </c>
      <c r="I91" s="37">
        <v>12.170000076293899</v>
      </c>
      <c r="J91" s="37">
        <v>12.2700004577637</v>
      </c>
      <c r="K91" s="37">
        <v>12.2162325548403</v>
      </c>
      <c r="L91" s="37">
        <v>12.25</v>
      </c>
      <c r="M91" s="37">
        <v>92.497001647949205</v>
      </c>
      <c r="N91" s="37">
        <v>92.633003234863295</v>
      </c>
      <c r="O91" s="37">
        <v>92.569972922585194</v>
      </c>
      <c r="P91" s="37">
        <v>92.524002075195298</v>
      </c>
      <c r="Q91" s="50">
        <v>770550.29637</v>
      </c>
      <c r="R91" s="50">
        <v>30</v>
      </c>
      <c r="S91" s="37">
        <v>10.1499996185303</v>
      </c>
      <c r="T91" s="37">
        <v>12.060000419616699</v>
      </c>
      <c r="U91" s="37">
        <v>11.981138407559</v>
      </c>
      <c r="V91" s="37">
        <v>12.0100002288818</v>
      </c>
      <c r="W91" s="37">
        <v>92.524002075195298</v>
      </c>
      <c r="X91" s="37">
        <v>92.619003295898395</v>
      </c>
      <c r="Y91" s="37">
        <v>92.564100287916006</v>
      </c>
      <c r="Z91" s="37">
        <v>92.565002441406307</v>
      </c>
      <c r="AA91" s="94">
        <v>0</v>
      </c>
      <c r="AB91" s="76"/>
      <c r="AC91" s="25"/>
      <c r="AD91" s="25"/>
      <c r="AE91" s="25"/>
      <c r="AF91" s="25"/>
      <c r="AG91" s="25"/>
      <c r="AH91" s="25"/>
      <c r="AI91" s="25"/>
      <c r="AJ91" s="25"/>
      <c r="AK91" s="25"/>
    </row>
    <row r="92" spans="1:37" x14ac:dyDescent="0.35">
      <c r="A92" s="1"/>
      <c r="B92" s="5"/>
      <c r="C92" s="25" t="s">
        <v>373</v>
      </c>
      <c r="D92" s="25" t="s">
        <v>881</v>
      </c>
      <c r="E92" s="25" t="s">
        <v>909</v>
      </c>
      <c r="F92" s="25" t="s">
        <v>910</v>
      </c>
      <c r="G92" s="50">
        <v>0</v>
      </c>
      <c r="H92" s="25"/>
      <c r="I92" s="25"/>
      <c r="J92" s="25"/>
      <c r="K92" s="25"/>
      <c r="L92" s="25"/>
      <c r="M92" s="25"/>
      <c r="N92" s="25"/>
      <c r="O92" s="25"/>
      <c r="P92" s="25"/>
      <c r="Q92" s="50">
        <v>72885.296199999997</v>
      </c>
      <c r="R92" s="50">
        <v>8</v>
      </c>
      <c r="S92" s="37">
        <v>8.5</v>
      </c>
      <c r="T92" s="37">
        <v>12</v>
      </c>
      <c r="U92" s="37">
        <v>9.4725705329153609</v>
      </c>
      <c r="V92" s="37">
        <v>10.5</v>
      </c>
      <c r="W92" s="37">
        <v>113.837997436523</v>
      </c>
      <c r="X92" s="37">
        <v>115.24299621582</v>
      </c>
      <c r="Y92" s="37">
        <v>114.239874848751</v>
      </c>
      <c r="Z92" s="37">
        <v>114.57199859619099</v>
      </c>
      <c r="AA92" s="94">
        <v>0</v>
      </c>
      <c r="AB92" s="76"/>
      <c r="AC92" s="25"/>
      <c r="AD92" s="25"/>
      <c r="AE92" s="25"/>
      <c r="AF92" s="25"/>
      <c r="AG92" s="25"/>
      <c r="AH92" s="25"/>
      <c r="AI92" s="25"/>
      <c r="AJ92" s="25"/>
      <c r="AK92" s="25"/>
    </row>
    <row r="93" spans="1:37" x14ac:dyDescent="0.35">
      <c r="A93" s="1"/>
      <c r="B93" s="5"/>
      <c r="C93" s="25" t="s">
        <v>385</v>
      </c>
      <c r="D93" s="25" t="s">
        <v>881</v>
      </c>
      <c r="E93" s="25" t="s">
        <v>818</v>
      </c>
      <c r="F93" s="25" t="s">
        <v>911</v>
      </c>
      <c r="G93" s="50">
        <v>0</v>
      </c>
      <c r="H93" s="25"/>
      <c r="I93" s="25"/>
      <c r="J93" s="25"/>
      <c r="K93" s="25"/>
      <c r="L93" s="25"/>
      <c r="M93" s="25"/>
      <c r="N93" s="25"/>
      <c r="O93" s="25"/>
      <c r="P93" s="25"/>
      <c r="Q93" s="50">
        <v>186018.09</v>
      </c>
      <c r="R93" s="50">
        <v>4</v>
      </c>
      <c r="S93" s="37">
        <v>11.8500003814697</v>
      </c>
      <c r="T93" s="37">
        <v>12</v>
      </c>
      <c r="U93" s="37">
        <v>11.9842105664705</v>
      </c>
      <c r="V93" s="37">
        <v>12</v>
      </c>
      <c r="W93" s="37">
        <v>96.803001403808594</v>
      </c>
      <c r="X93" s="37">
        <v>98.120002746582003</v>
      </c>
      <c r="Y93" s="37">
        <v>97.904159947445507</v>
      </c>
      <c r="Z93" s="37">
        <v>97.899002075195298</v>
      </c>
      <c r="AA93" s="94">
        <v>0</v>
      </c>
      <c r="AB93" s="76"/>
      <c r="AC93" s="25"/>
      <c r="AD93" s="25"/>
      <c r="AE93" s="25"/>
      <c r="AF93" s="25"/>
      <c r="AG93" s="25"/>
      <c r="AH93" s="25"/>
      <c r="AI93" s="25"/>
      <c r="AJ93" s="25"/>
      <c r="AK93" s="25"/>
    </row>
    <row r="94" spans="1:37" x14ac:dyDescent="0.35">
      <c r="A94" s="1"/>
      <c r="B94" s="5"/>
      <c r="C94" s="25" t="s">
        <v>389</v>
      </c>
      <c r="D94" s="25" t="s">
        <v>881</v>
      </c>
      <c r="E94" s="25" t="s">
        <v>912</v>
      </c>
      <c r="F94" s="25" t="s">
        <v>913</v>
      </c>
      <c r="G94" s="50">
        <v>0</v>
      </c>
      <c r="H94" s="25"/>
      <c r="I94" s="25"/>
      <c r="J94" s="25"/>
      <c r="K94" s="25"/>
      <c r="L94" s="25"/>
      <c r="M94" s="25"/>
      <c r="N94" s="25"/>
      <c r="O94" s="25"/>
      <c r="P94" s="25"/>
      <c r="Q94" s="50">
        <v>64175.495999999999</v>
      </c>
      <c r="R94" s="50">
        <v>4</v>
      </c>
      <c r="S94" s="37">
        <v>11.75</v>
      </c>
      <c r="T94" s="37">
        <v>12</v>
      </c>
      <c r="U94" s="37">
        <v>11.932065217391299</v>
      </c>
      <c r="V94" s="37">
        <v>12</v>
      </c>
      <c r="W94" s="37">
        <v>69.7239990234375</v>
      </c>
      <c r="X94" s="37">
        <v>70.161003112792997</v>
      </c>
      <c r="Y94" s="37">
        <v>69.755673284116</v>
      </c>
      <c r="Z94" s="37">
        <v>69.7239990234375</v>
      </c>
      <c r="AA94" s="94">
        <v>0</v>
      </c>
      <c r="AB94" s="76"/>
      <c r="AC94" s="25"/>
      <c r="AD94" s="25"/>
      <c r="AE94" s="25"/>
      <c r="AF94" s="25"/>
      <c r="AG94" s="25"/>
      <c r="AH94" s="25"/>
      <c r="AI94" s="25"/>
      <c r="AJ94" s="25"/>
      <c r="AK94" s="25"/>
    </row>
    <row r="95" spans="1:37" x14ac:dyDescent="0.35">
      <c r="A95" s="1"/>
      <c r="B95" s="5"/>
      <c r="C95" s="25" t="s">
        <v>393</v>
      </c>
      <c r="D95" s="25" t="s">
        <v>881</v>
      </c>
      <c r="E95" s="25" t="s">
        <v>914</v>
      </c>
      <c r="F95" s="25" t="s">
        <v>915</v>
      </c>
      <c r="G95" s="50">
        <v>0</v>
      </c>
      <c r="H95" s="25"/>
      <c r="I95" s="25"/>
      <c r="J95" s="25"/>
      <c r="K95" s="25"/>
      <c r="L95" s="25"/>
      <c r="M95" s="25"/>
      <c r="N95" s="25"/>
      <c r="O95" s="25"/>
      <c r="P95" s="25"/>
      <c r="Q95" s="50">
        <v>119132.189</v>
      </c>
      <c r="R95" s="50">
        <v>5</v>
      </c>
      <c r="S95" s="37">
        <v>4</v>
      </c>
      <c r="T95" s="37">
        <v>11</v>
      </c>
      <c r="U95" s="37">
        <v>7.80530973451327</v>
      </c>
      <c r="V95" s="37">
        <v>11</v>
      </c>
      <c r="W95" s="37">
        <v>105.074996948242</v>
      </c>
      <c r="X95" s="37">
        <v>105.814002990723</v>
      </c>
      <c r="Y95" s="37">
        <v>105.426416312699</v>
      </c>
      <c r="Z95" s="37">
        <v>105.237998962402</v>
      </c>
      <c r="AA95" s="94">
        <v>0</v>
      </c>
      <c r="AB95" s="76"/>
      <c r="AC95" s="25"/>
      <c r="AD95" s="25"/>
      <c r="AE95" s="25"/>
      <c r="AF95" s="25"/>
      <c r="AG95" s="25"/>
      <c r="AH95" s="25"/>
      <c r="AI95" s="25"/>
      <c r="AJ95" s="25"/>
      <c r="AK95" s="25"/>
    </row>
    <row r="96" spans="1:37" x14ac:dyDescent="0.35">
      <c r="A96" s="1"/>
      <c r="B96" s="5"/>
      <c r="C96" s="25" t="s">
        <v>916</v>
      </c>
      <c r="D96" s="25" t="s">
        <v>917</v>
      </c>
      <c r="E96" s="25" t="s">
        <v>504</v>
      </c>
      <c r="F96" s="25" t="s">
        <v>918</v>
      </c>
      <c r="G96" s="50">
        <v>1623.3400630000001</v>
      </c>
      <c r="H96" s="50">
        <v>5</v>
      </c>
      <c r="I96" s="37">
        <v>0</v>
      </c>
      <c r="J96" s="37">
        <v>0</v>
      </c>
      <c r="K96" s="37">
        <v>0</v>
      </c>
      <c r="L96" s="37">
        <v>0</v>
      </c>
      <c r="M96" s="37">
        <v>99.400001525878906</v>
      </c>
      <c r="N96" s="37">
        <v>100.199996948242</v>
      </c>
      <c r="O96" s="37">
        <v>99.848201692449805</v>
      </c>
      <c r="P96" s="37">
        <v>99.949996948242202</v>
      </c>
      <c r="Q96" s="50">
        <v>0</v>
      </c>
      <c r="R96" s="25"/>
      <c r="S96" s="25"/>
      <c r="T96" s="25"/>
      <c r="U96" s="25"/>
      <c r="V96" s="25"/>
      <c r="W96" s="25"/>
      <c r="X96" s="25"/>
      <c r="Y96" s="25"/>
      <c r="Z96" s="25"/>
      <c r="AA96" s="94">
        <v>0</v>
      </c>
      <c r="AB96" s="76"/>
      <c r="AC96" s="25"/>
      <c r="AD96" s="25"/>
      <c r="AE96" s="25"/>
      <c r="AF96" s="25"/>
      <c r="AG96" s="25"/>
      <c r="AH96" s="25"/>
      <c r="AI96" s="25"/>
      <c r="AJ96" s="25"/>
      <c r="AK96" s="25"/>
    </row>
    <row r="97" spans="1:37" x14ac:dyDescent="0.35">
      <c r="A97" s="1"/>
      <c r="B97" s="5"/>
      <c r="C97" s="25" t="s">
        <v>916</v>
      </c>
      <c r="D97" s="25" t="s">
        <v>917</v>
      </c>
      <c r="E97" s="25" t="s">
        <v>508</v>
      </c>
      <c r="F97" s="25" t="s">
        <v>919</v>
      </c>
      <c r="G97" s="50">
        <v>11793.630335</v>
      </c>
      <c r="H97" s="50">
        <v>15</v>
      </c>
      <c r="I97" s="37">
        <v>0</v>
      </c>
      <c r="J97" s="37">
        <v>0</v>
      </c>
      <c r="K97" s="37">
        <v>0</v>
      </c>
      <c r="L97" s="37">
        <v>0</v>
      </c>
      <c r="M97" s="37">
        <v>99.050003051757798</v>
      </c>
      <c r="N97" s="37">
        <v>100.199996948242</v>
      </c>
      <c r="O97" s="37">
        <v>99.863464907954295</v>
      </c>
      <c r="P97" s="37">
        <v>99.949996948242202</v>
      </c>
      <c r="Q97" s="50">
        <v>0</v>
      </c>
      <c r="R97" s="25"/>
      <c r="S97" s="25"/>
      <c r="T97" s="25"/>
      <c r="U97" s="25"/>
      <c r="V97" s="25"/>
      <c r="W97" s="25"/>
      <c r="X97" s="25"/>
      <c r="Y97" s="25"/>
      <c r="Z97" s="25"/>
      <c r="AA97" s="94">
        <v>0</v>
      </c>
      <c r="AB97" s="76"/>
      <c r="AC97" s="25"/>
      <c r="AD97" s="25"/>
      <c r="AE97" s="25"/>
      <c r="AF97" s="25"/>
      <c r="AG97" s="25"/>
      <c r="AH97" s="25"/>
      <c r="AI97" s="25"/>
      <c r="AJ97" s="25"/>
      <c r="AK97" s="25"/>
    </row>
    <row r="98" spans="1:37" x14ac:dyDescent="0.35">
      <c r="A98" s="1"/>
      <c r="B98" s="5"/>
      <c r="C98" s="25" t="s">
        <v>429</v>
      </c>
      <c r="D98" s="25" t="s">
        <v>920</v>
      </c>
      <c r="E98" s="25" t="s">
        <v>921</v>
      </c>
      <c r="F98" s="25" t="s">
        <v>922</v>
      </c>
      <c r="G98" s="50">
        <v>0</v>
      </c>
      <c r="H98" s="25"/>
      <c r="I98" s="25"/>
      <c r="J98" s="25"/>
      <c r="K98" s="25"/>
      <c r="L98" s="25"/>
      <c r="M98" s="25"/>
      <c r="N98" s="25"/>
      <c r="O98" s="25"/>
      <c r="P98" s="25"/>
      <c r="Q98" s="50">
        <v>199745.25255500001</v>
      </c>
      <c r="R98" s="50">
        <v>6</v>
      </c>
      <c r="S98" s="37">
        <v>12</v>
      </c>
      <c r="T98" s="37">
        <v>12</v>
      </c>
      <c r="U98" s="37">
        <v>12</v>
      </c>
      <c r="V98" s="37">
        <v>12</v>
      </c>
      <c r="W98" s="37">
        <v>104.271003723145</v>
      </c>
      <c r="X98" s="37">
        <v>104.37799835205099</v>
      </c>
      <c r="Y98" s="37">
        <v>104.315249723547</v>
      </c>
      <c r="Z98" s="37">
        <v>104.37799835205099</v>
      </c>
      <c r="AA98" s="94">
        <v>0</v>
      </c>
      <c r="AB98" s="76"/>
      <c r="AC98" s="25"/>
      <c r="AD98" s="25"/>
      <c r="AE98" s="25"/>
      <c r="AF98" s="25"/>
      <c r="AG98" s="25"/>
      <c r="AH98" s="25"/>
      <c r="AI98" s="25"/>
      <c r="AJ98" s="25"/>
      <c r="AK98" s="25"/>
    </row>
    <row r="99" spans="1:37" x14ac:dyDescent="0.35">
      <c r="A99" s="1"/>
      <c r="B99" s="5"/>
      <c r="C99" s="25" t="s">
        <v>433</v>
      </c>
      <c r="D99" s="25" t="s">
        <v>920</v>
      </c>
      <c r="E99" s="25" t="s">
        <v>923</v>
      </c>
      <c r="F99" s="25" t="s">
        <v>924</v>
      </c>
      <c r="G99" s="50">
        <v>0</v>
      </c>
      <c r="H99" s="25"/>
      <c r="I99" s="25"/>
      <c r="J99" s="25"/>
      <c r="K99" s="25"/>
      <c r="L99" s="25"/>
      <c r="M99" s="25"/>
      <c r="N99" s="25"/>
      <c r="O99" s="25"/>
      <c r="P99" s="25"/>
      <c r="Q99" s="50">
        <v>77764.625471000007</v>
      </c>
      <c r="R99" s="50">
        <v>5</v>
      </c>
      <c r="S99" s="37">
        <v>11.998999595642101</v>
      </c>
      <c r="T99" s="37">
        <v>12</v>
      </c>
      <c r="U99" s="37">
        <v>11.999950597315699</v>
      </c>
      <c r="V99" s="37">
        <v>12</v>
      </c>
      <c r="W99" s="37">
        <v>92.035003662109403</v>
      </c>
      <c r="X99" s="37">
        <v>92.154998779296903</v>
      </c>
      <c r="Y99" s="37">
        <v>92.053830087920801</v>
      </c>
      <c r="Z99" s="37">
        <v>92.035003662109403</v>
      </c>
      <c r="AA99" s="94">
        <v>0</v>
      </c>
      <c r="AB99" s="76"/>
      <c r="AC99" s="25"/>
      <c r="AD99" s="25"/>
      <c r="AE99" s="25"/>
      <c r="AF99" s="25"/>
      <c r="AG99" s="25"/>
      <c r="AH99" s="25"/>
      <c r="AI99" s="25"/>
      <c r="AJ99" s="25"/>
      <c r="AK99" s="25"/>
    </row>
    <row r="100" spans="1:37" x14ac:dyDescent="0.35">
      <c r="A100" s="1"/>
      <c r="B100" s="5"/>
      <c r="C100" s="25" t="s">
        <v>925</v>
      </c>
      <c r="D100" s="25" t="s">
        <v>920</v>
      </c>
      <c r="E100" s="25" t="s">
        <v>926</v>
      </c>
      <c r="F100" s="25" t="s">
        <v>927</v>
      </c>
      <c r="G100" s="50">
        <v>0</v>
      </c>
      <c r="H100" s="25"/>
      <c r="I100" s="25"/>
      <c r="J100" s="25"/>
      <c r="K100" s="25"/>
      <c r="L100" s="25"/>
      <c r="M100" s="25"/>
      <c r="N100" s="25"/>
      <c r="O100" s="25"/>
      <c r="P100" s="25"/>
      <c r="Q100" s="50">
        <v>996379.90906099998</v>
      </c>
      <c r="R100" s="50">
        <v>33</v>
      </c>
      <c r="S100" s="37">
        <v>11.5</v>
      </c>
      <c r="T100" s="37">
        <v>12</v>
      </c>
      <c r="U100" s="37">
        <v>11.9520280309656</v>
      </c>
      <c r="V100" s="37">
        <v>12</v>
      </c>
      <c r="W100" s="37">
        <v>99.816001892089801</v>
      </c>
      <c r="X100" s="37">
        <v>99.904998779296903</v>
      </c>
      <c r="Y100" s="37">
        <v>99.872045674214206</v>
      </c>
      <c r="Z100" s="37">
        <v>99.836997985839801</v>
      </c>
      <c r="AA100" s="94">
        <v>0</v>
      </c>
      <c r="AB100" s="76"/>
      <c r="AC100" s="25"/>
      <c r="AD100" s="25"/>
      <c r="AE100" s="25"/>
      <c r="AF100" s="25"/>
      <c r="AG100" s="25"/>
      <c r="AH100" s="25"/>
      <c r="AI100" s="25"/>
      <c r="AJ100" s="25"/>
      <c r="AK100" s="25"/>
    </row>
    <row r="101" spans="1:37" x14ac:dyDescent="0.35">
      <c r="A101" s="1"/>
      <c r="B101" s="5"/>
      <c r="C101" s="25" t="s">
        <v>461</v>
      </c>
      <c r="D101" s="25" t="s">
        <v>920</v>
      </c>
      <c r="E101" s="25" t="s">
        <v>928</v>
      </c>
      <c r="F101" s="25" t="s">
        <v>929</v>
      </c>
      <c r="G101" s="50">
        <v>0</v>
      </c>
      <c r="H101" s="25"/>
      <c r="I101" s="25"/>
      <c r="J101" s="25"/>
      <c r="K101" s="25"/>
      <c r="L101" s="25"/>
      <c r="M101" s="25"/>
      <c r="N101" s="25"/>
      <c r="O101" s="25"/>
      <c r="P101" s="25"/>
      <c r="Q101" s="50">
        <v>0</v>
      </c>
      <c r="R101" s="25"/>
      <c r="S101" s="25"/>
      <c r="T101" s="25"/>
      <c r="U101" s="25"/>
      <c r="V101" s="25"/>
      <c r="W101" s="25"/>
      <c r="X101" s="25"/>
      <c r="Y101" s="25"/>
      <c r="Z101" s="25"/>
      <c r="AA101" s="94">
        <v>84706.217804</v>
      </c>
      <c r="AB101" s="76"/>
      <c r="AC101" s="50">
        <v>3</v>
      </c>
      <c r="AD101" s="37">
        <v>0</v>
      </c>
      <c r="AE101" s="37">
        <v>3</v>
      </c>
      <c r="AF101" s="37">
        <v>1.94444444444444</v>
      </c>
      <c r="AG101" s="37">
        <v>0</v>
      </c>
      <c r="AH101" s="37">
        <v>111.89499664306599</v>
      </c>
      <c r="AI101" s="37">
        <v>113.32399749755901</v>
      </c>
      <c r="AJ101" s="37">
        <v>112.804719289144</v>
      </c>
      <c r="AK101" s="37">
        <v>112.58999633789099</v>
      </c>
    </row>
    <row r="102" spans="1:37" x14ac:dyDescent="0.35">
      <c r="A102" s="1"/>
      <c r="B102" s="5"/>
      <c r="C102" s="51" t="s">
        <v>609</v>
      </c>
      <c r="D102" s="52" t="s">
        <v>5</v>
      </c>
      <c r="E102" s="52" t="s">
        <v>5</v>
      </c>
      <c r="F102" s="52" t="s">
        <v>5</v>
      </c>
      <c r="G102" s="53">
        <v>1282082.917343</v>
      </c>
      <c r="H102" s="53">
        <v>154</v>
      </c>
      <c r="I102" s="63">
        <v>299.37299919128401</v>
      </c>
      <c r="J102" s="63">
        <v>300.97200012207003</v>
      </c>
      <c r="K102" s="63">
        <v>300.222044853824</v>
      </c>
      <c r="L102" s="63">
        <v>300.70100021362299</v>
      </c>
      <c r="M102" s="63">
        <v>2567.5980224609398</v>
      </c>
      <c r="N102" s="63">
        <v>2571.5330047607399</v>
      </c>
      <c r="O102" s="63">
        <v>2569.6249746682502</v>
      </c>
      <c r="P102" s="63">
        <v>2569.6580047607399</v>
      </c>
      <c r="Q102" s="53">
        <v>8099614.053723</v>
      </c>
      <c r="R102" s="53">
        <v>276</v>
      </c>
      <c r="S102" s="63">
        <v>803.69400119781506</v>
      </c>
      <c r="T102" s="63">
        <v>824.87500381469704</v>
      </c>
      <c r="U102" s="63">
        <v>816.23725512415797</v>
      </c>
      <c r="V102" s="63">
        <v>822.52500343322799</v>
      </c>
      <c r="W102" s="63">
        <v>6815.3889999389603</v>
      </c>
      <c r="X102" s="63">
        <v>6822.8630065917996</v>
      </c>
      <c r="Y102" s="63">
        <v>6819.45739148147</v>
      </c>
      <c r="Z102" s="63">
        <v>6820.3649902343795</v>
      </c>
      <c r="AA102" s="95">
        <v>84706.217804</v>
      </c>
      <c r="AB102" s="76"/>
      <c r="AC102" s="53">
        <v>3</v>
      </c>
      <c r="AD102" s="63">
        <v>0</v>
      </c>
      <c r="AE102" s="63">
        <v>3</v>
      </c>
      <c r="AF102" s="63">
        <v>1.94444444444444</v>
      </c>
      <c r="AG102" s="63">
        <v>0</v>
      </c>
      <c r="AH102" s="63">
        <v>111.89499664306599</v>
      </c>
      <c r="AI102" s="63">
        <v>113.32399749755901</v>
      </c>
      <c r="AJ102" s="63">
        <v>112.804719289144</v>
      </c>
      <c r="AK102" s="63">
        <v>112.58999633789099</v>
      </c>
    </row>
    <row r="103" spans="1:37" ht="18" customHeight="1" x14ac:dyDescent="0.3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6"/>
    </row>
    <row r="104" spans="1:37" ht="15.15" customHeight="1" x14ac:dyDescent="0.35">
      <c r="A104" s="1"/>
      <c r="B104" s="5"/>
      <c r="C104" s="91" t="s">
        <v>930</v>
      </c>
      <c r="D104" s="67"/>
      <c r="E104" s="67"/>
      <c r="F104" s="67"/>
      <c r="G104" s="67"/>
      <c r="H104" s="67"/>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6"/>
    </row>
    <row r="105" spans="1:37" ht="20.9" customHeight="1" x14ac:dyDescent="0.35">
      <c r="A105" s="1"/>
      <c r="B105" s="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6"/>
    </row>
    <row r="106" spans="1:37" x14ac:dyDescent="0.35">
      <c r="A106" s="1"/>
      <c r="B106" s="5"/>
      <c r="C106" s="14" t="s">
        <v>5</v>
      </c>
      <c r="D106" s="14" t="s">
        <v>5</v>
      </c>
      <c r="E106" s="14" t="s">
        <v>5</v>
      </c>
      <c r="F106" s="61" t="s">
        <v>5</v>
      </c>
      <c r="G106" s="74" t="s">
        <v>738</v>
      </c>
      <c r="H106" s="75"/>
      <c r="I106" s="75"/>
      <c r="J106" s="75"/>
      <c r="K106" s="75"/>
      <c r="L106" s="75"/>
      <c r="M106" s="75"/>
      <c r="N106" s="75"/>
      <c r="O106" s="75"/>
      <c r="P106" s="76"/>
      <c r="Q106" s="74" t="s">
        <v>739</v>
      </c>
      <c r="R106" s="75"/>
      <c r="S106" s="75"/>
      <c r="T106" s="75"/>
      <c r="U106" s="75"/>
      <c r="V106" s="75"/>
      <c r="W106" s="75"/>
      <c r="X106" s="75"/>
      <c r="Y106" s="75"/>
      <c r="Z106" s="76"/>
      <c r="AA106" s="74" t="s">
        <v>233</v>
      </c>
      <c r="AB106" s="75"/>
      <c r="AC106" s="75"/>
      <c r="AD106" s="75"/>
      <c r="AE106" s="75"/>
      <c r="AF106" s="75"/>
      <c r="AG106" s="75"/>
      <c r="AH106" s="75"/>
      <c r="AI106" s="75"/>
      <c r="AJ106" s="75"/>
      <c r="AK106" s="76"/>
    </row>
    <row r="107" spans="1:37" x14ac:dyDescent="0.35">
      <c r="A107" s="1"/>
      <c r="B107" s="5"/>
      <c r="C107" s="59" t="s">
        <v>5</v>
      </c>
      <c r="D107" s="59" t="s">
        <v>5</v>
      </c>
      <c r="E107" s="59" t="s">
        <v>5</v>
      </c>
      <c r="F107" s="60" t="s">
        <v>5</v>
      </c>
      <c r="G107" s="62" t="s">
        <v>5</v>
      </c>
      <c r="H107" s="62" t="s">
        <v>5</v>
      </c>
      <c r="I107" s="92" t="s">
        <v>740</v>
      </c>
      <c r="J107" s="75"/>
      <c r="K107" s="75"/>
      <c r="L107" s="76"/>
      <c r="M107" s="92" t="s">
        <v>741</v>
      </c>
      <c r="N107" s="75"/>
      <c r="O107" s="75"/>
      <c r="P107" s="76"/>
      <c r="Q107" s="62" t="s">
        <v>5</v>
      </c>
      <c r="R107" s="62" t="s">
        <v>5</v>
      </c>
      <c r="S107" s="92" t="s">
        <v>740</v>
      </c>
      <c r="T107" s="75"/>
      <c r="U107" s="75"/>
      <c r="V107" s="76"/>
      <c r="W107" s="92" t="s">
        <v>741</v>
      </c>
      <c r="X107" s="75"/>
      <c r="Y107" s="75"/>
      <c r="Z107" s="76"/>
      <c r="AA107" s="93" t="s">
        <v>5</v>
      </c>
      <c r="AB107" s="76"/>
      <c r="AC107" s="62" t="s">
        <v>5</v>
      </c>
      <c r="AD107" s="92" t="s">
        <v>740</v>
      </c>
      <c r="AE107" s="75"/>
      <c r="AF107" s="75"/>
      <c r="AG107" s="76"/>
      <c r="AH107" s="92" t="s">
        <v>741</v>
      </c>
      <c r="AI107" s="75"/>
      <c r="AJ107" s="75"/>
      <c r="AK107" s="76"/>
    </row>
    <row r="108" spans="1:37" x14ac:dyDescent="0.35">
      <c r="A108" s="1"/>
      <c r="B108" s="5"/>
      <c r="C108" s="23" t="s">
        <v>328</v>
      </c>
      <c r="D108" s="23" t="s">
        <v>735</v>
      </c>
      <c r="E108" s="23" t="s">
        <v>736</v>
      </c>
      <c r="F108" s="23" t="s">
        <v>677</v>
      </c>
      <c r="G108" s="23" t="s">
        <v>642</v>
      </c>
      <c r="H108" s="23" t="s">
        <v>640</v>
      </c>
      <c r="I108" s="23" t="s">
        <v>742</v>
      </c>
      <c r="J108" s="23" t="s">
        <v>743</v>
      </c>
      <c r="K108" s="23" t="s">
        <v>744</v>
      </c>
      <c r="L108" s="23" t="s">
        <v>745</v>
      </c>
      <c r="M108" s="23" t="s">
        <v>742</v>
      </c>
      <c r="N108" s="23" t="s">
        <v>743</v>
      </c>
      <c r="O108" s="23" t="s">
        <v>744</v>
      </c>
      <c r="P108" s="23" t="s">
        <v>745</v>
      </c>
      <c r="Q108" s="23" t="s">
        <v>642</v>
      </c>
      <c r="R108" s="23" t="s">
        <v>640</v>
      </c>
      <c r="S108" s="23" t="s">
        <v>742</v>
      </c>
      <c r="T108" s="23" t="s">
        <v>743</v>
      </c>
      <c r="U108" s="23" t="s">
        <v>744</v>
      </c>
      <c r="V108" s="23" t="s">
        <v>745</v>
      </c>
      <c r="W108" s="23" t="s">
        <v>742</v>
      </c>
      <c r="X108" s="23" t="s">
        <v>743</v>
      </c>
      <c r="Y108" s="23" t="s">
        <v>744</v>
      </c>
      <c r="Z108" s="23" t="s">
        <v>745</v>
      </c>
      <c r="AA108" s="74" t="s">
        <v>642</v>
      </c>
      <c r="AB108" s="76"/>
      <c r="AC108" s="23" t="s">
        <v>640</v>
      </c>
      <c r="AD108" s="23" t="s">
        <v>742</v>
      </c>
      <c r="AE108" s="23" t="s">
        <v>743</v>
      </c>
      <c r="AF108" s="23" t="s">
        <v>744</v>
      </c>
      <c r="AG108" s="23" t="s">
        <v>745</v>
      </c>
      <c r="AH108" s="23" t="s">
        <v>742</v>
      </c>
      <c r="AI108" s="23" t="s">
        <v>743</v>
      </c>
      <c r="AJ108" s="23" t="s">
        <v>744</v>
      </c>
      <c r="AK108" s="23" t="s">
        <v>745</v>
      </c>
    </row>
    <row r="109" spans="1:37" x14ac:dyDescent="0.35">
      <c r="A109" s="1"/>
      <c r="B109" s="5"/>
      <c r="C109" s="25" t="s">
        <v>746</v>
      </c>
      <c r="D109" s="25" t="s">
        <v>747</v>
      </c>
      <c r="E109" s="25" t="s">
        <v>748</v>
      </c>
      <c r="F109" s="25" t="s">
        <v>749</v>
      </c>
      <c r="G109" s="50">
        <v>253.91249999999999</v>
      </c>
      <c r="H109" s="50">
        <v>1</v>
      </c>
      <c r="I109" s="37">
        <v>12.6000003814697</v>
      </c>
      <c r="J109" s="37">
        <v>12.6000003814697</v>
      </c>
      <c r="K109" s="37">
        <v>12.6000003814697</v>
      </c>
      <c r="L109" s="37">
        <v>12.6000003814697</v>
      </c>
      <c r="M109" s="37">
        <v>101.56500244140599</v>
      </c>
      <c r="N109" s="37">
        <v>101.56500244140599</v>
      </c>
      <c r="O109" s="37">
        <v>101.56500244140599</v>
      </c>
      <c r="P109" s="37">
        <v>101.56500244140599</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x14ac:dyDescent="0.35">
      <c r="A110" s="1"/>
      <c r="B110" s="5"/>
      <c r="C110" s="25" t="s">
        <v>931</v>
      </c>
      <c r="D110" s="25" t="s">
        <v>747</v>
      </c>
      <c r="E110" s="25" t="s">
        <v>748</v>
      </c>
      <c r="F110" s="25" t="s">
        <v>932</v>
      </c>
      <c r="G110" s="50">
        <v>1282.415</v>
      </c>
      <c r="H110" s="50">
        <v>3</v>
      </c>
      <c r="I110" s="37">
        <v>12.5509996414185</v>
      </c>
      <c r="J110" s="37">
        <v>12.6000003814697</v>
      </c>
      <c r="K110" s="37">
        <v>12.580400085449201</v>
      </c>
      <c r="L110" s="37">
        <v>12.6000003814697</v>
      </c>
      <c r="M110" s="37">
        <v>102.53800201416</v>
      </c>
      <c r="N110" s="37">
        <v>102.67600250244099</v>
      </c>
      <c r="O110" s="37">
        <v>102.59320220947301</v>
      </c>
      <c r="P110" s="37">
        <v>102.53800201416</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x14ac:dyDescent="0.35">
      <c r="A111" s="1"/>
      <c r="B111" s="5"/>
      <c r="C111" s="25" t="s">
        <v>933</v>
      </c>
      <c r="D111" s="25" t="s">
        <v>747</v>
      </c>
      <c r="E111" s="25" t="s">
        <v>934</v>
      </c>
      <c r="F111" s="25" t="s">
        <v>935</v>
      </c>
      <c r="G111" s="50">
        <v>1891.54</v>
      </c>
      <c r="H111" s="50">
        <v>1</v>
      </c>
      <c r="I111" s="37">
        <v>12.710000038146999</v>
      </c>
      <c r="J111" s="37">
        <v>12.710000038146999</v>
      </c>
      <c r="K111" s="37">
        <v>12.710000038146999</v>
      </c>
      <c r="L111" s="37">
        <v>12.710000038146999</v>
      </c>
      <c r="M111" s="37">
        <v>94.577003479003906</v>
      </c>
      <c r="N111" s="37">
        <v>94.577003479003906</v>
      </c>
      <c r="O111" s="37">
        <v>94.577003479003906</v>
      </c>
      <c r="P111" s="37">
        <v>94.577003479003906</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x14ac:dyDescent="0.35">
      <c r="A112" s="1"/>
      <c r="B112" s="5"/>
      <c r="C112" s="25" t="s">
        <v>936</v>
      </c>
      <c r="D112" s="25" t="s">
        <v>937</v>
      </c>
      <c r="E112" s="25" t="s">
        <v>938</v>
      </c>
      <c r="F112" s="25" t="s">
        <v>939</v>
      </c>
      <c r="G112" s="50">
        <v>2229.5500000000002</v>
      </c>
      <c r="H112" s="50">
        <v>2</v>
      </c>
      <c r="I112" s="37">
        <v>16.438999176025401</v>
      </c>
      <c r="J112" s="37">
        <v>16.739000320434599</v>
      </c>
      <c r="K112" s="37">
        <v>16.588999748229998</v>
      </c>
      <c r="L112" s="37">
        <v>16.438999176025401</v>
      </c>
      <c r="M112" s="37">
        <v>110.776000976563</v>
      </c>
      <c r="N112" s="37">
        <v>112.179000854492</v>
      </c>
      <c r="O112" s="37">
        <v>111.477500915527</v>
      </c>
      <c r="P112" s="37">
        <v>112.179000854492</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x14ac:dyDescent="0.35">
      <c r="A113" s="1"/>
      <c r="B113" s="5"/>
      <c r="C113" s="25" t="s">
        <v>940</v>
      </c>
      <c r="D113" s="25" t="s">
        <v>747</v>
      </c>
      <c r="E113" s="25" t="s">
        <v>941</v>
      </c>
      <c r="F113" s="25" t="s">
        <v>942</v>
      </c>
      <c r="G113" s="50">
        <v>3465.98</v>
      </c>
      <c r="H113" s="50">
        <v>2</v>
      </c>
      <c r="I113" s="37">
        <v>12.4870004653931</v>
      </c>
      <c r="J113" s="37">
        <v>12.5200004577637</v>
      </c>
      <c r="K113" s="37">
        <v>12.503500461578399</v>
      </c>
      <c r="L113" s="37">
        <v>12.4870004653931</v>
      </c>
      <c r="M113" s="37">
        <v>86.560997009277301</v>
      </c>
      <c r="N113" s="37">
        <v>86.737998962402301</v>
      </c>
      <c r="O113" s="37">
        <v>86.649497985839801</v>
      </c>
      <c r="P113" s="37">
        <v>86.737998962402301</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x14ac:dyDescent="0.35">
      <c r="A114" s="1"/>
      <c r="B114" s="5"/>
      <c r="C114" s="25" t="s">
        <v>943</v>
      </c>
      <c r="D114" s="25" t="s">
        <v>747</v>
      </c>
      <c r="E114" s="25" t="s">
        <v>944</v>
      </c>
      <c r="F114" s="25" t="s">
        <v>945</v>
      </c>
      <c r="G114" s="50">
        <v>943.27</v>
      </c>
      <c r="H114" s="50">
        <v>2</v>
      </c>
      <c r="I114" s="37">
        <v>12.656999588012701</v>
      </c>
      <c r="J114" s="37">
        <v>12.710000038146999</v>
      </c>
      <c r="K114" s="37">
        <v>12.6834998130798</v>
      </c>
      <c r="L114" s="37">
        <v>12.656999588012701</v>
      </c>
      <c r="M114" s="37">
        <v>94.242996215820298</v>
      </c>
      <c r="N114" s="37">
        <v>94.411003112792997</v>
      </c>
      <c r="O114" s="37">
        <v>94.326999664306598</v>
      </c>
      <c r="P114" s="37">
        <v>94.411003112792997</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x14ac:dyDescent="0.35">
      <c r="A115" s="1"/>
      <c r="B115" s="5"/>
      <c r="C115" s="25" t="s">
        <v>946</v>
      </c>
      <c r="D115" s="25" t="s">
        <v>747</v>
      </c>
      <c r="E115" s="25" t="s">
        <v>947</v>
      </c>
      <c r="F115" s="25" t="s">
        <v>948</v>
      </c>
      <c r="G115" s="50">
        <v>0</v>
      </c>
      <c r="H115" s="25"/>
      <c r="I115" s="25"/>
      <c r="J115" s="25"/>
      <c r="K115" s="25"/>
      <c r="L115" s="25"/>
      <c r="M115" s="25"/>
      <c r="N115" s="25"/>
      <c r="O115" s="25"/>
      <c r="P115" s="25"/>
      <c r="Q115" s="50">
        <v>98.480900000000005</v>
      </c>
      <c r="R115" s="50">
        <v>1</v>
      </c>
      <c r="S115" s="37">
        <v>13.25</v>
      </c>
      <c r="T115" s="37">
        <v>13.25</v>
      </c>
      <c r="U115" s="37">
        <v>13.25</v>
      </c>
      <c r="V115" s="37">
        <v>13.25</v>
      </c>
      <c r="W115" s="37">
        <v>98.480003356933594</v>
      </c>
      <c r="X115" s="37">
        <v>98.480003356933594</v>
      </c>
      <c r="Y115" s="37">
        <v>98.480003356933594</v>
      </c>
      <c r="Z115" s="37">
        <v>97.800003051757798</v>
      </c>
      <c r="AA115" s="94">
        <v>0</v>
      </c>
      <c r="AB115" s="76"/>
      <c r="AC115" s="25"/>
      <c r="AD115" s="25"/>
      <c r="AE115" s="25"/>
      <c r="AF115" s="25"/>
      <c r="AG115" s="25"/>
      <c r="AH115" s="25"/>
      <c r="AI115" s="25"/>
      <c r="AJ115" s="25"/>
      <c r="AK115" s="25"/>
    </row>
    <row r="116" spans="1:37" x14ac:dyDescent="0.35">
      <c r="A116" s="1"/>
      <c r="B116" s="5"/>
      <c r="C116" s="25" t="s">
        <v>949</v>
      </c>
      <c r="D116" s="25" t="s">
        <v>780</v>
      </c>
      <c r="E116" s="25" t="s">
        <v>950</v>
      </c>
      <c r="F116" s="25" t="s">
        <v>856</v>
      </c>
      <c r="G116" s="50">
        <v>10023.5</v>
      </c>
      <c r="H116" s="50">
        <v>2</v>
      </c>
      <c r="I116" s="37">
        <v>12.180000305175801</v>
      </c>
      <c r="J116" s="37">
        <v>12.2200002670288</v>
      </c>
      <c r="K116" s="37">
        <v>12.2000002861023</v>
      </c>
      <c r="L116" s="37">
        <v>12.180000305175801</v>
      </c>
      <c r="M116" s="37">
        <v>100.23200225830099</v>
      </c>
      <c r="N116" s="37">
        <v>100.237998962402</v>
      </c>
      <c r="O116" s="37">
        <v>100.235000610352</v>
      </c>
      <c r="P116" s="37">
        <v>100.237998962402</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x14ac:dyDescent="0.35">
      <c r="A117" s="1"/>
      <c r="B117" s="5"/>
      <c r="C117" s="25" t="s">
        <v>949</v>
      </c>
      <c r="D117" s="25" t="s">
        <v>780</v>
      </c>
      <c r="E117" s="25" t="s">
        <v>951</v>
      </c>
      <c r="F117" s="25" t="s">
        <v>952</v>
      </c>
      <c r="G117" s="50">
        <v>13092.82</v>
      </c>
      <c r="H117" s="50">
        <v>1</v>
      </c>
      <c r="I117" s="37">
        <v>12.25</v>
      </c>
      <c r="J117" s="37">
        <v>12.25</v>
      </c>
      <c r="K117" s="37">
        <v>12.25</v>
      </c>
      <c r="L117" s="37">
        <v>12.25</v>
      </c>
      <c r="M117" s="37">
        <v>100.713996887207</v>
      </c>
      <c r="N117" s="37">
        <v>100.713996887207</v>
      </c>
      <c r="O117" s="37">
        <v>100.713996887207</v>
      </c>
      <c r="P117" s="37">
        <v>100.713996887207</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x14ac:dyDescent="0.35">
      <c r="A118" s="1"/>
      <c r="B118" s="5"/>
      <c r="C118" s="25" t="s">
        <v>949</v>
      </c>
      <c r="D118" s="25" t="s">
        <v>780</v>
      </c>
      <c r="E118" s="25" t="s">
        <v>953</v>
      </c>
      <c r="F118" s="25" t="s">
        <v>954</v>
      </c>
      <c r="G118" s="50">
        <v>10050.299999999999</v>
      </c>
      <c r="H118" s="50">
        <v>1</v>
      </c>
      <c r="I118" s="37">
        <v>12.25</v>
      </c>
      <c r="J118" s="37">
        <v>12.25</v>
      </c>
      <c r="K118" s="37">
        <v>12.25</v>
      </c>
      <c r="L118" s="37">
        <v>12.25</v>
      </c>
      <c r="M118" s="37">
        <v>100.50299835205099</v>
      </c>
      <c r="N118" s="37">
        <v>100.50299835205099</v>
      </c>
      <c r="O118" s="37">
        <v>100.50299835205099</v>
      </c>
      <c r="P118" s="37">
        <v>100.50299835205099</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x14ac:dyDescent="0.35">
      <c r="A119" s="1"/>
      <c r="B119" s="5"/>
      <c r="C119" s="25" t="s">
        <v>949</v>
      </c>
      <c r="D119" s="25" t="s">
        <v>780</v>
      </c>
      <c r="E119" s="25" t="s">
        <v>955</v>
      </c>
      <c r="F119" s="25" t="s">
        <v>956</v>
      </c>
      <c r="G119" s="50">
        <v>16040.16</v>
      </c>
      <c r="H119" s="50">
        <v>2</v>
      </c>
      <c r="I119" s="37">
        <v>12.2200002670288</v>
      </c>
      <c r="J119" s="37">
        <v>12.2399997711182</v>
      </c>
      <c r="K119" s="37">
        <v>12.230000019073501</v>
      </c>
      <c r="L119" s="37">
        <v>12.2200002670288</v>
      </c>
      <c r="M119" s="37">
        <v>100.24900054931599</v>
      </c>
      <c r="N119" s="37">
        <v>100.25299835205099</v>
      </c>
      <c r="O119" s="37">
        <v>100.25099945068401</v>
      </c>
      <c r="P119" s="37">
        <v>100.25299835205099</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x14ac:dyDescent="0.35">
      <c r="A120" s="1"/>
      <c r="B120" s="5"/>
      <c r="C120" s="25" t="s">
        <v>949</v>
      </c>
      <c r="D120" s="25" t="s">
        <v>780</v>
      </c>
      <c r="E120" s="25" t="s">
        <v>957</v>
      </c>
      <c r="F120" s="25" t="s">
        <v>713</v>
      </c>
      <c r="G120" s="50">
        <v>60078</v>
      </c>
      <c r="H120" s="50">
        <v>2</v>
      </c>
      <c r="I120" s="37">
        <v>12.579999923706101</v>
      </c>
      <c r="J120" s="37">
        <v>12.6099996566772</v>
      </c>
      <c r="K120" s="37">
        <v>12.5949997901917</v>
      </c>
      <c r="L120" s="37">
        <v>12.579999923706101</v>
      </c>
      <c r="M120" s="37">
        <v>100.123001098633</v>
      </c>
      <c r="N120" s="37">
        <v>100.137001037598</v>
      </c>
      <c r="O120" s="37">
        <v>100.13000106811501</v>
      </c>
      <c r="P120" s="37">
        <v>100.137001037598</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x14ac:dyDescent="0.35">
      <c r="A121" s="1"/>
      <c r="B121" s="5"/>
      <c r="C121" s="25" t="s">
        <v>779</v>
      </c>
      <c r="D121" s="25" t="s">
        <v>780</v>
      </c>
      <c r="E121" s="25" t="s">
        <v>958</v>
      </c>
      <c r="F121" s="25" t="s">
        <v>959</v>
      </c>
      <c r="G121" s="50">
        <v>3011.94</v>
      </c>
      <c r="H121" s="50">
        <v>1</v>
      </c>
      <c r="I121" s="37">
        <v>12.3599996566772</v>
      </c>
      <c r="J121" s="37">
        <v>12.3599996566772</v>
      </c>
      <c r="K121" s="37">
        <v>12.3599996566772</v>
      </c>
      <c r="L121" s="37">
        <v>12.3599996566772</v>
      </c>
      <c r="M121" s="37">
        <v>100.398002624512</v>
      </c>
      <c r="N121" s="37">
        <v>100.398002624512</v>
      </c>
      <c r="O121" s="37">
        <v>100.398002624512</v>
      </c>
      <c r="P121" s="37">
        <v>100.398002624512</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x14ac:dyDescent="0.35">
      <c r="A122" s="1"/>
      <c r="B122" s="5"/>
      <c r="C122" s="25" t="s">
        <v>684</v>
      </c>
      <c r="D122" s="25" t="s">
        <v>780</v>
      </c>
      <c r="E122" s="25" t="s">
        <v>960</v>
      </c>
      <c r="F122" s="25" t="s">
        <v>961</v>
      </c>
      <c r="G122" s="50">
        <v>9966.85</v>
      </c>
      <c r="H122" s="50">
        <v>2</v>
      </c>
      <c r="I122" s="37">
        <v>11.9799995422363</v>
      </c>
      <c r="J122" s="37">
        <v>12.060000419616699</v>
      </c>
      <c r="K122" s="37">
        <v>12.019999980926499</v>
      </c>
      <c r="L122" s="37">
        <v>11.9799995422363</v>
      </c>
      <c r="M122" s="37">
        <v>99.660003662109403</v>
      </c>
      <c r="N122" s="37">
        <v>99.677001953125</v>
      </c>
      <c r="O122" s="37">
        <v>99.668502807617202</v>
      </c>
      <c r="P122" s="37">
        <v>99.677001953125</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x14ac:dyDescent="0.35">
      <c r="A123" s="1"/>
      <c r="B123" s="5"/>
      <c r="C123" s="25" t="s">
        <v>684</v>
      </c>
      <c r="D123" s="25" t="s">
        <v>780</v>
      </c>
      <c r="E123" s="25" t="s">
        <v>871</v>
      </c>
      <c r="F123" s="25" t="s">
        <v>962</v>
      </c>
      <c r="G123" s="50">
        <v>2991.6</v>
      </c>
      <c r="H123" s="50">
        <v>2</v>
      </c>
      <c r="I123" s="37">
        <v>12.6000003814697</v>
      </c>
      <c r="J123" s="37">
        <v>12.635999679565399</v>
      </c>
      <c r="K123" s="37">
        <v>12.618000030517599</v>
      </c>
      <c r="L123" s="37">
        <v>12.635999679565399</v>
      </c>
      <c r="M123" s="37">
        <v>99.707000732421903</v>
      </c>
      <c r="N123" s="37">
        <v>99.733001708984403</v>
      </c>
      <c r="O123" s="37">
        <v>99.720001220703097</v>
      </c>
      <c r="P123" s="37">
        <v>99.707000732421903</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x14ac:dyDescent="0.35">
      <c r="A124" s="1"/>
      <c r="B124" s="5"/>
      <c r="C124" s="25" t="s">
        <v>684</v>
      </c>
      <c r="D124" s="25" t="s">
        <v>780</v>
      </c>
      <c r="E124" s="25" t="s">
        <v>789</v>
      </c>
      <c r="F124" s="25" t="s">
        <v>790</v>
      </c>
      <c r="G124" s="50">
        <v>5914.68</v>
      </c>
      <c r="H124" s="50">
        <v>1</v>
      </c>
      <c r="I124" s="37">
        <v>12.7399997711182</v>
      </c>
      <c r="J124" s="37">
        <v>12.7399997711182</v>
      </c>
      <c r="K124" s="37">
        <v>12.7399997711182</v>
      </c>
      <c r="L124" s="37">
        <v>12.7399997711182</v>
      </c>
      <c r="M124" s="37">
        <v>98.5780029296875</v>
      </c>
      <c r="N124" s="37">
        <v>98.5780029296875</v>
      </c>
      <c r="O124" s="37">
        <v>98.5780029296875</v>
      </c>
      <c r="P124" s="37">
        <v>98.5780029296875</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x14ac:dyDescent="0.35">
      <c r="A125" s="1"/>
      <c r="B125" s="5"/>
      <c r="C125" s="25" t="s">
        <v>684</v>
      </c>
      <c r="D125" s="25" t="s">
        <v>780</v>
      </c>
      <c r="E125" s="25" t="s">
        <v>793</v>
      </c>
      <c r="F125" s="25" t="s">
        <v>794</v>
      </c>
      <c r="G125" s="50">
        <v>20051.099999999999</v>
      </c>
      <c r="H125" s="50">
        <v>2</v>
      </c>
      <c r="I125" s="37">
        <v>12.560000419616699</v>
      </c>
      <c r="J125" s="37">
        <v>12.6099996566772</v>
      </c>
      <c r="K125" s="37">
        <v>12.585000038146999</v>
      </c>
      <c r="L125" s="37">
        <v>12.560000419616699</v>
      </c>
      <c r="M125" s="37">
        <v>100.23899841308599</v>
      </c>
      <c r="N125" s="37">
        <v>100.272003173828</v>
      </c>
      <c r="O125" s="37">
        <v>100.255500793457</v>
      </c>
      <c r="P125" s="37">
        <v>100.272003173828</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x14ac:dyDescent="0.35">
      <c r="A126" s="1"/>
      <c r="B126" s="5"/>
      <c r="C126" s="25" t="s">
        <v>684</v>
      </c>
      <c r="D126" s="25" t="s">
        <v>780</v>
      </c>
      <c r="E126" s="25" t="s">
        <v>963</v>
      </c>
      <c r="F126" s="25" t="s">
        <v>964</v>
      </c>
      <c r="G126" s="50">
        <v>6894.02</v>
      </c>
      <c r="H126" s="50">
        <v>2</v>
      </c>
      <c r="I126" s="37">
        <v>12.699999809265099</v>
      </c>
      <c r="J126" s="37">
        <v>12.7200002670288</v>
      </c>
      <c r="K126" s="37">
        <v>12.710000038146999</v>
      </c>
      <c r="L126" s="37">
        <v>12.7200002670288</v>
      </c>
      <c r="M126" s="37">
        <v>98.474998474121094</v>
      </c>
      <c r="N126" s="37">
        <v>98.497001647949205</v>
      </c>
      <c r="O126" s="37">
        <v>98.486000061035199</v>
      </c>
      <c r="P126" s="37">
        <v>98.474998474121094</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x14ac:dyDescent="0.35">
      <c r="A127" s="1"/>
      <c r="B127" s="5"/>
      <c r="C127" s="25" t="s">
        <v>684</v>
      </c>
      <c r="D127" s="25" t="s">
        <v>780</v>
      </c>
      <c r="E127" s="25" t="s">
        <v>795</v>
      </c>
      <c r="F127" s="25" t="s">
        <v>796</v>
      </c>
      <c r="G127" s="50">
        <v>2476.1750000000002</v>
      </c>
      <c r="H127" s="50">
        <v>1</v>
      </c>
      <c r="I127" s="37">
        <v>12.6599998474121</v>
      </c>
      <c r="J127" s="37">
        <v>12.6599998474121</v>
      </c>
      <c r="K127" s="37">
        <v>12.6599998474121</v>
      </c>
      <c r="L127" s="37">
        <v>12.6599998474121</v>
      </c>
      <c r="M127" s="37">
        <v>99.0469970703125</v>
      </c>
      <c r="N127" s="37">
        <v>99.0469970703125</v>
      </c>
      <c r="O127" s="37">
        <v>99.0469970703125</v>
      </c>
      <c r="P127" s="37">
        <v>99.0469970703125</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x14ac:dyDescent="0.35">
      <c r="A128" s="1"/>
      <c r="B128" s="5"/>
      <c r="C128" s="25" t="s">
        <v>684</v>
      </c>
      <c r="D128" s="25" t="s">
        <v>780</v>
      </c>
      <c r="E128" s="25" t="s">
        <v>965</v>
      </c>
      <c r="F128" s="25" t="s">
        <v>966</v>
      </c>
      <c r="G128" s="50">
        <v>500.27499999999998</v>
      </c>
      <c r="H128" s="50">
        <v>1</v>
      </c>
      <c r="I128" s="37">
        <v>12.699999809265099</v>
      </c>
      <c r="J128" s="37">
        <v>12.699999809265099</v>
      </c>
      <c r="K128" s="37">
        <v>12.699999809265099</v>
      </c>
      <c r="L128" s="37">
        <v>12.699999809265099</v>
      </c>
      <c r="M128" s="37">
        <v>100.05500030517599</v>
      </c>
      <c r="N128" s="37">
        <v>100.05500030517599</v>
      </c>
      <c r="O128" s="37">
        <v>100.05500030517599</v>
      </c>
      <c r="P128" s="37">
        <v>100.05500030517599</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x14ac:dyDescent="0.35">
      <c r="A129" s="1"/>
      <c r="B129" s="5"/>
      <c r="C129" s="25" t="s">
        <v>684</v>
      </c>
      <c r="D129" s="25" t="s">
        <v>780</v>
      </c>
      <c r="E129" s="25" t="s">
        <v>490</v>
      </c>
      <c r="F129" s="25" t="s">
        <v>866</v>
      </c>
      <c r="G129" s="50">
        <v>149.7415</v>
      </c>
      <c r="H129" s="50">
        <v>1</v>
      </c>
      <c r="I129" s="37">
        <v>12</v>
      </c>
      <c r="J129" s="37">
        <v>12</v>
      </c>
      <c r="K129" s="37">
        <v>12</v>
      </c>
      <c r="L129" s="37">
        <v>12</v>
      </c>
      <c r="M129" s="37">
        <v>103.26999664306599</v>
      </c>
      <c r="N129" s="37">
        <v>103.26999664306599</v>
      </c>
      <c r="O129" s="37">
        <v>103.26999664306599</v>
      </c>
      <c r="P129" s="37">
        <v>103.26999664306599</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x14ac:dyDescent="0.35">
      <c r="A130" s="1"/>
      <c r="B130" s="5"/>
      <c r="C130" s="25" t="s">
        <v>684</v>
      </c>
      <c r="D130" s="25" t="s">
        <v>780</v>
      </c>
      <c r="E130" s="25" t="s">
        <v>514</v>
      </c>
      <c r="F130" s="25" t="s">
        <v>967</v>
      </c>
      <c r="G130" s="50">
        <v>103.265874</v>
      </c>
      <c r="H130" s="50">
        <v>1</v>
      </c>
      <c r="I130" s="37">
        <v>12.2399997711182</v>
      </c>
      <c r="J130" s="37">
        <v>12.2399997711182</v>
      </c>
      <c r="K130" s="37">
        <v>12.2399997711182</v>
      </c>
      <c r="L130" s="37">
        <v>12.2399997711182</v>
      </c>
      <c r="M130" s="37">
        <v>100.649002075195</v>
      </c>
      <c r="N130" s="37">
        <v>100.649002075195</v>
      </c>
      <c r="O130" s="37">
        <v>100.649002075195</v>
      </c>
      <c r="P130" s="37">
        <v>100.649002075195</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x14ac:dyDescent="0.35">
      <c r="A131" s="1"/>
      <c r="B131" s="5"/>
      <c r="C131" s="25" t="s">
        <v>684</v>
      </c>
      <c r="D131" s="25" t="s">
        <v>780</v>
      </c>
      <c r="E131" s="25" t="s">
        <v>515</v>
      </c>
      <c r="F131" s="25" t="s">
        <v>968</v>
      </c>
      <c r="G131" s="50">
        <v>4189.8817499999996</v>
      </c>
      <c r="H131" s="50">
        <v>6</v>
      </c>
      <c r="I131" s="37">
        <v>12</v>
      </c>
      <c r="J131" s="37">
        <v>12.5</v>
      </c>
      <c r="K131" s="37">
        <v>12.271678446919699</v>
      </c>
      <c r="L131" s="37">
        <v>12.300000190734901</v>
      </c>
      <c r="M131" s="37">
        <v>100.51100158691401</v>
      </c>
      <c r="N131" s="37">
        <v>101.352996826172</v>
      </c>
      <c r="O131" s="37">
        <v>100.88807447118</v>
      </c>
      <c r="P131" s="37">
        <v>100.83399963378901</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x14ac:dyDescent="0.35">
      <c r="A132" s="1"/>
      <c r="B132" s="5"/>
      <c r="C132" s="25" t="s">
        <v>684</v>
      </c>
      <c r="D132" s="25" t="s">
        <v>780</v>
      </c>
      <c r="E132" s="25" t="s">
        <v>516</v>
      </c>
      <c r="F132" s="25" t="s">
        <v>685</v>
      </c>
      <c r="G132" s="50">
        <v>1002.24</v>
      </c>
      <c r="H132" s="50">
        <v>1</v>
      </c>
      <c r="I132" s="37">
        <v>12.199999809265099</v>
      </c>
      <c r="J132" s="37">
        <v>12.199999809265099</v>
      </c>
      <c r="K132" s="37">
        <v>12.199999809265099</v>
      </c>
      <c r="L132" s="37">
        <v>0</v>
      </c>
      <c r="M132" s="37">
        <v>100.223999023438</v>
      </c>
      <c r="N132" s="37">
        <v>100.223999023438</v>
      </c>
      <c r="O132" s="37">
        <v>100.223999023438</v>
      </c>
      <c r="P132" s="37">
        <v>100</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x14ac:dyDescent="0.35">
      <c r="A133" s="1"/>
      <c r="B133" s="5"/>
      <c r="C133" s="25" t="s">
        <v>684</v>
      </c>
      <c r="D133" s="25" t="s">
        <v>780</v>
      </c>
      <c r="E133" s="25" t="s">
        <v>516</v>
      </c>
      <c r="F133" s="25" t="s">
        <v>690</v>
      </c>
      <c r="G133" s="50">
        <v>818.96303999999998</v>
      </c>
      <c r="H133" s="50">
        <v>4</v>
      </c>
      <c r="I133" s="37">
        <v>12.25</v>
      </c>
      <c r="J133" s="37">
        <v>12.300000190734901</v>
      </c>
      <c r="K133" s="37">
        <v>12.2540441330741</v>
      </c>
      <c r="L133" s="37">
        <v>0</v>
      </c>
      <c r="M133" s="37">
        <v>100.31900024414099</v>
      </c>
      <c r="N133" s="37">
        <v>100.366996765137</v>
      </c>
      <c r="O133" s="37">
        <v>100.363114693586</v>
      </c>
      <c r="P133" s="37">
        <v>100</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x14ac:dyDescent="0.35">
      <c r="A134" s="1"/>
      <c r="B134" s="5"/>
      <c r="C134" s="25" t="s">
        <v>684</v>
      </c>
      <c r="D134" s="25" t="s">
        <v>780</v>
      </c>
      <c r="E134" s="25" t="s">
        <v>516</v>
      </c>
      <c r="F134" s="25" t="s">
        <v>692</v>
      </c>
      <c r="G134" s="50">
        <v>4126.5559999999996</v>
      </c>
      <c r="H134" s="50">
        <v>7</v>
      </c>
      <c r="I134" s="37">
        <v>12.199999809265099</v>
      </c>
      <c r="J134" s="37">
        <v>12.663999557495099</v>
      </c>
      <c r="K134" s="37">
        <v>12.5750137155117</v>
      </c>
      <c r="L134" s="37">
        <v>12.663999557495099</v>
      </c>
      <c r="M134" s="37">
        <v>100</v>
      </c>
      <c r="N134" s="37">
        <v>100.578002929688</v>
      </c>
      <c r="O134" s="37">
        <v>100.110528123199</v>
      </c>
      <c r="P134" s="37">
        <v>100</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x14ac:dyDescent="0.35">
      <c r="A135" s="1"/>
      <c r="B135" s="5"/>
      <c r="C135" s="25" t="s">
        <v>684</v>
      </c>
      <c r="D135" s="25" t="s">
        <v>780</v>
      </c>
      <c r="E135" s="25" t="s">
        <v>516</v>
      </c>
      <c r="F135" s="25" t="s">
        <v>693</v>
      </c>
      <c r="G135" s="50">
        <v>1086.9228000000001</v>
      </c>
      <c r="H135" s="50">
        <v>5</v>
      </c>
      <c r="I135" s="37">
        <v>12.300000190734901</v>
      </c>
      <c r="J135" s="37">
        <v>12.300000190734901</v>
      </c>
      <c r="K135" s="37">
        <v>12.300000190734901</v>
      </c>
      <c r="L135" s="37">
        <v>12.300000190734901</v>
      </c>
      <c r="M135" s="37">
        <v>100.640998840332</v>
      </c>
      <c r="N135" s="37">
        <v>100.640998840332</v>
      </c>
      <c r="O135" s="37">
        <v>100.640998840332</v>
      </c>
      <c r="P135" s="37">
        <v>100.640998840332</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x14ac:dyDescent="0.35">
      <c r="A136" s="1"/>
      <c r="B136" s="5"/>
      <c r="C136" s="25" t="s">
        <v>802</v>
      </c>
      <c r="D136" s="25" t="s">
        <v>780</v>
      </c>
      <c r="E136" s="25" t="s">
        <v>969</v>
      </c>
      <c r="F136" s="25" t="s">
        <v>970</v>
      </c>
      <c r="G136" s="50">
        <v>467.59500000000003</v>
      </c>
      <c r="H136" s="50">
        <v>1</v>
      </c>
      <c r="I136" s="37">
        <v>12.8500003814697</v>
      </c>
      <c r="J136" s="37">
        <v>12.8500003814697</v>
      </c>
      <c r="K136" s="37">
        <v>12.8500003814697</v>
      </c>
      <c r="L136" s="37">
        <v>12.8500003814697</v>
      </c>
      <c r="M136" s="37">
        <v>93.518997192382798</v>
      </c>
      <c r="N136" s="37">
        <v>93.518997192382798</v>
      </c>
      <c r="O136" s="37">
        <v>93.518997192382798</v>
      </c>
      <c r="P136" s="37">
        <v>93.518997192382798</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x14ac:dyDescent="0.35">
      <c r="A137" s="1"/>
      <c r="B137" s="5"/>
      <c r="C137" s="25" t="s">
        <v>802</v>
      </c>
      <c r="D137" s="25" t="s">
        <v>780</v>
      </c>
      <c r="E137" s="25" t="s">
        <v>971</v>
      </c>
      <c r="F137" s="25" t="s">
        <v>972</v>
      </c>
      <c r="G137" s="50">
        <v>960.91</v>
      </c>
      <c r="H137" s="50">
        <v>2</v>
      </c>
      <c r="I137" s="37">
        <v>12.5609998703003</v>
      </c>
      <c r="J137" s="37">
        <v>12.593000411987299</v>
      </c>
      <c r="K137" s="37">
        <v>12.577000141143801</v>
      </c>
      <c r="L137" s="37">
        <v>12.593000411987299</v>
      </c>
      <c r="M137" s="37">
        <v>96.050003051757798</v>
      </c>
      <c r="N137" s="37">
        <v>96.132003784179702</v>
      </c>
      <c r="O137" s="37">
        <v>96.091003417968807</v>
      </c>
      <c r="P137" s="37">
        <v>96.050003051757798</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x14ac:dyDescent="0.35">
      <c r="A138" s="1"/>
      <c r="B138" s="5"/>
      <c r="C138" s="25" t="s">
        <v>695</v>
      </c>
      <c r="D138" s="25" t="s">
        <v>780</v>
      </c>
      <c r="E138" s="25" t="s">
        <v>973</v>
      </c>
      <c r="F138" s="25" t="s">
        <v>974</v>
      </c>
      <c r="G138" s="50">
        <v>760.01300000000003</v>
      </c>
      <c r="H138" s="50">
        <v>4</v>
      </c>
      <c r="I138" s="37">
        <v>12.050000190734901</v>
      </c>
      <c r="J138" s="37">
        <v>13</v>
      </c>
      <c r="K138" s="37">
        <v>12.554000155131</v>
      </c>
      <c r="L138" s="37">
        <v>12.199999809265099</v>
      </c>
      <c r="M138" s="37">
        <v>100.057998657227</v>
      </c>
      <c r="N138" s="37">
        <v>102.807998657227</v>
      </c>
      <c r="O138" s="37">
        <v>101.335067749023</v>
      </c>
      <c r="P138" s="37">
        <v>102.37200164794901</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x14ac:dyDescent="0.35">
      <c r="A139" s="1"/>
      <c r="B139" s="5"/>
      <c r="C139" s="25" t="s">
        <v>695</v>
      </c>
      <c r="D139" s="25" t="s">
        <v>780</v>
      </c>
      <c r="E139" s="25" t="s">
        <v>975</v>
      </c>
      <c r="F139" s="25" t="s">
        <v>714</v>
      </c>
      <c r="G139" s="50">
        <v>501.09500000000003</v>
      </c>
      <c r="H139" s="50">
        <v>1</v>
      </c>
      <c r="I139" s="37">
        <v>12.699999809265099</v>
      </c>
      <c r="J139" s="37">
        <v>12.699999809265099</v>
      </c>
      <c r="K139" s="37">
        <v>12.699999809265099</v>
      </c>
      <c r="L139" s="37">
        <v>12.699999809265099</v>
      </c>
      <c r="M139" s="37">
        <v>100.21900177002</v>
      </c>
      <c r="N139" s="37">
        <v>100.21900177002</v>
      </c>
      <c r="O139" s="37">
        <v>100.21900177002</v>
      </c>
      <c r="P139" s="37">
        <v>100.21900177002</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x14ac:dyDescent="0.35">
      <c r="A140" s="1"/>
      <c r="B140" s="5"/>
      <c r="C140" s="25" t="s">
        <v>695</v>
      </c>
      <c r="D140" s="25" t="s">
        <v>780</v>
      </c>
      <c r="E140" s="25" t="s">
        <v>976</v>
      </c>
      <c r="F140" s="25" t="s">
        <v>977</v>
      </c>
      <c r="G140" s="50">
        <v>21.2394</v>
      </c>
      <c r="H140" s="50">
        <v>1</v>
      </c>
      <c r="I140" s="37">
        <v>21.290000915527301</v>
      </c>
      <c r="J140" s="37">
        <v>21.290000915527301</v>
      </c>
      <c r="K140" s="37">
        <v>21.290000915527301</v>
      </c>
      <c r="L140" s="37">
        <v>21.290000915527301</v>
      </c>
      <c r="M140" s="37">
        <v>106.19699859619099</v>
      </c>
      <c r="N140" s="37">
        <v>106.19699859619099</v>
      </c>
      <c r="O140" s="37">
        <v>106.19699859619099</v>
      </c>
      <c r="P140" s="37">
        <v>106.19699859619099</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x14ac:dyDescent="0.35">
      <c r="A141" s="1"/>
      <c r="B141" s="5"/>
      <c r="C141" s="25" t="s">
        <v>695</v>
      </c>
      <c r="D141" s="25" t="s">
        <v>780</v>
      </c>
      <c r="E141" s="25" t="s">
        <v>978</v>
      </c>
      <c r="F141" s="25" t="s">
        <v>979</v>
      </c>
      <c r="G141" s="50">
        <v>516.66999999999996</v>
      </c>
      <c r="H141" s="50">
        <v>1</v>
      </c>
      <c r="I141" s="37">
        <v>12.005999565124499</v>
      </c>
      <c r="J141" s="37">
        <v>12.005999565124499</v>
      </c>
      <c r="K141" s="37">
        <v>12.005999565124499</v>
      </c>
      <c r="L141" s="37">
        <v>12.005999565124499</v>
      </c>
      <c r="M141" s="37">
        <v>103.33399963378901</v>
      </c>
      <c r="N141" s="37">
        <v>103.33399963378901</v>
      </c>
      <c r="O141" s="37">
        <v>103.33399963378901</v>
      </c>
      <c r="P141" s="37">
        <v>103.33399963378901</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x14ac:dyDescent="0.35">
      <c r="A142" s="1"/>
      <c r="B142" s="5"/>
      <c r="C142" s="25" t="s">
        <v>695</v>
      </c>
      <c r="D142" s="25" t="s">
        <v>780</v>
      </c>
      <c r="E142" s="25" t="s">
        <v>980</v>
      </c>
      <c r="F142" s="25" t="s">
        <v>981</v>
      </c>
      <c r="G142" s="50">
        <v>46.034550000000003</v>
      </c>
      <c r="H142" s="50">
        <v>1</v>
      </c>
      <c r="I142" s="37">
        <v>13</v>
      </c>
      <c r="J142" s="37">
        <v>13</v>
      </c>
      <c r="K142" s="37">
        <v>13</v>
      </c>
      <c r="L142" s="37">
        <v>13</v>
      </c>
      <c r="M142" s="37">
        <v>102.29900360107401</v>
      </c>
      <c r="N142" s="37">
        <v>102.29900360107401</v>
      </c>
      <c r="O142" s="37">
        <v>102.29900360107401</v>
      </c>
      <c r="P142" s="37">
        <v>102.29900360107401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x14ac:dyDescent="0.35">
      <c r="A143" s="1"/>
      <c r="B143" s="5"/>
      <c r="C143" s="25" t="s">
        <v>695</v>
      </c>
      <c r="D143" s="25" t="s">
        <v>780</v>
      </c>
      <c r="E143" s="25" t="s">
        <v>980</v>
      </c>
      <c r="F143" s="25" t="s">
        <v>982</v>
      </c>
      <c r="G143" s="50">
        <v>33.532620000000001</v>
      </c>
      <c r="H143" s="50">
        <v>1</v>
      </c>
      <c r="I143" s="37">
        <v>15.9899997711182</v>
      </c>
      <c r="J143" s="37">
        <v>15.9899997711182</v>
      </c>
      <c r="K143" s="37">
        <v>15.9899997711182</v>
      </c>
      <c r="L143" s="37">
        <v>15.9899997711182</v>
      </c>
      <c r="M143" s="37">
        <v>101.61399841308599</v>
      </c>
      <c r="N143" s="37">
        <v>101.61399841308599</v>
      </c>
      <c r="O143" s="37">
        <v>101.61399841308599</v>
      </c>
      <c r="P143" s="37">
        <v>101.61399841308599</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x14ac:dyDescent="0.35">
      <c r="A144" s="1"/>
      <c r="B144" s="5"/>
      <c r="C144" s="25" t="s">
        <v>695</v>
      </c>
      <c r="D144" s="25" t="s">
        <v>780</v>
      </c>
      <c r="E144" s="25" t="s">
        <v>983</v>
      </c>
      <c r="F144" s="25" t="s">
        <v>952</v>
      </c>
      <c r="G144" s="50">
        <v>51.168500000000002</v>
      </c>
      <c r="H144" s="50">
        <v>1</v>
      </c>
      <c r="I144" s="37">
        <v>12.75</v>
      </c>
      <c r="J144" s="37">
        <v>12.75</v>
      </c>
      <c r="K144" s="37">
        <v>12.75</v>
      </c>
      <c r="L144" s="37">
        <v>12.75</v>
      </c>
      <c r="M144" s="37">
        <v>102.33699798584</v>
      </c>
      <c r="N144" s="37">
        <v>102.33699798584</v>
      </c>
      <c r="O144" s="37">
        <v>102.33699798584</v>
      </c>
      <c r="P144" s="37">
        <v>102.33699798584</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x14ac:dyDescent="0.35">
      <c r="A145" s="1"/>
      <c r="B145" s="5"/>
      <c r="C145" s="25" t="s">
        <v>695</v>
      </c>
      <c r="D145" s="25" t="s">
        <v>780</v>
      </c>
      <c r="E145" s="25" t="s">
        <v>748</v>
      </c>
      <c r="F145" s="25" t="s">
        <v>984</v>
      </c>
      <c r="G145" s="50">
        <v>100.571</v>
      </c>
      <c r="H145" s="50">
        <v>1</v>
      </c>
      <c r="I145" s="37">
        <v>15.069999694824199</v>
      </c>
      <c r="J145" s="37">
        <v>15.069999694824199</v>
      </c>
      <c r="K145" s="37">
        <v>15.069999694824199</v>
      </c>
      <c r="L145" s="37">
        <v>15.069999694824199</v>
      </c>
      <c r="M145" s="37">
        <v>100.570999145508</v>
      </c>
      <c r="N145" s="37">
        <v>100.570999145508</v>
      </c>
      <c r="O145" s="37">
        <v>100.570999145508</v>
      </c>
      <c r="P145" s="37">
        <v>100.570999145508</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x14ac:dyDescent="0.35">
      <c r="A146" s="1"/>
      <c r="B146" s="5"/>
      <c r="C146" s="25" t="s">
        <v>695</v>
      </c>
      <c r="D146" s="25" t="s">
        <v>780</v>
      </c>
      <c r="E146" s="25" t="s">
        <v>488</v>
      </c>
      <c r="F146" s="25" t="s">
        <v>985</v>
      </c>
      <c r="G146" s="50">
        <v>72.669607999999997</v>
      </c>
      <c r="H146" s="50">
        <v>1</v>
      </c>
      <c r="I146" s="37">
        <v>15.420000076293899</v>
      </c>
      <c r="J146" s="37">
        <v>15.420000076293899</v>
      </c>
      <c r="K146" s="37">
        <v>15.420000076293899</v>
      </c>
      <c r="L146" s="37">
        <v>15.420000076293899</v>
      </c>
      <c r="M146" s="37">
        <v>99.724998474121094</v>
      </c>
      <c r="N146" s="37">
        <v>99.724998474121094</v>
      </c>
      <c r="O146" s="37">
        <v>99.724998474121094</v>
      </c>
      <c r="P146" s="37">
        <v>99.724998474121094</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x14ac:dyDescent="0.35">
      <c r="A147" s="1"/>
      <c r="B147" s="5"/>
      <c r="C147" s="25" t="s">
        <v>698</v>
      </c>
      <c r="D147" s="25" t="s">
        <v>780</v>
      </c>
      <c r="E147" s="25" t="s">
        <v>986</v>
      </c>
      <c r="F147" s="25" t="s">
        <v>987</v>
      </c>
      <c r="G147" s="50">
        <v>21234.57</v>
      </c>
      <c r="H147" s="50">
        <v>1</v>
      </c>
      <c r="I147" s="37">
        <v>12.1499996185303</v>
      </c>
      <c r="J147" s="37">
        <v>12.1499996185303</v>
      </c>
      <c r="K147" s="37">
        <v>12.1499996185303</v>
      </c>
      <c r="L147" s="37">
        <v>12.1499996185303</v>
      </c>
      <c r="M147" s="37">
        <v>101.116996765137</v>
      </c>
      <c r="N147" s="37">
        <v>101.116996765137</v>
      </c>
      <c r="O147" s="37">
        <v>101.116996765137</v>
      </c>
      <c r="P147" s="37">
        <v>101.116996765137</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x14ac:dyDescent="0.35">
      <c r="A148" s="1"/>
      <c r="B148" s="5"/>
      <c r="C148" s="25" t="s">
        <v>698</v>
      </c>
      <c r="D148" s="25" t="s">
        <v>780</v>
      </c>
      <c r="E148" s="25" t="s">
        <v>965</v>
      </c>
      <c r="F148" s="25" t="s">
        <v>988</v>
      </c>
      <c r="G148" s="50">
        <v>2015.52</v>
      </c>
      <c r="H148" s="50">
        <v>2</v>
      </c>
      <c r="I148" s="37">
        <v>12.2799997329712</v>
      </c>
      <c r="J148" s="37">
        <v>12.3599996566772</v>
      </c>
      <c r="K148" s="37">
        <v>12.319999694824199</v>
      </c>
      <c r="L148" s="37">
        <v>12.3599996566772</v>
      </c>
      <c r="M148" s="37">
        <v>100.76300048828099</v>
      </c>
      <c r="N148" s="37">
        <v>100.78900146484401</v>
      </c>
      <c r="O148" s="37">
        <v>100.776000976562</v>
      </c>
      <c r="P148" s="37">
        <v>100.76300048828099</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x14ac:dyDescent="0.35">
      <c r="A149" s="1"/>
      <c r="B149" s="5"/>
      <c r="C149" s="25" t="s">
        <v>698</v>
      </c>
      <c r="D149" s="25" t="s">
        <v>780</v>
      </c>
      <c r="E149" s="25" t="s">
        <v>989</v>
      </c>
      <c r="F149" s="25" t="s">
        <v>990</v>
      </c>
      <c r="G149" s="50">
        <v>2010.54</v>
      </c>
      <c r="H149" s="50">
        <v>1</v>
      </c>
      <c r="I149" s="37">
        <v>12.7200002670288</v>
      </c>
      <c r="J149" s="37">
        <v>12.7200002670288</v>
      </c>
      <c r="K149" s="37">
        <v>12.7200002670288</v>
      </c>
      <c r="L149" s="37">
        <v>12.7200002670288</v>
      </c>
      <c r="M149" s="37">
        <v>100.52700042724599</v>
      </c>
      <c r="N149" s="37">
        <v>100.52700042724599</v>
      </c>
      <c r="O149" s="37">
        <v>100.52700042724599</v>
      </c>
      <c r="P149" s="37">
        <v>100.52700042724599</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x14ac:dyDescent="0.35">
      <c r="A150" s="1"/>
      <c r="B150" s="5"/>
      <c r="C150" s="25" t="s">
        <v>698</v>
      </c>
      <c r="D150" s="25" t="s">
        <v>780</v>
      </c>
      <c r="E150" s="25" t="s">
        <v>516</v>
      </c>
      <c r="F150" s="25" t="s">
        <v>691</v>
      </c>
      <c r="G150" s="50">
        <v>1020</v>
      </c>
      <c r="H150" s="50">
        <v>1</v>
      </c>
      <c r="I150" s="37">
        <v>12.817999839782701</v>
      </c>
      <c r="J150" s="37">
        <v>12.817999839782701</v>
      </c>
      <c r="K150" s="37">
        <v>12.817999839782701</v>
      </c>
      <c r="L150" s="37">
        <v>0</v>
      </c>
      <c r="M150" s="37">
        <v>100</v>
      </c>
      <c r="N150" s="37">
        <v>100</v>
      </c>
      <c r="O150" s="37">
        <v>100</v>
      </c>
      <c r="P150" s="37">
        <v>100</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x14ac:dyDescent="0.35">
      <c r="A151" s="1"/>
      <c r="B151" s="5"/>
      <c r="C151" s="25" t="s">
        <v>991</v>
      </c>
      <c r="D151" s="25" t="s">
        <v>780</v>
      </c>
      <c r="E151" s="25" t="s">
        <v>992</v>
      </c>
      <c r="F151" s="25" t="s">
        <v>993</v>
      </c>
      <c r="G151" s="50">
        <v>3020.7449999999999</v>
      </c>
      <c r="H151" s="50">
        <v>3</v>
      </c>
      <c r="I151" s="37">
        <v>12.3920001983643</v>
      </c>
      <c r="J151" s="37">
        <v>12.4130001068115</v>
      </c>
      <c r="K151" s="37">
        <v>12.4025001525879</v>
      </c>
      <c r="L151" s="37">
        <v>12.4130001068115</v>
      </c>
      <c r="M151" s="37">
        <v>100.67800140380901</v>
      </c>
      <c r="N151" s="37">
        <v>100.705001831055</v>
      </c>
      <c r="O151" s="37">
        <v>100.691501617432</v>
      </c>
      <c r="P151" s="37">
        <v>100.67800140380901</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x14ac:dyDescent="0.35">
      <c r="A152" s="1"/>
      <c r="B152" s="5"/>
      <c r="C152" s="25" t="s">
        <v>702</v>
      </c>
      <c r="D152" s="25" t="s">
        <v>780</v>
      </c>
      <c r="E152" s="25" t="s">
        <v>994</v>
      </c>
      <c r="F152" s="25" t="s">
        <v>995</v>
      </c>
      <c r="G152" s="50">
        <v>155.352</v>
      </c>
      <c r="H152" s="50">
        <v>1</v>
      </c>
      <c r="I152" s="37">
        <v>13.300000190734901</v>
      </c>
      <c r="J152" s="37">
        <v>13.300000190734901</v>
      </c>
      <c r="K152" s="37">
        <v>13.300000190734901</v>
      </c>
      <c r="L152" s="37">
        <v>13.300000190734901</v>
      </c>
      <c r="M152" s="37">
        <v>97.095001220703097</v>
      </c>
      <c r="N152" s="37">
        <v>97.095001220703097</v>
      </c>
      <c r="O152" s="37">
        <v>97.095001220703097</v>
      </c>
      <c r="P152" s="37">
        <v>97.095001220703097</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x14ac:dyDescent="0.35">
      <c r="A153" s="1"/>
      <c r="B153" s="5"/>
      <c r="C153" s="25" t="s">
        <v>702</v>
      </c>
      <c r="D153" s="25" t="s">
        <v>780</v>
      </c>
      <c r="E153" s="25" t="s">
        <v>996</v>
      </c>
      <c r="F153" s="25" t="s">
        <v>997</v>
      </c>
      <c r="G153" s="50">
        <v>934.1</v>
      </c>
      <c r="H153" s="50">
        <v>1</v>
      </c>
      <c r="I153" s="37">
        <v>12.75</v>
      </c>
      <c r="J153" s="37">
        <v>12.75</v>
      </c>
      <c r="K153" s="37">
        <v>12.75</v>
      </c>
      <c r="L153" s="37">
        <v>12.75</v>
      </c>
      <c r="M153" s="37">
        <v>93.410003662109403</v>
      </c>
      <c r="N153" s="37">
        <v>93.410003662109403</v>
      </c>
      <c r="O153" s="37">
        <v>93.410003662109403</v>
      </c>
      <c r="P153" s="37">
        <v>93.410003662109403</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x14ac:dyDescent="0.35">
      <c r="A154" s="1"/>
      <c r="B154" s="5"/>
      <c r="C154" s="25" t="s">
        <v>702</v>
      </c>
      <c r="D154" s="25" t="s">
        <v>780</v>
      </c>
      <c r="E154" s="25" t="s">
        <v>998</v>
      </c>
      <c r="F154" s="25" t="s">
        <v>999</v>
      </c>
      <c r="G154" s="50">
        <v>2986.62</v>
      </c>
      <c r="H154" s="50">
        <v>1</v>
      </c>
      <c r="I154" s="37">
        <v>12.0200004577637</v>
      </c>
      <c r="J154" s="37">
        <v>12.0200004577637</v>
      </c>
      <c r="K154" s="37">
        <v>12.0200004577637</v>
      </c>
      <c r="L154" s="37">
        <v>12.0200004577637</v>
      </c>
      <c r="M154" s="37">
        <v>99.554000854492202</v>
      </c>
      <c r="N154" s="37">
        <v>99.554000854492202</v>
      </c>
      <c r="O154" s="37">
        <v>99.554000854492202</v>
      </c>
      <c r="P154" s="37">
        <v>99.554000854492202</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x14ac:dyDescent="0.35">
      <c r="A155" s="1"/>
      <c r="B155" s="5"/>
      <c r="C155" s="25" t="s">
        <v>702</v>
      </c>
      <c r="D155" s="25" t="s">
        <v>780</v>
      </c>
      <c r="E155" s="25" t="s">
        <v>1000</v>
      </c>
      <c r="F155" s="25" t="s">
        <v>1001</v>
      </c>
      <c r="G155" s="50">
        <v>507.53500000000003</v>
      </c>
      <c r="H155" s="50">
        <v>2</v>
      </c>
      <c r="I155" s="37">
        <v>12.496000289916999</v>
      </c>
      <c r="J155" s="37">
        <v>12.496000289916999</v>
      </c>
      <c r="K155" s="37">
        <v>12.496000289916999</v>
      </c>
      <c r="L155" s="37">
        <v>12.496000289916999</v>
      </c>
      <c r="M155" s="37">
        <v>101.50700378418</v>
      </c>
      <c r="N155" s="37">
        <v>101.50700378418</v>
      </c>
      <c r="O155" s="37">
        <v>101.50700378418</v>
      </c>
      <c r="P155" s="37">
        <v>101.50700378418</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x14ac:dyDescent="0.35">
      <c r="A156" s="1"/>
      <c r="B156" s="5"/>
      <c r="C156" s="25" t="s">
        <v>702</v>
      </c>
      <c r="D156" s="25" t="s">
        <v>780</v>
      </c>
      <c r="E156" s="25" t="s">
        <v>1002</v>
      </c>
      <c r="F156" s="25" t="s">
        <v>1003</v>
      </c>
      <c r="G156" s="50">
        <v>1011.44</v>
      </c>
      <c r="H156" s="50">
        <v>3</v>
      </c>
      <c r="I156" s="37">
        <v>12.1000003814697</v>
      </c>
      <c r="J156" s="37">
        <v>12.1000003814697</v>
      </c>
      <c r="K156" s="37">
        <v>12.1000003814697</v>
      </c>
      <c r="L156" s="37">
        <v>12.1000003814697</v>
      </c>
      <c r="M156" s="37">
        <v>101.143997192383</v>
      </c>
      <c r="N156" s="37">
        <v>101.143997192383</v>
      </c>
      <c r="O156" s="37">
        <v>101.143997192383</v>
      </c>
      <c r="P156" s="37">
        <v>101.143997192383</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x14ac:dyDescent="0.35">
      <c r="A157" s="1"/>
      <c r="B157" s="5"/>
      <c r="C157" s="25" t="s">
        <v>702</v>
      </c>
      <c r="D157" s="25" t="s">
        <v>780</v>
      </c>
      <c r="E157" s="25" t="s">
        <v>820</v>
      </c>
      <c r="F157" s="25" t="s">
        <v>821</v>
      </c>
      <c r="G157" s="50">
        <v>1504.30051</v>
      </c>
      <c r="H157" s="50">
        <v>3</v>
      </c>
      <c r="I157" s="37">
        <v>12.1000003814697</v>
      </c>
      <c r="J157" s="37">
        <v>12.6199998855591</v>
      </c>
      <c r="K157" s="37">
        <v>12.339350762924999</v>
      </c>
      <c r="L157" s="37">
        <v>12.6199998855591</v>
      </c>
      <c r="M157" s="37">
        <v>100.896003723145</v>
      </c>
      <c r="N157" s="37">
        <v>102.40899658203099</v>
      </c>
      <c r="O157" s="37">
        <v>101.710649574182</v>
      </c>
      <c r="P157" s="37">
        <v>100.896003723145</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x14ac:dyDescent="0.35">
      <c r="A158" s="1"/>
      <c r="B158" s="5"/>
      <c r="C158" s="25" t="s">
        <v>702</v>
      </c>
      <c r="D158" s="25" t="s">
        <v>780</v>
      </c>
      <c r="E158" s="25" t="s">
        <v>1004</v>
      </c>
      <c r="F158" s="25" t="s">
        <v>1005</v>
      </c>
      <c r="G158" s="50">
        <v>191.464</v>
      </c>
      <c r="H158" s="50">
        <v>1</v>
      </c>
      <c r="I158" s="37">
        <v>12.7399997711182</v>
      </c>
      <c r="J158" s="37">
        <v>12.7399997711182</v>
      </c>
      <c r="K158" s="37">
        <v>12.7399997711182</v>
      </c>
      <c r="L158" s="37">
        <v>12.7399997711182</v>
      </c>
      <c r="M158" s="37">
        <v>95.732002258300795</v>
      </c>
      <c r="N158" s="37">
        <v>95.732002258300795</v>
      </c>
      <c r="O158" s="37">
        <v>95.732002258300795</v>
      </c>
      <c r="P158" s="37">
        <v>95.732002258300795</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x14ac:dyDescent="0.35">
      <c r="A159" s="1"/>
      <c r="B159" s="5"/>
      <c r="C159" s="25" t="s">
        <v>702</v>
      </c>
      <c r="D159" s="25" t="s">
        <v>780</v>
      </c>
      <c r="E159" s="25" t="s">
        <v>1006</v>
      </c>
      <c r="F159" s="25" t="s">
        <v>1007</v>
      </c>
      <c r="G159" s="50">
        <v>265.24599999999998</v>
      </c>
      <c r="H159" s="50">
        <v>3</v>
      </c>
      <c r="I159" s="37">
        <v>12.1000003814697</v>
      </c>
      <c r="J159" s="37">
        <v>12.25</v>
      </c>
      <c r="K159" s="37">
        <v>12.194444585729499</v>
      </c>
      <c r="L159" s="37">
        <v>12.25</v>
      </c>
      <c r="M159" s="37">
        <v>98.139999389648395</v>
      </c>
      <c r="N159" s="37">
        <v>98.407997131347699</v>
      </c>
      <c r="O159" s="37">
        <v>98.2392578125</v>
      </c>
      <c r="P159" s="37">
        <v>98.139999389648395</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x14ac:dyDescent="0.35">
      <c r="A160" s="1"/>
      <c r="B160" s="5"/>
      <c r="C160" s="25" t="s">
        <v>702</v>
      </c>
      <c r="D160" s="25" t="s">
        <v>780</v>
      </c>
      <c r="E160" s="25" t="s">
        <v>1008</v>
      </c>
      <c r="F160" s="25" t="s">
        <v>1009</v>
      </c>
      <c r="G160" s="50">
        <v>57.162739999999999</v>
      </c>
      <c r="H160" s="50">
        <v>1</v>
      </c>
      <c r="I160" s="37">
        <v>12.7299995422363</v>
      </c>
      <c r="J160" s="37">
        <v>12.7299995422363</v>
      </c>
      <c r="K160" s="37">
        <v>12.7299995422363</v>
      </c>
      <c r="L160" s="37">
        <v>12.7299995422363</v>
      </c>
      <c r="M160" s="37">
        <v>96.886001586914105</v>
      </c>
      <c r="N160" s="37">
        <v>96.886001586914105</v>
      </c>
      <c r="O160" s="37">
        <v>96.886001586914105</v>
      </c>
      <c r="P160" s="37">
        <v>96.886001586914105</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x14ac:dyDescent="0.35">
      <c r="A161" s="1"/>
      <c r="B161" s="5"/>
      <c r="C161" s="25" t="s">
        <v>702</v>
      </c>
      <c r="D161" s="25" t="s">
        <v>780</v>
      </c>
      <c r="E161" s="25" t="s">
        <v>1010</v>
      </c>
      <c r="F161" s="25" t="s">
        <v>1011</v>
      </c>
      <c r="G161" s="50">
        <v>497.06</v>
      </c>
      <c r="H161" s="50">
        <v>1</v>
      </c>
      <c r="I161" s="37">
        <v>12.4420003890991</v>
      </c>
      <c r="J161" s="37">
        <v>12.4420003890991</v>
      </c>
      <c r="K161" s="37">
        <v>12.4420003890991</v>
      </c>
      <c r="L161" s="37">
        <v>12.4420003890991</v>
      </c>
      <c r="M161" s="37">
        <v>99.412002563476605</v>
      </c>
      <c r="N161" s="37">
        <v>99.412002563476605</v>
      </c>
      <c r="O161" s="37">
        <v>99.412002563476605</v>
      </c>
      <c r="P161" s="37">
        <v>99.412002563476605</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x14ac:dyDescent="0.35">
      <c r="A162" s="1"/>
      <c r="B162" s="5"/>
      <c r="C162" s="25" t="s">
        <v>702</v>
      </c>
      <c r="D162" s="25" t="s">
        <v>780</v>
      </c>
      <c r="E162" s="25" t="s">
        <v>1010</v>
      </c>
      <c r="F162" s="25" t="s">
        <v>1012</v>
      </c>
      <c r="G162" s="50">
        <v>404.14800000000002</v>
      </c>
      <c r="H162" s="50">
        <v>2</v>
      </c>
      <c r="I162" s="37">
        <v>12.199999809265099</v>
      </c>
      <c r="J162" s="37">
        <v>12.199999809265099</v>
      </c>
      <c r="K162" s="37">
        <v>12.199999809265099</v>
      </c>
      <c r="L162" s="37">
        <v>12.199999809265099</v>
      </c>
      <c r="M162" s="37">
        <v>101.037002563477</v>
      </c>
      <c r="N162" s="37">
        <v>101.037002563477</v>
      </c>
      <c r="O162" s="37">
        <v>101.037002563477</v>
      </c>
      <c r="P162" s="37">
        <v>101.037002563477</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x14ac:dyDescent="0.35">
      <c r="A163" s="1"/>
      <c r="B163" s="5"/>
      <c r="C163" s="25" t="s">
        <v>702</v>
      </c>
      <c r="D163" s="25" t="s">
        <v>780</v>
      </c>
      <c r="E163" s="25" t="s">
        <v>885</v>
      </c>
      <c r="F163" s="25" t="s">
        <v>1013</v>
      </c>
      <c r="G163" s="50">
        <v>154.41749999999999</v>
      </c>
      <c r="H163" s="50">
        <v>1</v>
      </c>
      <c r="I163" s="37">
        <v>12.300000190734901</v>
      </c>
      <c r="J163" s="37">
        <v>12.300000190734901</v>
      </c>
      <c r="K163" s="37">
        <v>12.300000190734901</v>
      </c>
      <c r="L163" s="37">
        <v>12.300000190734901</v>
      </c>
      <c r="M163" s="37">
        <v>102.94499969482401</v>
      </c>
      <c r="N163" s="37">
        <v>102.94499969482401</v>
      </c>
      <c r="O163" s="37">
        <v>102.94499969482401</v>
      </c>
      <c r="P163" s="37">
        <v>102.94499969482401</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x14ac:dyDescent="0.35">
      <c r="A164" s="1"/>
      <c r="B164" s="5"/>
      <c r="C164" s="25" t="s">
        <v>702</v>
      </c>
      <c r="D164" s="25" t="s">
        <v>780</v>
      </c>
      <c r="E164" s="25" t="s">
        <v>491</v>
      </c>
      <c r="F164" s="25" t="s">
        <v>790</v>
      </c>
      <c r="G164" s="50">
        <v>12231.82</v>
      </c>
      <c r="H164" s="50">
        <v>3</v>
      </c>
      <c r="I164" s="37">
        <v>12.5</v>
      </c>
      <c r="J164" s="37">
        <v>12.7200002670288</v>
      </c>
      <c r="K164" s="37">
        <v>12.670833269755001</v>
      </c>
      <c r="L164" s="37">
        <v>12.5</v>
      </c>
      <c r="M164" s="37">
        <v>101.875</v>
      </c>
      <c r="N164" s="37">
        <v>102.130996704102</v>
      </c>
      <c r="O164" s="37">
        <v>101.931831359863</v>
      </c>
      <c r="P164" s="37">
        <v>102.130996704102</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x14ac:dyDescent="0.35">
      <c r="A165" s="1"/>
      <c r="B165" s="5"/>
      <c r="C165" s="25" t="s">
        <v>1014</v>
      </c>
      <c r="D165" s="25" t="s">
        <v>780</v>
      </c>
      <c r="E165" s="25" t="s">
        <v>1015</v>
      </c>
      <c r="F165" s="25" t="s">
        <v>889</v>
      </c>
      <c r="G165" s="50">
        <v>21091.56</v>
      </c>
      <c r="H165" s="50">
        <v>2</v>
      </c>
      <c r="I165" s="37">
        <v>12</v>
      </c>
      <c r="J165" s="37">
        <v>12</v>
      </c>
      <c r="K165" s="37">
        <v>12</v>
      </c>
      <c r="L165" s="37">
        <v>12</v>
      </c>
      <c r="M165" s="37">
        <v>100.435997009277</v>
      </c>
      <c r="N165" s="37">
        <v>100.435997009277</v>
      </c>
      <c r="O165" s="37">
        <v>100.435997009277</v>
      </c>
      <c r="P165" s="37">
        <v>100.435997009277</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x14ac:dyDescent="0.35">
      <c r="A166" s="1"/>
      <c r="B166" s="5"/>
      <c r="C166" s="25" t="s">
        <v>1014</v>
      </c>
      <c r="D166" s="25" t="s">
        <v>780</v>
      </c>
      <c r="E166" s="25" t="s">
        <v>953</v>
      </c>
      <c r="F166" s="25" t="s">
        <v>954</v>
      </c>
      <c r="G166" s="50">
        <v>13518.495000000001</v>
      </c>
      <c r="H166" s="50">
        <v>3</v>
      </c>
      <c r="I166" s="37">
        <v>12</v>
      </c>
      <c r="J166" s="37">
        <v>12</v>
      </c>
      <c r="K166" s="37">
        <v>12</v>
      </c>
      <c r="L166" s="37">
        <v>12</v>
      </c>
      <c r="M166" s="37">
        <v>100.137001037598</v>
      </c>
      <c r="N166" s="37">
        <v>100.137001037598</v>
      </c>
      <c r="O166" s="37">
        <v>100.137001037598</v>
      </c>
      <c r="P166" s="37">
        <v>100.137001037598</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x14ac:dyDescent="0.35">
      <c r="A167" s="1"/>
      <c r="B167" s="5"/>
      <c r="C167" s="25" t="s">
        <v>703</v>
      </c>
      <c r="D167" s="25" t="s">
        <v>780</v>
      </c>
      <c r="E167" s="25" t="s">
        <v>1016</v>
      </c>
      <c r="F167" s="25" t="s">
        <v>794</v>
      </c>
      <c r="G167" s="50">
        <v>13052.65</v>
      </c>
      <c r="H167" s="50">
        <v>5</v>
      </c>
      <c r="I167" s="37">
        <v>12.4799995422363</v>
      </c>
      <c r="J167" s="37">
        <v>12.5100002288818</v>
      </c>
      <c r="K167" s="37">
        <v>12.4949998855591</v>
      </c>
      <c r="L167" s="37">
        <v>12.5100002288818</v>
      </c>
      <c r="M167" s="37">
        <v>100.39499664306599</v>
      </c>
      <c r="N167" s="37">
        <v>100.415000915527</v>
      </c>
      <c r="O167" s="37">
        <v>100.404998779297</v>
      </c>
      <c r="P167" s="37">
        <v>100.39499664306599</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x14ac:dyDescent="0.35">
      <c r="A168" s="1"/>
      <c r="B168" s="5"/>
      <c r="C168" s="25" t="s">
        <v>703</v>
      </c>
      <c r="D168" s="25" t="s">
        <v>780</v>
      </c>
      <c r="E168" s="25" t="s">
        <v>1017</v>
      </c>
      <c r="F168" s="25" t="s">
        <v>1018</v>
      </c>
      <c r="G168" s="50">
        <v>10148</v>
      </c>
      <c r="H168" s="50">
        <v>5</v>
      </c>
      <c r="I168" s="37">
        <v>12.430000305175801</v>
      </c>
      <c r="J168" s="37">
        <v>12.4700002670288</v>
      </c>
      <c r="K168" s="37">
        <v>12.4500002861023</v>
      </c>
      <c r="L168" s="37">
        <v>12.4700002670288</v>
      </c>
      <c r="M168" s="37">
        <v>101.46800231933599</v>
      </c>
      <c r="N168" s="37">
        <v>101.491996765137</v>
      </c>
      <c r="O168" s="37">
        <v>101.479999542236</v>
      </c>
      <c r="P168" s="37">
        <v>101.46800231933599</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x14ac:dyDescent="0.35">
      <c r="A169" s="1"/>
      <c r="B169" s="5"/>
      <c r="C169" s="25" t="s">
        <v>703</v>
      </c>
      <c r="D169" s="25" t="s">
        <v>780</v>
      </c>
      <c r="E169" s="25" t="s">
        <v>487</v>
      </c>
      <c r="F169" s="25" t="s">
        <v>1019</v>
      </c>
      <c r="G169" s="50">
        <v>507.12</v>
      </c>
      <c r="H169" s="50">
        <v>1</v>
      </c>
      <c r="I169" s="37">
        <v>11.9899997711182</v>
      </c>
      <c r="J169" s="37">
        <v>11.9899997711182</v>
      </c>
      <c r="K169" s="37">
        <v>11.9899997711182</v>
      </c>
      <c r="L169" s="37">
        <v>11.9899997711182</v>
      </c>
      <c r="M169" s="37">
        <v>101.42400360107401</v>
      </c>
      <c r="N169" s="37">
        <v>101.42400360107401</v>
      </c>
      <c r="O169" s="37">
        <v>101.42400360107401</v>
      </c>
      <c r="P169" s="37">
        <v>101.42400360107401</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x14ac:dyDescent="0.35">
      <c r="A170" s="1"/>
      <c r="B170" s="5"/>
      <c r="C170" s="25" t="s">
        <v>704</v>
      </c>
      <c r="D170" s="25" t="s">
        <v>780</v>
      </c>
      <c r="E170" s="25" t="s">
        <v>1020</v>
      </c>
      <c r="F170" s="25" t="s">
        <v>815</v>
      </c>
      <c r="G170" s="50">
        <v>130.98929999999999</v>
      </c>
      <c r="H170" s="50">
        <v>1</v>
      </c>
      <c r="I170" s="37">
        <v>12.079999923706101</v>
      </c>
      <c r="J170" s="37">
        <v>12.079999923706101</v>
      </c>
      <c r="K170" s="37">
        <v>12.079999923706101</v>
      </c>
      <c r="L170" s="37">
        <v>12.079999923706101</v>
      </c>
      <c r="M170" s="37">
        <v>100.76100158691401</v>
      </c>
      <c r="N170" s="37">
        <v>100.76100158691401</v>
      </c>
      <c r="O170" s="37">
        <v>100.76100158691401</v>
      </c>
      <c r="P170" s="37">
        <v>100.76100158691401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x14ac:dyDescent="0.35">
      <c r="A171" s="1"/>
      <c r="B171" s="5"/>
      <c r="C171" s="25" t="s">
        <v>704</v>
      </c>
      <c r="D171" s="25" t="s">
        <v>780</v>
      </c>
      <c r="E171" s="25" t="s">
        <v>1021</v>
      </c>
      <c r="F171" s="25" t="s">
        <v>1022</v>
      </c>
      <c r="G171" s="50">
        <v>492.38</v>
      </c>
      <c r="H171" s="50">
        <v>1</v>
      </c>
      <c r="I171" s="37">
        <v>12.605999946594199</v>
      </c>
      <c r="J171" s="37">
        <v>12.605999946594199</v>
      </c>
      <c r="K171" s="37">
        <v>12.605999946594199</v>
      </c>
      <c r="L171" s="37">
        <v>12.605999946594199</v>
      </c>
      <c r="M171" s="37">
        <v>98.475997924804702</v>
      </c>
      <c r="N171" s="37">
        <v>98.475997924804702</v>
      </c>
      <c r="O171" s="37">
        <v>98.475997924804702</v>
      </c>
      <c r="P171" s="37">
        <v>98.475997924804702</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x14ac:dyDescent="0.35">
      <c r="A172" s="1"/>
      <c r="B172" s="5"/>
      <c r="C172" s="25" t="s">
        <v>704</v>
      </c>
      <c r="D172" s="25" t="s">
        <v>780</v>
      </c>
      <c r="E172" s="25" t="s">
        <v>1023</v>
      </c>
      <c r="F172" s="25" t="s">
        <v>1024</v>
      </c>
      <c r="G172" s="50">
        <v>7854.04</v>
      </c>
      <c r="H172" s="50">
        <v>3</v>
      </c>
      <c r="I172" s="37">
        <v>12.670000076293899</v>
      </c>
      <c r="J172" s="37">
        <v>12.699999809265099</v>
      </c>
      <c r="K172" s="37">
        <v>12.6849999427795</v>
      </c>
      <c r="L172" s="37">
        <v>12.699999809265099</v>
      </c>
      <c r="M172" s="37">
        <v>98.161003112792997</v>
      </c>
      <c r="N172" s="37">
        <v>98.190002441406307</v>
      </c>
      <c r="O172" s="37">
        <v>98.175502777099595</v>
      </c>
      <c r="P172" s="37">
        <v>98.161003112792997</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x14ac:dyDescent="0.35">
      <c r="A173" s="1"/>
      <c r="B173" s="5"/>
      <c r="C173" s="25" t="s">
        <v>704</v>
      </c>
      <c r="D173" s="25" t="s">
        <v>780</v>
      </c>
      <c r="E173" s="25" t="s">
        <v>840</v>
      </c>
      <c r="F173" s="25" t="s">
        <v>841</v>
      </c>
      <c r="G173" s="50">
        <v>10310.1</v>
      </c>
      <c r="H173" s="50">
        <v>2</v>
      </c>
      <c r="I173" s="37">
        <v>12.710000038146999</v>
      </c>
      <c r="J173" s="37">
        <v>12.7600002288818</v>
      </c>
      <c r="K173" s="37">
        <v>12.735000133514401</v>
      </c>
      <c r="L173" s="37">
        <v>12.7600002288818</v>
      </c>
      <c r="M173" s="37">
        <v>103.067001342773</v>
      </c>
      <c r="N173" s="37">
        <v>103.13500213623</v>
      </c>
      <c r="O173" s="37">
        <v>103.101001739502</v>
      </c>
      <c r="P173" s="37">
        <v>103.067001342773</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x14ac:dyDescent="0.35">
      <c r="A174" s="1"/>
      <c r="B174" s="5"/>
      <c r="C174" s="25" t="s">
        <v>705</v>
      </c>
      <c r="D174" s="25" t="s">
        <v>780</v>
      </c>
      <c r="E174" s="25" t="s">
        <v>516</v>
      </c>
      <c r="F174" s="25" t="s">
        <v>692</v>
      </c>
      <c r="G174" s="50">
        <v>30005.1</v>
      </c>
      <c r="H174" s="50">
        <v>2</v>
      </c>
      <c r="I174" s="37">
        <v>12.8999996185303</v>
      </c>
      <c r="J174" s="37">
        <v>12.8999996185303</v>
      </c>
      <c r="K174" s="37">
        <v>12.8999996185303</v>
      </c>
      <c r="L174" s="37">
        <v>12.8999996185303</v>
      </c>
      <c r="M174" s="37">
        <v>100.01699829101599</v>
      </c>
      <c r="N174" s="37">
        <v>100.01699829101599</v>
      </c>
      <c r="O174" s="37">
        <v>100.01699829101599</v>
      </c>
      <c r="P174" s="37">
        <v>100.01699829101599</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x14ac:dyDescent="0.35">
      <c r="A175" s="1"/>
      <c r="B175" s="5"/>
      <c r="C175" s="25" t="s">
        <v>842</v>
      </c>
      <c r="D175" s="25" t="s">
        <v>780</v>
      </c>
      <c r="E175" s="25" t="s">
        <v>799</v>
      </c>
      <c r="F175" s="25" t="s">
        <v>843</v>
      </c>
      <c r="G175" s="50">
        <v>3028.86</v>
      </c>
      <c r="H175" s="50">
        <v>3</v>
      </c>
      <c r="I175" s="37">
        <v>11.300000190734901</v>
      </c>
      <c r="J175" s="37">
        <v>11.800000190734901</v>
      </c>
      <c r="K175" s="37">
        <v>11.6200002034505</v>
      </c>
      <c r="L175" s="37">
        <v>11.300000190734901</v>
      </c>
      <c r="M175" s="37">
        <v>100.93399810791</v>
      </c>
      <c r="N175" s="37">
        <v>101.012001037598</v>
      </c>
      <c r="O175" s="37">
        <v>100.962000528971</v>
      </c>
      <c r="P175" s="37">
        <v>101.012001037598</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x14ac:dyDescent="0.35">
      <c r="A176" s="1"/>
      <c r="B176" s="5"/>
      <c r="C176" s="25" t="s">
        <v>1025</v>
      </c>
      <c r="D176" s="25" t="s">
        <v>1026</v>
      </c>
      <c r="E176" s="25" t="s">
        <v>1027</v>
      </c>
      <c r="F176" s="25" t="s">
        <v>1028</v>
      </c>
      <c r="G176" s="50">
        <v>531.30999999999995</v>
      </c>
      <c r="H176" s="50">
        <v>2</v>
      </c>
      <c r="I176" s="37">
        <v>12.199999809265099</v>
      </c>
      <c r="J176" s="37">
        <v>12.199999809265099</v>
      </c>
      <c r="K176" s="37">
        <v>12.199999809265099</v>
      </c>
      <c r="L176" s="37">
        <v>12.199999809265099</v>
      </c>
      <c r="M176" s="37">
        <v>106.262001037598</v>
      </c>
      <c r="N176" s="37">
        <v>106.262001037598</v>
      </c>
      <c r="O176" s="37">
        <v>106.262001037598</v>
      </c>
      <c r="P176" s="37">
        <v>106.262001037598</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x14ac:dyDescent="0.35">
      <c r="A177" s="1"/>
      <c r="B177" s="5"/>
      <c r="C177" s="25" t="s">
        <v>1029</v>
      </c>
      <c r="D177" s="25" t="s">
        <v>780</v>
      </c>
      <c r="E177" s="25" t="s">
        <v>1030</v>
      </c>
      <c r="F177" s="25" t="s">
        <v>1031</v>
      </c>
      <c r="G177" s="50">
        <v>1005.53</v>
      </c>
      <c r="H177" s="50">
        <v>2</v>
      </c>
      <c r="I177" s="37">
        <v>12.550000190734901</v>
      </c>
      <c r="J177" s="37">
        <v>12.579999923706101</v>
      </c>
      <c r="K177" s="37">
        <v>12.5650000572205</v>
      </c>
      <c r="L177" s="37">
        <v>12.550000190734901</v>
      </c>
      <c r="M177" s="37">
        <v>100.542999267578</v>
      </c>
      <c r="N177" s="37">
        <v>100.56300354003901</v>
      </c>
      <c r="O177" s="37">
        <v>100.55300140380901</v>
      </c>
      <c r="P177" s="37">
        <v>100.56300354003901</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x14ac:dyDescent="0.35">
      <c r="A178" s="1"/>
      <c r="B178" s="5"/>
      <c r="C178" s="25" t="s">
        <v>1029</v>
      </c>
      <c r="D178" s="25" t="s">
        <v>780</v>
      </c>
      <c r="E178" s="25" t="s">
        <v>490</v>
      </c>
      <c r="F178" s="25" t="s">
        <v>1032</v>
      </c>
      <c r="G178" s="50">
        <v>3056.88</v>
      </c>
      <c r="H178" s="50">
        <v>1</v>
      </c>
      <c r="I178" s="37">
        <v>12.7299995422363</v>
      </c>
      <c r="J178" s="37">
        <v>12.7299995422363</v>
      </c>
      <c r="K178" s="37">
        <v>12.7299995422363</v>
      </c>
      <c r="L178" s="37">
        <v>12.7299995422363</v>
      </c>
      <c r="M178" s="37">
        <v>101.896003723145</v>
      </c>
      <c r="N178" s="37">
        <v>101.896003723145</v>
      </c>
      <c r="O178" s="37">
        <v>101.896003723145</v>
      </c>
      <c r="P178" s="37">
        <v>101.896003723145</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x14ac:dyDescent="0.35">
      <c r="A179" s="1"/>
      <c r="B179" s="5"/>
      <c r="C179" s="25" t="s">
        <v>710</v>
      </c>
      <c r="D179" s="25" t="s">
        <v>879</v>
      </c>
      <c r="E179" s="25" t="s">
        <v>516</v>
      </c>
      <c r="F179" s="25" t="s">
        <v>697</v>
      </c>
      <c r="G179" s="50">
        <v>192.83518000000001</v>
      </c>
      <c r="H179" s="50">
        <v>4</v>
      </c>
      <c r="I179" s="37">
        <v>11.800000190734901</v>
      </c>
      <c r="J179" s="37">
        <v>12.300000190734901</v>
      </c>
      <c r="K179" s="37">
        <v>12.1691101383788</v>
      </c>
      <c r="L179" s="37">
        <v>12.300000190734901</v>
      </c>
      <c r="M179" s="37">
        <v>100.84799957275401</v>
      </c>
      <c r="N179" s="37">
        <v>101.278999328613</v>
      </c>
      <c r="O179" s="37">
        <v>100.960826733974</v>
      </c>
      <c r="P179" s="37">
        <v>100.84799957275401</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x14ac:dyDescent="0.35">
      <c r="A180" s="1"/>
      <c r="B180" s="5"/>
      <c r="C180" s="25" t="s">
        <v>1033</v>
      </c>
      <c r="D180" s="25" t="s">
        <v>780</v>
      </c>
      <c r="E180" s="25" t="s">
        <v>1034</v>
      </c>
      <c r="F180" s="25" t="s">
        <v>1035</v>
      </c>
      <c r="G180" s="50">
        <v>6044.88</v>
      </c>
      <c r="H180" s="50">
        <v>1</v>
      </c>
      <c r="I180" s="37">
        <v>12.1400003433228</v>
      </c>
      <c r="J180" s="37">
        <v>12.1400003433228</v>
      </c>
      <c r="K180" s="37">
        <v>12.1400003433228</v>
      </c>
      <c r="L180" s="37">
        <v>12.1400003433228</v>
      </c>
      <c r="M180" s="37">
        <v>100.748001098633</v>
      </c>
      <c r="N180" s="37">
        <v>100.748001098633</v>
      </c>
      <c r="O180" s="37">
        <v>100.748001098633</v>
      </c>
      <c r="P180" s="37">
        <v>100.748001098633</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x14ac:dyDescent="0.35">
      <c r="A181" s="1"/>
      <c r="B181" s="5"/>
      <c r="C181" s="25" t="s">
        <v>1033</v>
      </c>
      <c r="D181" s="25" t="s">
        <v>780</v>
      </c>
      <c r="E181" s="25" t="s">
        <v>1036</v>
      </c>
      <c r="F181" s="25" t="s">
        <v>1037</v>
      </c>
      <c r="G181" s="50">
        <v>10085.5</v>
      </c>
      <c r="H181" s="50">
        <v>1</v>
      </c>
      <c r="I181" s="37">
        <v>12.1400003433228</v>
      </c>
      <c r="J181" s="37">
        <v>12.1400003433228</v>
      </c>
      <c r="K181" s="37">
        <v>12.1400003433228</v>
      </c>
      <c r="L181" s="37">
        <v>12.1400003433228</v>
      </c>
      <c r="M181" s="37">
        <v>100.85500335693401</v>
      </c>
      <c r="N181" s="37">
        <v>100.85500335693401</v>
      </c>
      <c r="O181" s="37">
        <v>100.85500335693401</v>
      </c>
      <c r="P181" s="37">
        <v>100.85500335693401</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x14ac:dyDescent="0.35">
      <c r="A182" s="1"/>
      <c r="B182" s="5"/>
      <c r="C182" s="25" t="s">
        <v>1033</v>
      </c>
      <c r="D182" s="25" t="s">
        <v>780</v>
      </c>
      <c r="E182" s="25" t="s">
        <v>1038</v>
      </c>
      <c r="F182" s="25" t="s">
        <v>1039</v>
      </c>
      <c r="G182" s="50">
        <v>20567.855</v>
      </c>
      <c r="H182" s="50">
        <v>3</v>
      </c>
      <c r="I182" s="37">
        <v>12.1400003433228</v>
      </c>
      <c r="J182" s="37">
        <v>12.1400003433228</v>
      </c>
      <c r="K182" s="37">
        <v>12.1400003433228</v>
      </c>
      <c r="L182" s="37">
        <v>12.1400003433228</v>
      </c>
      <c r="M182" s="37">
        <v>100.331001281738</v>
      </c>
      <c r="N182" s="37">
        <v>100.331001281738</v>
      </c>
      <c r="O182" s="37">
        <v>100.331001281738</v>
      </c>
      <c r="P182" s="37">
        <v>100.331001281738</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x14ac:dyDescent="0.35">
      <c r="A183" s="1"/>
      <c r="B183" s="5"/>
      <c r="C183" s="25" t="s">
        <v>1033</v>
      </c>
      <c r="D183" s="25" t="s">
        <v>780</v>
      </c>
      <c r="E183" s="25" t="s">
        <v>1040</v>
      </c>
      <c r="F183" s="25" t="s">
        <v>1041</v>
      </c>
      <c r="G183" s="50">
        <v>501.51</v>
      </c>
      <c r="H183" s="50">
        <v>1</v>
      </c>
      <c r="I183" s="37">
        <v>12.1400003433228</v>
      </c>
      <c r="J183" s="37">
        <v>12.1400003433228</v>
      </c>
      <c r="K183" s="37">
        <v>12.1400003433228</v>
      </c>
      <c r="L183" s="37">
        <v>12.1400003433228</v>
      </c>
      <c r="M183" s="37">
        <v>100.302001953125</v>
      </c>
      <c r="N183" s="37">
        <v>100.302001953125</v>
      </c>
      <c r="O183" s="37">
        <v>100.302001953125</v>
      </c>
      <c r="P183" s="37">
        <v>100.302001953125</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x14ac:dyDescent="0.35">
      <c r="A184" s="1"/>
      <c r="B184" s="5"/>
      <c r="C184" s="25" t="s">
        <v>844</v>
      </c>
      <c r="D184" s="25" t="s">
        <v>780</v>
      </c>
      <c r="E184" s="25" t="s">
        <v>1042</v>
      </c>
      <c r="F184" s="25" t="s">
        <v>987</v>
      </c>
      <c r="G184" s="50">
        <v>13216.45</v>
      </c>
      <c r="H184" s="50">
        <v>2</v>
      </c>
      <c r="I184" s="37">
        <v>12</v>
      </c>
      <c r="J184" s="37">
        <v>12</v>
      </c>
      <c r="K184" s="37">
        <v>12</v>
      </c>
      <c r="L184" s="37">
        <v>12</v>
      </c>
      <c r="M184" s="37">
        <v>101.665000915527</v>
      </c>
      <c r="N184" s="37">
        <v>101.665000915527</v>
      </c>
      <c r="O184" s="37">
        <v>101.665000915527</v>
      </c>
      <c r="P184" s="37">
        <v>101.665000915527</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x14ac:dyDescent="0.35">
      <c r="A185" s="1"/>
      <c r="B185" s="5"/>
      <c r="C185" s="25" t="s">
        <v>844</v>
      </c>
      <c r="D185" s="25" t="s">
        <v>780</v>
      </c>
      <c r="E185" s="25" t="s">
        <v>1043</v>
      </c>
      <c r="F185" s="25" t="s">
        <v>1044</v>
      </c>
      <c r="G185" s="50">
        <v>8123.12</v>
      </c>
      <c r="H185" s="50">
        <v>2</v>
      </c>
      <c r="I185" s="37">
        <v>12</v>
      </c>
      <c r="J185" s="37">
        <v>12</v>
      </c>
      <c r="K185" s="37">
        <v>12</v>
      </c>
      <c r="L185" s="37">
        <v>12</v>
      </c>
      <c r="M185" s="37">
        <v>101.53900146484401</v>
      </c>
      <c r="N185" s="37">
        <v>101.53900146484401</v>
      </c>
      <c r="O185" s="37">
        <v>101.53900146484401</v>
      </c>
      <c r="P185" s="37">
        <v>101.53900146484401</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x14ac:dyDescent="0.35">
      <c r="A186" s="1"/>
      <c r="B186" s="5"/>
      <c r="C186" s="25" t="s">
        <v>844</v>
      </c>
      <c r="D186" s="25" t="s">
        <v>780</v>
      </c>
      <c r="E186" s="25" t="s">
        <v>1045</v>
      </c>
      <c r="F186" s="25" t="s">
        <v>1046</v>
      </c>
      <c r="G186" s="50">
        <v>3045.21</v>
      </c>
      <c r="H186" s="50">
        <v>1</v>
      </c>
      <c r="I186" s="37">
        <v>12</v>
      </c>
      <c r="J186" s="37">
        <v>12</v>
      </c>
      <c r="K186" s="37">
        <v>12</v>
      </c>
      <c r="L186" s="37">
        <v>12</v>
      </c>
      <c r="M186" s="37">
        <v>101.50700378418</v>
      </c>
      <c r="N186" s="37">
        <v>101.50700378418</v>
      </c>
      <c r="O186" s="37">
        <v>101.50700378418</v>
      </c>
      <c r="P186" s="37">
        <v>101.50700378418</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x14ac:dyDescent="0.35">
      <c r="A187" s="1"/>
      <c r="B187" s="5"/>
      <c r="C187" s="25" t="s">
        <v>844</v>
      </c>
      <c r="D187" s="25" t="s">
        <v>780</v>
      </c>
      <c r="E187" s="25" t="s">
        <v>1047</v>
      </c>
      <c r="F187" s="25" t="s">
        <v>1048</v>
      </c>
      <c r="G187" s="50">
        <v>5103.95</v>
      </c>
      <c r="H187" s="50">
        <v>1</v>
      </c>
      <c r="I187" s="37">
        <v>12</v>
      </c>
      <c r="J187" s="37">
        <v>12</v>
      </c>
      <c r="K187" s="37">
        <v>12</v>
      </c>
      <c r="L187" s="37">
        <v>12</v>
      </c>
      <c r="M187" s="37">
        <v>102.07900238037099</v>
      </c>
      <c r="N187" s="37">
        <v>102.07900238037099</v>
      </c>
      <c r="O187" s="37">
        <v>102.07900238037099</v>
      </c>
      <c r="P187" s="37">
        <v>102.07900238037099</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x14ac:dyDescent="0.35">
      <c r="A188" s="1"/>
      <c r="B188" s="5"/>
      <c r="C188" s="25" t="s">
        <v>712</v>
      </c>
      <c r="D188" s="25" t="s">
        <v>780</v>
      </c>
      <c r="E188" s="25" t="s">
        <v>848</v>
      </c>
      <c r="F188" s="25" t="s">
        <v>849</v>
      </c>
      <c r="G188" s="50">
        <v>5227.8500000000004</v>
      </c>
      <c r="H188" s="50">
        <v>2</v>
      </c>
      <c r="I188" s="37">
        <v>12.670000076293899</v>
      </c>
      <c r="J188" s="37">
        <v>12.699999809265099</v>
      </c>
      <c r="K188" s="37">
        <v>12.6879999160767</v>
      </c>
      <c r="L188" s="37">
        <v>12.699999809265099</v>
      </c>
      <c r="M188" s="37">
        <v>104.544998168945</v>
      </c>
      <c r="N188" s="37">
        <v>104.574996948242</v>
      </c>
      <c r="O188" s="37">
        <v>104.556997680664</v>
      </c>
      <c r="P188" s="37">
        <v>104.544998168945</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x14ac:dyDescent="0.35">
      <c r="A189" s="1"/>
      <c r="B189" s="5"/>
      <c r="C189" s="25" t="s">
        <v>712</v>
      </c>
      <c r="D189" s="25" t="s">
        <v>780</v>
      </c>
      <c r="E189" s="25" t="s">
        <v>1049</v>
      </c>
      <c r="F189" s="25" t="s">
        <v>1050</v>
      </c>
      <c r="G189" s="50">
        <v>1540.4</v>
      </c>
      <c r="H189" s="50">
        <v>2</v>
      </c>
      <c r="I189" s="37">
        <v>12.1000003814697</v>
      </c>
      <c r="J189" s="37">
        <v>12.199999809265099</v>
      </c>
      <c r="K189" s="37">
        <v>12.1666666666667</v>
      </c>
      <c r="L189" s="37">
        <v>12.1000003814697</v>
      </c>
      <c r="M189" s="37">
        <v>102.596000671387</v>
      </c>
      <c r="N189" s="37">
        <v>102.88800048828099</v>
      </c>
      <c r="O189" s="37">
        <v>102.693333943685</v>
      </c>
      <c r="P189" s="37">
        <v>102.88800048828099</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x14ac:dyDescent="0.35">
      <c r="A190" s="1"/>
      <c r="B190" s="5"/>
      <c r="C190" s="25" t="s">
        <v>712</v>
      </c>
      <c r="D190" s="25" t="s">
        <v>780</v>
      </c>
      <c r="E190" s="25" t="s">
        <v>1051</v>
      </c>
      <c r="F190" s="25" t="s">
        <v>954</v>
      </c>
      <c r="G190" s="50">
        <v>2014.74</v>
      </c>
      <c r="H190" s="50">
        <v>1</v>
      </c>
      <c r="I190" s="37">
        <v>12</v>
      </c>
      <c r="J190" s="37">
        <v>12</v>
      </c>
      <c r="K190" s="37">
        <v>12</v>
      </c>
      <c r="L190" s="37">
        <v>12</v>
      </c>
      <c r="M190" s="37">
        <v>100.73699951171901</v>
      </c>
      <c r="N190" s="37">
        <v>100.73699951171901</v>
      </c>
      <c r="O190" s="37">
        <v>100.73699951171901</v>
      </c>
      <c r="P190" s="37">
        <v>100.73699951171901</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x14ac:dyDescent="0.35">
      <c r="A191" s="1"/>
      <c r="B191" s="5"/>
      <c r="C191" s="25" t="s">
        <v>712</v>
      </c>
      <c r="D191" s="25" t="s">
        <v>780</v>
      </c>
      <c r="E191" s="25" t="s">
        <v>1052</v>
      </c>
      <c r="F191" s="25" t="s">
        <v>1053</v>
      </c>
      <c r="G191" s="50">
        <v>1510.59</v>
      </c>
      <c r="H191" s="50">
        <v>1</v>
      </c>
      <c r="I191" s="37">
        <v>12</v>
      </c>
      <c r="J191" s="37">
        <v>12</v>
      </c>
      <c r="K191" s="37">
        <v>12</v>
      </c>
      <c r="L191" s="37">
        <v>12</v>
      </c>
      <c r="M191" s="37">
        <v>100.706001281738</v>
      </c>
      <c r="N191" s="37">
        <v>100.706001281738</v>
      </c>
      <c r="O191" s="37">
        <v>100.706001281738</v>
      </c>
      <c r="P191" s="37">
        <v>100.706001281738</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x14ac:dyDescent="0.35">
      <c r="A192" s="1"/>
      <c r="B192" s="5"/>
      <c r="C192" s="25" t="s">
        <v>712</v>
      </c>
      <c r="D192" s="25" t="s">
        <v>780</v>
      </c>
      <c r="E192" s="25" t="s">
        <v>1054</v>
      </c>
      <c r="F192" s="25" t="s">
        <v>961</v>
      </c>
      <c r="G192" s="50">
        <v>5010.6000000000004</v>
      </c>
      <c r="H192" s="50">
        <v>1</v>
      </c>
      <c r="I192" s="37">
        <v>12</v>
      </c>
      <c r="J192" s="37">
        <v>12</v>
      </c>
      <c r="K192" s="37">
        <v>12</v>
      </c>
      <c r="L192" s="37">
        <v>12</v>
      </c>
      <c r="M192" s="37">
        <v>100.21199798584</v>
      </c>
      <c r="N192" s="37">
        <v>100.21199798584</v>
      </c>
      <c r="O192" s="37">
        <v>100.21199798584</v>
      </c>
      <c r="P192" s="37">
        <v>100.21199798584</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x14ac:dyDescent="0.35">
      <c r="A193" s="1"/>
      <c r="B193" s="5"/>
      <c r="C193" s="25" t="s">
        <v>712</v>
      </c>
      <c r="D193" s="25" t="s">
        <v>780</v>
      </c>
      <c r="E193" s="25" t="s">
        <v>1055</v>
      </c>
      <c r="F193" s="25" t="s">
        <v>1056</v>
      </c>
      <c r="G193" s="50">
        <v>159.53989999999999</v>
      </c>
      <c r="H193" s="50">
        <v>2</v>
      </c>
      <c r="I193" s="37">
        <v>12.7399997711182</v>
      </c>
      <c r="J193" s="37">
        <v>12.7399997711182</v>
      </c>
      <c r="K193" s="37">
        <v>12.7399997711182</v>
      </c>
      <c r="L193" s="37">
        <v>12.7399997711182</v>
      </c>
      <c r="M193" s="37">
        <v>93.847000122070298</v>
      </c>
      <c r="N193" s="37">
        <v>93.847000122070298</v>
      </c>
      <c r="O193" s="37">
        <v>93.847000122070298</v>
      </c>
      <c r="P193" s="37">
        <v>93.847000122070298</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x14ac:dyDescent="0.35">
      <c r="A194" s="1"/>
      <c r="B194" s="5"/>
      <c r="C194" s="25" t="s">
        <v>712</v>
      </c>
      <c r="D194" s="25" t="s">
        <v>780</v>
      </c>
      <c r="E194" s="25" t="s">
        <v>1040</v>
      </c>
      <c r="F194" s="25" t="s">
        <v>1041</v>
      </c>
      <c r="G194" s="50">
        <v>1016.74</v>
      </c>
      <c r="H194" s="50">
        <v>1</v>
      </c>
      <c r="I194" s="37">
        <v>12</v>
      </c>
      <c r="J194" s="37">
        <v>12</v>
      </c>
      <c r="K194" s="37">
        <v>12</v>
      </c>
      <c r="L194" s="37">
        <v>12</v>
      </c>
      <c r="M194" s="37">
        <v>101.67400360107401</v>
      </c>
      <c r="N194" s="37">
        <v>101.67400360107401</v>
      </c>
      <c r="O194" s="37">
        <v>101.67400360107401</v>
      </c>
      <c r="P194" s="37">
        <v>101.67400360107401</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x14ac:dyDescent="0.35">
      <c r="A195" s="1"/>
      <c r="B195" s="5"/>
      <c r="C195" s="25" t="s">
        <v>712</v>
      </c>
      <c r="D195" s="25" t="s">
        <v>780</v>
      </c>
      <c r="E195" s="25" t="s">
        <v>1057</v>
      </c>
      <c r="F195" s="25" t="s">
        <v>919</v>
      </c>
      <c r="G195" s="50">
        <v>489.3</v>
      </c>
      <c r="H195" s="50">
        <v>1</v>
      </c>
      <c r="I195" s="37">
        <v>13</v>
      </c>
      <c r="J195" s="37">
        <v>13</v>
      </c>
      <c r="K195" s="37">
        <v>13</v>
      </c>
      <c r="L195" s="37">
        <v>13</v>
      </c>
      <c r="M195" s="37">
        <v>97.860000610351605</v>
      </c>
      <c r="N195" s="37">
        <v>97.860000610351605</v>
      </c>
      <c r="O195" s="37">
        <v>97.860000610351605</v>
      </c>
      <c r="P195" s="37">
        <v>97.860000610351605</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x14ac:dyDescent="0.35">
      <c r="A196" s="1"/>
      <c r="B196" s="5"/>
      <c r="C196" s="25" t="s">
        <v>712</v>
      </c>
      <c r="D196" s="25" t="s">
        <v>780</v>
      </c>
      <c r="E196" s="25" t="s">
        <v>496</v>
      </c>
      <c r="F196" s="25" t="s">
        <v>1058</v>
      </c>
      <c r="G196" s="50">
        <v>1527.87</v>
      </c>
      <c r="H196" s="50">
        <v>1</v>
      </c>
      <c r="I196" s="37">
        <v>12.616000175476101</v>
      </c>
      <c r="J196" s="37">
        <v>12.616000175476101</v>
      </c>
      <c r="K196" s="37">
        <v>12.616000175476101</v>
      </c>
      <c r="L196" s="37">
        <v>12.616000175476101</v>
      </c>
      <c r="M196" s="37">
        <v>101.85800170898401</v>
      </c>
      <c r="N196" s="37">
        <v>101.85800170898401</v>
      </c>
      <c r="O196" s="37">
        <v>101.85800170898401</v>
      </c>
      <c r="P196" s="37">
        <v>101.85800170898401</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x14ac:dyDescent="0.35">
      <c r="A197" s="1"/>
      <c r="B197" s="5"/>
      <c r="C197" s="25" t="s">
        <v>712</v>
      </c>
      <c r="D197" s="25" t="s">
        <v>780</v>
      </c>
      <c r="E197" s="25" t="s">
        <v>507</v>
      </c>
      <c r="F197" s="25" t="s">
        <v>1059</v>
      </c>
      <c r="G197" s="50">
        <v>503.59500000000003</v>
      </c>
      <c r="H197" s="50">
        <v>1</v>
      </c>
      <c r="I197" s="37">
        <v>12.5</v>
      </c>
      <c r="J197" s="37">
        <v>12.5</v>
      </c>
      <c r="K197" s="37">
        <v>12.5</v>
      </c>
      <c r="L197" s="37">
        <v>12.5</v>
      </c>
      <c r="M197" s="37">
        <v>100.71900177002</v>
      </c>
      <c r="N197" s="37">
        <v>100.71900177002</v>
      </c>
      <c r="O197" s="37">
        <v>100.71900177002</v>
      </c>
      <c r="P197" s="37">
        <v>100.71900177002</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x14ac:dyDescent="0.35">
      <c r="A198" s="1"/>
      <c r="B198" s="5"/>
      <c r="C198" s="25" t="s">
        <v>712</v>
      </c>
      <c r="D198" s="25" t="s">
        <v>780</v>
      </c>
      <c r="E198" s="25" t="s">
        <v>511</v>
      </c>
      <c r="F198" s="25" t="s">
        <v>857</v>
      </c>
      <c r="G198" s="50">
        <v>5025.5600800000002</v>
      </c>
      <c r="H198" s="50">
        <v>4</v>
      </c>
      <c r="I198" s="37">
        <v>12.3500003814697</v>
      </c>
      <c r="J198" s="37">
        <v>12.699999809265099</v>
      </c>
      <c r="K198" s="37">
        <v>12.5816804992083</v>
      </c>
      <c r="L198" s="37">
        <v>12.3500003814697</v>
      </c>
      <c r="M198" s="37">
        <v>100.43800354003901</v>
      </c>
      <c r="N198" s="37">
        <v>101.138999938965</v>
      </c>
      <c r="O198" s="37">
        <v>100.672279662047</v>
      </c>
      <c r="P198" s="37">
        <v>101.138999938965</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x14ac:dyDescent="0.35">
      <c r="A199" s="1"/>
      <c r="B199" s="5"/>
      <c r="C199" s="25" t="s">
        <v>712</v>
      </c>
      <c r="D199" s="25" t="s">
        <v>780</v>
      </c>
      <c r="E199" s="25" t="s">
        <v>515</v>
      </c>
      <c r="F199" s="25" t="s">
        <v>1060</v>
      </c>
      <c r="G199" s="50">
        <v>1551.3330000000001</v>
      </c>
      <c r="H199" s="50">
        <v>1</v>
      </c>
      <c r="I199" s="37">
        <v>12.199999809265099</v>
      </c>
      <c r="J199" s="37">
        <v>12.199999809265099</v>
      </c>
      <c r="K199" s="37">
        <v>12.199999809265099</v>
      </c>
      <c r="L199" s="37">
        <v>12.199999809265099</v>
      </c>
      <c r="M199" s="37">
        <v>100.08599853515599</v>
      </c>
      <c r="N199" s="37">
        <v>100.08599853515599</v>
      </c>
      <c r="O199" s="37">
        <v>100.08599853515599</v>
      </c>
      <c r="P199" s="37">
        <v>100.08599853515599</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x14ac:dyDescent="0.35">
      <c r="A200" s="1"/>
      <c r="B200" s="5"/>
      <c r="C200" s="25" t="s">
        <v>712</v>
      </c>
      <c r="D200" s="25" t="s">
        <v>780</v>
      </c>
      <c r="E200" s="25" t="s">
        <v>516</v>
      </c>
      <c r="F200" s="25" t="s">
        <v>713</v>
      </c>
      <c r="G200" s="50">
        <v>9486.4644000000008</v>
      </c>
      <c r="H200" s="50">
        <v>12</v>
      </c>
      <c r="I200" s="37">
        <v>11.3999996185303</v>
      </c>
      <c r="J200" s="37">
        <v>11.796999931335399</v>
      </c>
      <c r="K200" s="37">
        <v>11.5284885245452</v>
      </c>
      <c r="L200" s="37">
        <v>11.796999931335399</v>
      </c>
      <c r="M200" s="37">
        <v>100</v>
      </c>
      <c r="N200" s="37">
        <v>100.179000854492</v>
      </c>
      <c r="O200" s="37">
        <v>100.12099647220001</v>
      </c>
      <c r="P200" s="37">
        <v>100</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x14ac:dyDescent="0.35">
      <c r="A201" s="1"/>
      <c r="B201" s="5"/>
      <c r="C201" s="25" t="s">
        <v>712</v>
      </c>
      <c r="D201" s="25" t="s">
        <v>780</v>
      </c>
      <c r="E201" s="25" t="s">
        <v>516</v>
      </c>
      <c r="F201" s="25" t="s">
        <v>714</v>
      </c>
      <c r="G201" s="50">
        <v>501.51</v>
      </c>
      <c r="H201" s="50">
        <v>1</v>
      </c>
      <c r="I201" s="37">
        <v>12.1000003814697</v>
      </c>
      <c r="J201" s="37">
        <v>12.1000003814697</v>
      </c>
      <c r="K201" s="37">
        <v>12.1000003814697</v>
      </c>
      <c r="L201" s="37">
        <v>12.1000003814697</v>
      </c>
      <c r="M201" s="37">
        <v>100.302001953125</v>
      </c>
      <c r="N201" s="37">
        <v>100.302001953125</v>
      </c>
      <c r="O201" s="37">
        <v>100.302001953125</v>
      </c>
      <c r="P201" s="37">
        <v>100.302001953125</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x14ac:dyDescent="0.35">
      <c r="A202" s="1"/>
      <c r="B202" s="5"/>
      <c r="C202" s="25" t="s">
        <v>712</v>
      </c>
      <c r="D202" s="25" t="s">
        <v>780</v>
      </c>
      <c r="E202" s="25" t="s">
        <v>516</v>
      </c>
      <c r="F202" s="25" t="s">
        <v>697</v>
      </c>
      <c r="G202" s="50">
        <v>5707.3768099999998</v>
      </c>
      <c r="H202" s="50">
        <v>18</v>
      </c>
      <c r="I202" s="37">
        <v>12</v>
      </c>
      <c r="J202" s="37">
        <v>12.5480003356934</v>
      </c>
      <c r="K202" s="37">
        <v>12.439323221579301</v>
      </c>
      <c r="L202" s="37">
        <v>0</v>
      </c>
      <c r="M202" s="37">
        <v>100</v>
      </c>
      <c r="N202" s="37">
        <v>100.46800231933599</v>
      </c>
      <c r="O202" s="37">
        <v>100.09429650790101</v>
      </c>
      <c r="P202" s="37">
        <v>100</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x14ac:dyDescent="0.35">
      <c r="A203" s="1"/>
      <c r="B203" s="5"/>
      <c r="C203" s="25" t="s">
        <v>712</v>
      </c>
      <c r="D203" s="25" t="s">
        <v>780</v>
      </c>
      <c r="E203" s="25" t="s">
        <v>516</v>
      </c>
      <c r="F203" s="25" t="s">
        <v>693</v>
      </c>
      <c r="G203" s="50">
        <v>1764.9905000000001</v>
      </c>
      <c r="H203" s="50">
        <v>5</v>
      </c>
      <c r="I203" s="37">
        <v>12.25</v>
      </c>
      <c r="J203" s="37">
        <v>12.6199998855591</v>
      </c>
      <c r="K203" s="37">
        <v>12.471988602118101</v>
      </c>
      <c r="L203" s="37">
        <v>0</v>
      </c>
      <c r="M203" s="37">
        <v>100.044998168945</v>
      </c>
      <c r="N203" s="37">
        <v>100.64199829101599</v>
      </c>
      <c r="O203" s="37">
        <v>100.28355091268401</v>
      </c>
      <c r="P203" s="37">
        <v>100</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x14ac:dyDescent="0.35">
      <c r="A204" s="1"/>
      <c r="B204" s="5"/>
      <c r="C204" s="25" t="s">
        <v>1061</v>
      </c>
      <c r="D204" s="25" t="s">
        <v>859</v>
      </c>
      <c r="E204" s="25" t="s">
        <v>501</v>
      </c>
      <c r="F204" s="25" t="s">
        <v>1062</v>
      </c>
      <c r="G204" s="50">
        <v>8088.2</v>
      </c>
      <c r="H204" s="50">
        <v>2</v>
      </c>
      <c r="I204" s="37">
        <v>13</v>
      </c>
      <c r="J204" s="37">
        <v>13.0200004577637</v>
      </c>
      <c r="K204" s="37">
        <v>13.0100002288818</v>
      </c>
      <c r="L204" s="37">
        <v>13.0200004577637</v>
      </c>
      <c r="M204" s="37">
        <v>101.08699798584</v>
      </c>
      <c r="N204" s="37">
        <v>101.11799621582</v>
      </c>
      <c r="O204" s="37">
        <v>101.10249710083001</v>
      </c>
      <c r="P204" s="37">
        <v>101.08699798584</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x14ac:dyDescent="0.35">
      <c r="A205" s="1"/>
      <c r="B205" s="5"/>
      <c r="C205" s="25" t="s">
        <v>1061</v>
      </c>
      <c r="D205" s="25" t="s">
        <v>859</v>
      </c>
      <c r="E205" s="25" t="s">
        <v>511</v>
      </c>
      <c r="F205" s="25" t="s">
        <v>857</v>
      </c>
      <c r="G205" s="50">
        <v>38219.07</v>
      </c>
      <c r="H205" s="50">
        <v>2</v>
      </c>
      <c r="I205" s="37">
        <v>13.0050001144409</v>
      </c>
      <c r="J205" s="37">
        <v>13.0200004577637</v>
      </c>
      <c r="K205" s="37">
        <v>13.0125002861023</v>
      </c>
      <c r="L205" s="37">
        <v>13.0050001144409</v>
      </c>
      <c r="M205" s="37">
        <v>100.56500244140599</v>
      </c>
      <c r="N205" s="37">
        <v>100.587997436523</v>
      </c>
      <c r="O205" s="37">
        <v>100.576499938965</v>
      </c>
      <c r="P205" s="37">
        <v>100.587997436523</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x14ac:dyDescent="0.35">
      <c r="A206" s="1"/>
      <c r="B206" s="5"/>
      <c r="C206" s="25" t="s">
        <v>858</v>
      </c>
      <c r="D206" s="25" t="s">
        <v>859</v>
      </c>
      <c r="E206" s="25" t="s">
        <v>860</v>
      </c>
      <c r="F206" s="25" t="s">
        <v>861</v>
      </c>
      <c r="G206" s="50">
        <v>197.77500000000001</v>
      </c>
      <c r="H206" s="50">
        <v>2</v>
      </c>
      <c r="I206" s="37">
        <v>12.3999996185303</v>
      </c>
      <c r="J206" s="37">
        <v>13</v>
      </c>
      <c r="K206" s="37">
        <v>12.699999809265099</v>
      </c>
      <c r="L206" s="37">
        <v>12.3999996185303</v>
      </c>
      <c r="M206" s="37">
        <v>98.271003723144503</v>
      </c>
      <c r="N206" s="37">
        <v>99.503997802734403</v>
      </c>
      <c r="O206" s="37">
        <v>98.887500762939496</v>
      </c>
      <c r="P206" s="37">
        <v>99.503997802734403</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x14ac:dyDescent="0.35">
      <c r="A207" s="1"/>
      <c r="B207" s="5"/>
      <c r="C207" s="25" t="s">
        <v>858</v>
      </c>
      <c r="D207" s="25" t="s">
        <v>859</v>
      </c>
      <c r="E207" s="25" t="s">
        <v>1063</v>
      </c>
      <c r="F207" s="25" t="s">
        <v>1064</v>
      </c>
      <c r="G207" s="50">
        <v>10181.594999999999</v>
      </c>
      <c r="H207" s="50">
        <v>7</v>
      </c>
      <c r="I207" s="37">
        <v>12.3800001144409</v>
      </c>
      <c r="J207" s="37">
        <v>12.449999809265099</v>
      </c>
      <c r="K207" s="37">
        <v>12.4054999351501</v>
      </c>
      <c r="L207" s="37">
        <v>12.449999809265099</v>
      </c>
      <c r="M207" s="37">
        <v>101.76699829101599</v>
      </c>
      <c r="N207" s="37">
        <v>101.84400177002</v>
      </c>
      <c r="O207" s="37">
        <v>101.815948867798</v>
      </c>
      <c r="P207" s="37">
        <v>101.76699829101599</v>
      </c>
      <c r="Q207" s="50">
        <v>0</v>
      </c>
      <c r="R207" s="25"/>
      <c r="S207" s="25"/>
      <c r="T207" s="25"/>
      <c r="U207" s="25"/>
      <c r="V207" s="25"/>
      <c r="W207" s="25"/>
      <c r="X207" s="25"/>
      <c r="Y207" s="25"/>
      <c r="Z207" s="25"/>
      <c r="AA207" s="94">
        <v>0</v>
      </c>
      <c r="AB207" s="76"/>
      <c r="AC207" s="25"/>
      <c r="AD207" s="25"/>
      <c r="AE207" s="25"/>
      <c r="AF207" s="25"/>
      <c r="AG207" s="25"/>
      <c r="AH207" s="25"/>
      <c r="AI207" s="25"/>
      <c r="AJ207" s="25"/>
      <c r="AK207" s="25"/>
    </row>
    <row r="208" spans="1:37" x14ac:dyDescent="0.35">
      <c r="A208" s="1"/>
      <c r="B208" s="5"/>
      <c r="C208" s="25" t="s">
        <v>858</v>
      </c>
      <c r="D208" s="25" t="s">
        <v>859</v>
      </c>
      <c r="E208" s="25" t="s">
        <v>1065</v>
      </c>
      <c r="F208" s="25" t="s">
        <v>1066</v>
      </c>
      <c r="G208" s="50">
        <v>525.245</v>
      </c>
      <c r="H208" s="50">
        <v>1</v>
      </c>
      <c r="I208" s="37">
        <v>12.1269998550415</v>
      </c>
      <c r="J208" s="37">
        <v>12.1269998550415</v>
      </c>
      <c r="K208" s="37">
        <v>12.1269998550415</v>
      </c>
      <c r="L208" s="37">
        <v>12.1269998550415</v>
      </c>
      <c r="M208" s="37">
        <v>105.04900360107401</v>
      </c>
      <c r="N208" s="37">
        <v>105.04900360107401</v>
      </c>
      <c r="O208" s="37">
        <v>105.04900360107401</v>
      </c>
      <c r="P208" s="37">
        <v>105.04900360107401</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x14ac:dyDescent="0.35">
      <c r="A209" s="1"/>
      <c r="B209" s="5"/>
      <c r="C209" s="25" t="s">
        <v>858</v>
      </c>
      <c r="D209" s="25" t="s">
        <v>859</v>
      </c>
      <c r="E209" s="25" t="s">
        <v>495</v>
      </c>
      <c r="F209" s="25" t="s">
        <v>867</v>
      </c>
      <c r="G209" s="50">
        <v>43718.07</v>
      </c>
      <c r="H209" s="50">
        <v>3</v>
      </c>
      <c r="I209" s="37">
        <v>12.4130001068115</v>
      </c>
      <c r="J209" s="37">
        <v>12.4980001449585</v>
      </c>
      <c r="K209" s="37">
        <v>12.4788373902787</v>
      </c>
      <c r="L209" s="37">
        <v>12.4980001449585</v>
      </c>
      <c r="M209" s="37">
        <v>101.639999389648</v>
      </c>
      <c r="N209" s="37">
        <v>101.772003173828</v>
      </c>
      <c r="O209" s="37">
        <v>101.669928794683</v>
      </c>
      <c r="P209" s="37">
        <v>101.639999389648</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x14ac:dyDescent="0.35">
      <c r="A210" s="1"/>
      <c r="B210" s="5"/>
      <c r="C210" s="25" t="s">
        <v>858</v>
      </c>
      <c r="D210" s="25" t="s">
        <v>859</v>
      </c>
      <c r="E210" s="25" t="s">
        <v>499</v>
      </c>
      <c r="F210" s="25" t="s">
        <v>1067</v>
      </c>
      <c r="G210" s="50">
        <v>5063.6000000000004</v>
      </c>
      <c r="H210" s="50">
        <v>1</v>
      </c>
      <c r="I210" s="37">
        <v>12.4770002365112</v>
      </c>
      <c r="J210" s="37">
        <v>12.4770002365112</v>
      </c>
      <c r="K210" s="37">
        <v>12.4770002365112</v>
      </c>
      <c r="L210" s="37">
        <v>12.4770002365112</v>
      </c>
      <c r="M210" s="37">
        <v>101.272003173828</v>
      </c>
      <c r="N210" s="37">
        <v>101.272003173828</v>
      </c>
      <c r="O210" s="37">
        <v>101.272003173828</v>
      </c>
      <c r="P210" s="37">
        <v>101.272003173828</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x14ac:dyDescent="0.35">
      <c r="A211" s="1"/>
      <c r="B211" s="5"/>
      <c r="C211" s="25" t="s">
        <v>858</v>
      </c>
      <c r="D211" s="25" t="s">
        <v>859</v>
      </c>
      <c r="E211" s="25" t="s">
        <v>499</v>
      </c>
      <c r="F211" s="25" t="s">
        <v>1068</v>
      </c>
      <c r="G211" s="50">
        <v>508.32499999999999</v>
      </c>
      <c r="H211" s="50">
        <v>1</v>
      </c>
      <c r="I211" s="37">
        <v>12.4799995422363</v>
      </c>
      <c r="J211" s="37">
        <v>12.4799995422363</v>
      </c>
      <c r="K211" s="37">
        <v>12.4799995422363</v>
      </c>
      <c r="L211" s="37">
        <v>12.4799995422363</v>
      </c>
      <c r="M211" s="37">
        <v>101.665000915527</v>
      </c>
      <c r="N211" s="37">
        <v>101.665000915527</v>
      </c>
      <c r="O211" s="37">
        <v>101.665000915527</v>
      </c>
      <c r="P211" s="37">
        <v>101.665000915527</v>
      </c>
      <c r="Q211" s="50">
        <v>0</v>
      </c>
      <c r="R211" s="25"/>
      <c r="S211" s="25"/>
      <c r="T211" s="25"/>
      <c r="U211" s="25"/>
      <c r="V211" s="25"/>
      <c r="W211" s="25"/>
      <c r="X211" s="25"/>
      <c r="Y211" s="25"/>
      <c r="Z211" s="25"/>
      <c r="AA211" s="94">
        <v>0</v>
      </c>
      <c r="AB211" s="76"/>
      <c r="AC211" s="25"/>
      <c r="AD211" s="25"/>
      <c r="AE211" s="25"/>
      <c r="AF211" s="25"/>
      <c r="AG211" s="25"/>
      <c r="AH211" s="25"/>
      <c r="AI211" s="25"/>
      <c r="AJ211" s="25"/>
      <c r="AK211" s="25"/>
    </row>
    <row r="212" spans="1:37" x14ac:dyDescent="0.35">
      <c r="A212" s="1"/>
      <c r="B212" s="5"/>
      <c r="C212" s="25" t="s">
        <v>716</v>
      </c>
      <c r="D212" s="25" t="s">
        <v>879</v>
      </c>
      <c r="E212" s="25" t="s">
        <v>516</v>
      </c>
      <c r="F212" s="25" t="s">
        <v>697</v>
      </c>
      <c r="G212" s="50">
        <v>2748.62824</v>
      </c>
      <c r="H212" s="50">
        <v>23</v>
      </c>
      <c r="I212" s="37">
        <v>11.800000190734901</v>
      </c>
      <c r="J212" s="37">
        <v>12.8009996414185</v>
      </c>
      <c r="K212" s="37">
        <v>12.4318811903905</v>
      </c>
      <c r="L212" s="37">
        <v>12.300000190734901</v>
      </c>
      <c r="M212" s="37">
        <v>100</v>
      </c>
      <c r="N212" s="37">
        <v>100.856002807617</v>
      </c>
      <c r="O212" s="37">
        <v>100.314900664169</v>
      </c>
      <c r="P212" s="37">
        <v>100.427001953125</v>
      </c>
      <c r="Q212" s="50">
        <v>0</v>
      </c>
      <c r="R212" s="25"/>
      <c r="S212" s="25"/>
      <c r="T212" s="25"/>
      <c r="U212" s="25"/>
      <c r="V212" s="25"/>
      <c r="W212" s="25"/>
      <c r="X212" s="25"/>
      <c r="Y212" s="25"/>
      <c r="Z212" s="25"/>
      <c r="AA212" s="94">
        <v>0</v>
      </c>
      <c r="AB212" s="76"/>
      <c r="AC212" s="25"/>
      <c r="AD212" s="25"/>
      <c r="AE212" s="25"/>
      <c r="AF212" s="25"/>
      <c r="AG212" s="25"/>
      <c r="AH212" s="25"/>
      <c r="AI212" s="25"/>
      <c r="AJ212" s="25"/>
      <c r="AK212" s="25"/>
    </row>
    <row r="213" spans="1:37" x14ac:dyDescent="0.35">
      <c r="A213" s="1"/>
      <c r="B213" s="5"/>
      <c r="C213" s="25" t="s">
        <v>716</v>
      </c>
      <c r="D213" s="25" t="s">
        <v>879</v>
      </c>
      <c r="E213" s="25" t="s">
        <v>516</v>
      </c>
      <c r="F213" s="25" t="s">
        <v>693</v>
      </c>
      <c r="G213" s="50">
        <v>4001.36</v>
      </c>
      <c r="H213" s="50">
        <v>1</v>
      </c>
      <c r="I213" s="37">
        <v>12.8800001144409</v>
      </c>
      <c r="J213" s="37">
        <v>12.8800001144409</v>
      </c>
      <c r="K213" s="37">
        <v>12.8800001144409</v>
      </c>
      <c r="L213" s="37">
        <v>0</v>
      </c>
      <c r="M213" s="37">
        <v>100.03399658203099</v>
      </c>
      <c r="N213" s="37">
        <v>100.03399658203099</v>
      </c>
      <c r="O213" s="37">
        <v>100.03399658203099</v>
      </c>
      <c r="P213" s="37">
        <v>100</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x14ac:dyDescent="0.35">
      <c r="A214" s="1"/>
      <c r="B214" s="5"/>
      <c r="C214" s="25" t="s">
        <v>718</v>
      </c>
      <c r="D214" s="25" t="s">
        <v>879</v>
      </c>
      <c r="E214" s="25" t="s">
        <v>516</v>
      </c>
      <c r="F214" s="25" t="s">
        <v>697</v>
      </c>
      <c r="G214" s="50">
        <v>13002.58</v>
      </c>
      <c r="H214" s="50">
        <v>4</v>
      </c>
      <c r="I214" s="37">
        <v>12.6479997634888</v>
      </c>
      <c r="J214" s="37">
        <v>12.8769998550415</v>
      </c>
      <c r="K214" s="37">
        <v>12.854768973130399</v>
      </c>
      <c r="L214" s="37">
        <v>12.8769998550415</v>
      </c>
      <c r="M214" s="37">
        <v>100</v>
      </c>
      <c r="N214" s="37">
        <v>100.026000976563</v>
      </c>
      <c r="O214" s="37">
        <v>100.019845815805</v>
      </c>
      <c r="P214" s="37">
        <v>100.01699829101599</v>
      </c>
      <c r="Q214" s="50">
        <v>0</v>
      </c>
      <c r="R214" s="25"/>
      <c r="S214" s="25"/>
      <c r="T214" s="25"/>
      <c r="U214" s="25"/>
      <c r="V214" s="25"/>
      <c r="W214" s="25"/>
      <c r="X214" s="25"/>
      <c r="Y214" s="25"/>
      <c r="Z214" s="25"/>
      <c r="AA214" s="94">
        <v>0</v>
      </c>
      <c r="AB214" s="76"/>
      <c r="AC214" s="25"/>
      <c r="AD214" s="25"/>
      <c r="AE214" s="25"/>
      <c r="AF214" s="25"/>
      <c r="AG214" s="25"/>
      <c r="AH214" s="25"/>
      <c r="AI214" s="25"/>
      <c r="AJ214" s="25"/>
      <c r="AK214" s="25"/>
    </row>
    <row r="215" spans="1:37" x14ac:dyDescent="0.35">
      <c r="A215" s="1"/>
      <c r="B215" s="5"/>
      <c r="C215" s="25" t="s">
        <v>720</v>
      </c>
      <c r="D215" s="25" t="s">
        <v>780</v>
      </c>
      <c r="E215" s="25" t="s">
        <v>507</v>
      </c>
      <c r="F215" s="25" t="s">
        <v>1059</v>
      </c>
      <c r="G215" s="50">
        <v>252.57</v>
      </c>
      <c r="H215" s="50">
        <v>1</v>
      </c>
      <c r="I215" s="37">
        <v>12.449999809265099</v>
      </c>
      <c r="J215" s="37">
        <v>12.449999809265099</v>
      </c>
      <c r="K215" s="37">
        <v>12.449999809265099</v>
      </c>
      <c r="L215" s="37">
        <v>12.449999809265099</v>
      </c>
      <c r="M215" s="37">
        <v>101.02799987793</v>
      </c>
      <c r="N215" s="37">
        <v>101.02799987793</v>
      </c>
      <c r="O215" s="37">
        <v>101.02799987793</v>
      </c>
      <c r="P215" s="37">
        <v>101.02799987793</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x14ac:dyDescent="0.35">
      <c r="A216" s="1"/>
      <c r="B216" s="5"/>
      <c r="C216" s="25" t="s">
        <v>720</v>
      </c>
      <c r="D216" s="25" t="s">
        <v>780</v>
      </c>
      <c r="E216" s="25" t="s">
        <v>516</v>
      </c>
      <c r="F216" s="25" t="s">
        <v>692</v>
      </c>
      <c r="G216" s="50">
        <v>1003.31</v>
      </c>
      <c r="H216" s="50">
        <v>1</v>
      </c>
      <c r="I216" s="37">
        <v>12</v>
      </c>
      <c r="J216" s="37">
        <v>12</v>
      </c>
      <c r="K216" s="37">
        <v>12</v>
      </c>
      <c r="L216" s="37">
        <v>0</v>
      </c>
      <c r="M216" s="37">
        <v>100.331001281738</v>
      </c>
      <c r="N216" s="37">
        <v>100.331001281738</v>
      </c>
      <c r="O216" s="37">
        <v>100.331001281738</v>
      </c>
      <c r="P216" s="37">
        <v>100</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x14ac:dyDescent="0.35">
      <c r="A217" s="1"/>
      <c r="B217" s="5"/>
      <c r="C217" s="25" t="s">
        <v>722</v>
      </c>
      <c r="D217" s="25" t="s">
        <v>780</v>
      </c>
      <c r="E217" s="25" t="s">
        <v>516</v>
      </c>
      <c r="F217" s="25" t="s">
        <v>713</v>
      </c>
      <c r="G217" s="50">
        <v>200.5</v>
      </c>
      <c r="H217" s="50">
        <v>1</v>
      </c>
      <c r="I217" s="37">
        <v>11.630999565124499</v>
      </c>
      <c r="J217" s="37">
        <v>11.630999565124499</v>
      </c>
      <c r="K217" s="37">
        <v>11.630999565124499</v>
      </c>
      <c r="L217" s="37">
        <v>11.630999565124499</v>
      </c>
      <c r="M217" s="37">
        <v>100.25</v>
      </c>
      <c r="N217" s="37">
        <v>100.25</v>
      </c>
      <c r="O217" s="37">
        <v>100.25</v>
      </c>
      <c r="P217" s="37">
        <v>100.25</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x14ac:dyDescent="0.35">
      <c r="A218" s="1"/>
      <c r="B218" s="5"/>
      <c r="C218" s="25" t="s">
        <v>722</v>
      </c>
      <c r="D218" s="25" t="s">
        <v>780</v>
      </c>
      <c r="E218" s="25" t="s">
        <v>516</v>
      </c>
      <c r="F218" s="25" t="s">
        <v>714</v>
      </c>
      <c r="G218" s="50">
        <v>1813.7555239999999</v>
      </c>
      <c r="H218" s="50">
        <v>2</v>
      </c>
      <c r="I218" s="37">
        <v>12.699999809265099</v>
      </c>
      <c r="J218" s="37">
        <v>12.75</v>
      </c>
      <c r="K218" s="37">
        <v>12.7361938947606</v>
      </c>
      <c r="L218" s="37">
        <v>0</v>
      </c>
      <c r="M218" s="37">
        <v>100.15299987793</v>
      </c>
      <c r="N218" s="37">
        <v>100.19000244140599</v>
      </c>
      <c r="O218" s="37">
        <v>100.163217064664</v>
      </c>
      <c r="P218" s="37">
        <v>100</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x14ac:dyDescent="0.35">
      <c r="A219" s="1"/>
      <c r="B219" s="5"/>
      <c r="C219" s="25" t="s">
        <v>722</v>
      </c>
      <c r="D219" s="25" t="s">
        <v>780</v>
      </c>
      <c r="E219" s="25" t="s">
        <v>516</v>
      </c>
      <c r="F219" s="25" t="s">
        <v>697</v>
      </c>
      <c r="G219" s="50">
        <v>1700</v>
      </c>
      <c r="H219" s="50">
        <v>1</v>
      </c>
      <c r="I219" s="37">
        <v>13</v>
      </c>
      <c r="J219" s="37">
        <v>13</v>
      </c>
      <c r="K219" s="37">
        <v>13</v>
      </c>
      <c r="L219" s="37">
        <v>13</v>
      </c>
      <c r="M219" s="37">
        <v>100</v>
      </c>
      <c r="N219" s="37">
        <v>100</v>
      </c>
      <c r="O219" s="37">
        <v>100</v>
      </c>
      <c r="P219" s="37">
        <v>100</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x14ac:dyDescent="0.35">
      <c r="A220" s="1"/>
      <c r="B220" s="5"/>
      <c r="C220" s="25" t="s">
        <v>1069</v>
      </c>
      <c r="D220" s="25" t="s">
        <v>879</v>
      </c>
      <c r="E220" s="25" t="s">
        <v>1070</v>
      </c>
      <c r="F220" s="25" t="s">
        <v>1071</v>
      </c>
      <c r="G220" s="50">
        <v>2030.84</v>
      </c>
      <c r="H220" s="50">
        <v>1</v>
      </c>
      <c r="I220" s="37">
        <v>12.949999809265099</v>
      </c>
      <c r="J220" s="37">
        <v>12.949999809265099</v>
      </c>
      <c r="K220" s="37">
        <v>12.949999809265099</v>
      </c>
      <c r="L220" s="37">
        <v>12.949999809265099</v>
      </c>
      <c r="M220" s="37">
        <v>101.541999816895</v>
      </c>
      <c r="N220" s="37">
        <v>101.541999816895</v>
      </c>
      <c r="O220" s="37">
        <v>101.541999816895</v>
      </c>
      <c r="P220" s="37">
        <v>101.541999816895</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x14ac:dyDescent="0.35">
      <c r="A221" s="1"/>
      <c r="B221" s="5"/>
      <c r="C221" s="25" t="s">
        <v>1072</v>
      </c>
      <c r="D221" s="25" t="s">
        <v>879</v>
      </c>
      <c r="E221" s="25" t="s">
        <v>1073</v>
      </c>
      <c r="F221" s="25" t="s">
        <v>1074</v>
      </c>
      <c r="G221" s="50">
        <v>1226.1600000000001</v>
      </c>
      <c r="H221" s="50">
        <v>2</v>
      </c>
      <c r="I221" s="37">
        <v>13.0299997329712</v>
      </c>
      <c r="J221" s="37">
        <v>13.9799995422363</v>
      </c>
      <c r="K221" s="37">
        <v>13.504999637603801</v>
      </c>
      <c r="L221" s="37">
        <v>13.9799995422363</v>
      </c>
      <c r="M221" s="37">
        <v>101.360000610352</v>
      </c>
      <c r="N221" s="37">
        <v>103</v>
      </c>
      <c r="O221" s="37">
        <v>102.18000030517599</v>
      </c>
      <c r="P221" s="37">
        <v>101.360000610352</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x14ac:dyDescent="0.35">
      <c r="A222" s="1"/>
      <c r="B222" s="5"/>
      <c r="C222" s="25" t="s">
        <v>1072</v>
      </c>
      <c r="D222" s="25" t="s">
        <v>879</v>
      </c>
      <c r="E222" s="25" t="s">
        <v>1040</v>
      </c>
      <c r="F222" s="25" t="s">
        <v>1075</v>
      </c>
      <c r="G222" s="50">
        <v>1001.93343</v>
      </c>
      <c r="H222" s="50">
        <v>3</v>
      </c>
      <c r="I222" s="37">
        <v>12.1000003814697</v>
      </c>
      <c r="J222" s="37">
        <v>12.3500003814697</v>
      </c>
      <c r="K222" s="37">
        <v>12.260012312160899</v>
      </c>
      <c r="L222" s="37">
        <v>12.1000003814697</v>
      </c>
      <c r="M222" s="37">
        <v>101.181999206543</v>
      </c>
      <c r="N222" s="37">
        <v>101.304000854492</v>
      </c>
      <c r="O222" s="37">
        <v>101.225845443285</v>
      </c>
      <c r="P222" s="37">
        <v>101.304000854492</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x14ac:dyDescent="0.35">
      <c r="A223" s="1"/>
      <c r="B223" s="5"/>
      <c r="C223" s="25" t="s">
        <v>727</v>
      </c>
      <c r="D223" s="25" t="s">
        <v>879</v>
      </c>
      <c r="E223" s="25" t="s">
        <v>516</v>
      </c>
      <c r="F223" s="25" t="s">
        <v>729</v>
      </c>
      <c r="G223" s="50">
        <v>15000</v>
      </c>
      <c r="H223" s="50">
        <v>3</v>
      </c>
      <c r="I223" s="37">
        <v>12.828000068664601</v>
      </c>
      <c r="J223" s="37">
        <v>12.847999572753899</v>
      </c>
      <c r="K223" s="37">
        <v>12.8346665700277</v>
      </c>
      <c r="L223" s="37">
        <v>12.828000068664601</v>
      </c>
      <c r="M223" s="37">
        <v>100</v>
      </c>
      <c r="N223" s="37">
        <v>100</v>
      </c>
      <c r="O223" s="37">
        <v>100</v>
      </c>
      <c r="P223" s="37">
        <v>100</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x14ac:dyDescent="0.35">
      <c r="A224" s="1"/>
      <c r="B224" s="5"/>
      <c r="C224" s="25" t="s">
        <v>1076</v>
      </c>
      <c r="D224" s="25" t="s">
        <v>1077</v>
      </c>
      <c r="E224" s="25" t="s">
        <v>511</v>
      </c>
      <c r="F224" s="25" t="s">
        <v>857</v>
      </c>
      <c r="G224" s="50">
        <v>608.61863700000004</v>
      </c>
      <c r="H224" s="50">
        <v>1</v>
      </c>
      <c r="I224" s="37">
        <v>0</v>
      </c>
      <c r="J224" s="37">
        <v>0</v>
      </c>
      <c r="K224" s="37">
        <v>0</v>
      </c>
      <c r="L224" s="37">
        <v>0</v>
      </c>
      <c r="M224" s="37">
        <v>99.300003051757798</v>
      </c>
      <c r="N224" s="37">
        <v>99.300003051757798</v>
      </c>
      <c r="O224" s="37">
        <v>99.300003051757798</v>
      </c>
      <c r="P224" s="37">
        <v>99.300003051757798</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x14ac:dyDescent="0.35">
      <c r="A225" s="1"/>
      <c r="B225" s="5"/>
      <c r="C225" s="25" t="s">
        <v>1078</v>
      </c>
      <c r="D225" s="25" t="s">
        <v>1079</v>
      </c>
      <c r="E225" s="25" t="s">
        <v>1080</v>
      </c>
      <c r="F225" s="25" t="s">
        <v>1081</v>
      </c>
      <c r="G225" s="50">
        <v>5799.9</v>
      </c>
      <c r="H225" s="50">
        <v>4</v>
      </c>
      <c r="I225" s="37">
        <v>13.0100002288818</v>
      </c>
      <c r="J225" s="37">
        <v>13.060000419616699</v>
      </c>
      <c r="K225" s="37">
        <v>13.0350003242493</v>
      </c>
      <c r="L225" s="37">
        <v>13.0100002288818</v>
      </c>
      <c r="M225" s="37">
        <v>96.625999450683594</v>
      </c>
      <c r="N225" s="37">
        <v>96.704002380371094</v>
      </c>
      <c r="O225" s="37">
        <v>96.665000915527301</v>
      </c>
      <c r="P225" s="37">
        <v>96.704002380371094</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x14ac:dyDescent="0.35">
      <c r="A226" s="1"/>
      <c r="B226" s="5"/>
      <c r="C226" s="25" t="s">
        <v>1082</v>
      </c>
      <c r="D226" s="25" t="s">
        <v>881</v>
      </c>
      <c r="E226" s="25" t="s">
        <v>1083</v>
      </c>
      <c r="F226" s="25" t="s">
        <v>1084</v>
      </c>
      <c r="G226" s="50">
        <v>243555.57930000001</v>
      </c>
      <c r="H226" s="50">
        <v>9</v>
      </c>
      <c r="I226" s="37">
        <v>11.800000190734901</v>
      </c>
      <c r="J226" s="37">
        <v>12.1499996185303</v>
      </c>
      <c r="K226" s="37">
        <v>12.136912807475101</v>
      </c>
      <c r="L226" s="37">
        <v>12.1400003433228</v>
      </c>
      <c r="M226" s="37">
        <v>96.149002075195298</v>
      </c>
      <c r="N226" s="37">
        <v>96.251998901367202</v>
      </c>
      <c r="O226" s="37">
        <v>96.152869482450797</v>
      </c>
      <c r="P226" s="37">
        <v>96.152000427246094</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x14ac:dyDescent="0.35">
      <c r="A227" s="1"/>
      <c r="B227" s="5"/>
      <c r="C227" s="25" t="s">
        <v>1085</v>
      </c>
      <c r="D227" s="25" t="s">
        <v>881</v>
      </c>
      <c r="E227" s="25" t="s">
        <v>1086</v>
      </c>
      <c r="F227" s="25" t="s">
        <v>1087</v>
      </c>
      <c r="G227" s="50">
        <v>30077.877</v>
      </c>
      <c r="H227" s="50">
        <v>5</v>
      </c>
      <c r="I227" s="37">
        <v>12</v>
      </c>
      <c r="J227" s="37">
        <v>12.052000045776399</v>
      </c>
      <c r="K227" s="37">
        <v>12.0337420125161</v>
      </c>
      <c r="L227" s="37">
        <v>12.052000045776399</v>
      </c>
      <c r="M227" s="37">
        <v>97.021003723144503</v>
      </c>
      <c r="N227" s="37">
        <v>97.032997131347699</v>
      </c>
      <c r="O227" s="37">
        <v>97.025227208291298</v>
      </c>
      <c r="P227" s="37">
        <v>97.021003723144503</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x14ac:dyDescent="0.35">
      <c r="A228" s="1"/>
      <c r="B228" s="5"/>
      <c r="C228" s="25" t="s">
        <v>880</v>
      </c>
      <c r="D228" s="25" t="s">
        <v>881</v>
      </c>
      <c r="E228" s="25" t="s">
        <v>882</v>
      </c>
      <c r="F228" s="25" t="s">
        <v>883</v>
      </c>
      <c r="G228" s="50">
        <v>55351.576000000001</v>
      </c>
      <c r="H228" s="50">
        <v>3</v>
      </c>
      <c r="I228" s="37">
        <v>12.324999809265099</v>
      </c>
      <c r="J228" s="37">
        <v>12.550000190734901</v>
      </c>
      <c r="K228" s="37">
        <v>12.3392562945027</v>
      </c>
      <c r="L228" s="37">
        <v>12.3500003814697</v>
      </c>
      <c r="M228" s="37">
        <v>91.359001159667997</v>
      </c>
      <c r="N228" s="37">
        <v>91.499000549316406</v>
      </c>
      <c r="O228" s="37">
        <v>91.4899102203117</v>
      </c>
      <c r="P228" s="37">
        <v>91.483001708984403</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x14ac:dyDescent="0.35">
      <c r="A229" s="1"/>
      <c r="B229" s="5"/>
      <c r="C229" s="25" t="s">
        <v>887</v>
      </c>
      <c r="D229" s="25" t="s">
        <v>881</v>
      </c>
      <c r="E229" s="25" t="s">
        <v>888</v>
      </c>
      <c r="F229" s="25" t="s">
        <v>889</v>
      </c>
      <c r="G229" s="50">
        <v>0</v>
      </c>
      <c r="H229" s="25"/>
      <c r="I229" s="25"/>
      <c r="J229" s="25"/>
      <c r="K229" s="25"/>
      <c r="L229" s="25"/>
      <c r="M229" s="25"/>
      <c r="N229" s="25"/>
      <c r="O229" s="25"/>
      <c r="P229" s="25"/>
      <c r="Q229" s="50">
        <v>62128.780903999999</v>
      </c>
      <c r="R229" s="50">
        <v>3</v>
      </c>
      <c r="S229" s="37">
        <v>10.5</v>
      </c>
      <c r="T229" s="37">
        <v>12</v>
      </c>
      <c r="U229" s="37">
        <v>11.391812545962001</v>
      </c>
      <c r="V229" s="37">
        <v>12</v>
      </c>
      <c r="W229" s="37">
        <v>97.896003723144503</v>
      </c>
      <c r="X229" s="37">
        <v>97.896003723144503</v>
      </c>
      <c r="Y229" s="37">
        <v>97.896003723144503</v>
      </c>
      <c r="Z229" s="37">
        <v>97.896003723144503</v>
      </c>
      <c r="AA229" s="94">
        <v>0</v>
      </c>
      <c r="AB229" s="76"/>
      <c r="AC229" s="25"/>
      <c r="AD229" s="25"/>
      <c r="AE229" s="25"/>
      <c r="AF229" s="25"/>
      <c r="AG229" s="25"/>
      <c r="AH229" s="25"/>
      <c r="AI229" s="25"/>
      <c r="AJ229" s="25"/>
      <c r="AK229" s="25"/>
    </row>
    <row r="230" spans="1:37" x14ac:dyDescent="0.35">
      <c r="A230" s="1"/>
      <c r="B230" s="5"/>
      <c r="C230" s="25" t="s">
        <v>1088</v>
      </c>
      <c r="D230" s="25" t="s">
        <v>881</v>
      </c>
      <c r="E230" s="25" t="s">
        <v>1089</v>
      </c>
      <c r="F230" s="25" t="s">
        <v>1090</v>
      </c>
      <c r="G230" s="50">
        <v>0</v>
      </c>
      <c r="H230" s="25"/>
      <c r="I230" s="25"/>
      <c r="J230" s="25"/>
      <c r="K230" s="25"/>
      <c r="L230" s="25"/>
      <c r="M230" s="25"/>
      <c r="N230" s="25"/>
      <c r="O230" s="25"/>
      <c r="P230" s="25"/>
      <c r="Q230" s="50">
        <v>64381.2</v>
      </c>
      <c r="R230" s="50">
        <v>1</v>
      </c>
      <c r="S230" s="37">
        <v>12</v>
      </c>
      <c r="T230" s="37">
        <v>12</v>
      </c>
      <c r="U230" s="37">
        <v>12</v>
      </c>
      <c r="V230" s="37">
        <v>12</v>
      </c>
      <c r="W230" s="37">
        <v>99.047996520996094</v>
      </c>
      <c r="X230" s="37">
        <v>99.047996520996094</v>
      </c>
      <c r="Y230" s="37">
        <v>99.047996520996094</v>
      </c>
      <c r="Z230" s="37">
        <v>99.047996520996094</v>
      </c>
      <c r="AA230" s="94">
        <v>0</v>
      </c>
      <c r="AB230" s="76"/>
      <c r="AC230" s="25"/>
      <c r="AD230" s="25"/>
      <c r="AE230" s="25"/>
      <c r="AF230" s="25"/>
      <c r="AG230" s="25"/>
      <c r="AH230" s="25"/>
      <c r="AI230" s="25"/>
      <c r="AJ230" s="25"/>
      <c r="AK230" s="25"/>
    </row>
    <row r="231" spans="1:37" x14ac:dyDescent="0.35">
      <c r="A231" s="1"/>
      <c r="B231" s="5"/>
      <c r="C231" s="25" t="s">
        <v>1091</v>
      </c>
      <c r="D231" s="25" t="s">
        <v>881</v>
      </c>
      <c r="E231" s="25" t="s">
        <v>1092</v>
      </c>
      <c r="F231" s="25" t="s">
        <v>1093</v>
      </c>
      <c r="G231" s="50">
        <v>23486.6</v>
      </c>
      <c r="H231" s="50">
        <v>1</v>
      </c>
      <c r="I231" s="37">
        <v>12.399000167846699</v>
      </c>
      <c r="J231" s="37">
        <v>12.399000167846699</v>
      </c>
      <c r="K231" s="37">
        <v>12.399000167846699</v>
      </c>
      <c r="L231" s="37">
        <v>12.399000167846699</v>
      </c>
      <c r="M231" s="37">
        <v>93.945999145507798</v>
      </c>
      <c r="N231" s="37">
        <v>93.945999145507798</v>
      </c>
      <c r="O231" s="37">
        <v>93.945999145507798</v>
      </c>
      <c r="P231" s="37">
        <v>93.945999145507798</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x14ac:dyDescent="0.35">
      <c r="A232" s="1"/>
      <c r="B232" s="5"/>
      <c r="C232" s="25" t="s">
        <v>890</v>
      </c>
      <c r="D232" s="25" t="s">
        <v>881</v>
      </c>
      <c r="E232" s="25" t="s">
        <v>891</v>
      </c>
      <c r="F232" s="25" t="s">
        <v>892</v>
      </c>
      <c r="G232" s="50">
        <v>66407.686000000002</v>
      </c>
      <c r="H232" s="50">
        <v>10</v>
      </c>
      <c r="I232" s="37">
        <v>12.170000076293899</v>
      </c>
      <c r="J232" s="37">
        <v>12.2600002288818</v>
      </c>
      <c r="K232" s="37">
        <v>12.203500120980401</v>
      </c>
      <c r="L232" s="37">
        <v>12.2600002288818</v>
      </c>
      <c r="M232" s="37">
        <v>94.846000671386705</v>
      </c>
      <c r="N232" s="37">
        <v>94.880996704101605</v>
      </c>
      <c r="O232" s="37">
        <v>94.867999049595397</v>
      </c>
      <c r="P232" s="37">
        <v>94.846000671386705</v>
      </c>
      <c r="Q232" s="50">
        <v>77767.323999999993</v>
      </c>
      <c r="R232" s="50">
        <v>1</v>
      </c>
      <c r="S232" s="37">
        <v>12</v>
      </c>
      <c r="T232" s="37">
        <v>12</v>
      </c>
      <c r="U232" s="37">
        <v>12</v>
      </c>
      <c r="V232" s="37">
        <v>12</v>
      </c>
      <c r="W232" s="37">
        <v>94.837997436523395</v>
      </c>
      <c r="X232" s="37">
        <v>94.837997436523395</v>
      </c>
      <c r="Y232" s="37">
        <v>94.837997436523395</v>
      </c>
      <c r="Z232" s="37">
        <v>94.837997436523395</v>
      </c>
      <c r="AA232" s="94">
        <v>0</v>
      </c>
      <c r="AB232" s="76"/>
      <c r="AC232" s="25"/>
      <c r="AD232" s="25"/>
      <c r="AE232" s="25"/>
      <c r="AF232" s="25"/>
      <c r="AG232" s="25"/>
      <c r="AH232" s="25"/>
      <c r="AI232" s="25"/>
      <c r="AJ232" s="25"/>
      <c r="AK232" s="25"/>
    </row>
    <row r="233" spans="1:37" x14ac:dyDescent="0.35">
      <c r="A233" s="1"/>
      <c r="B233" s="5"/>
      <c r="C233" s="25" t="s">
        <v>333</v>
      </c>
      <c r="D233" s="25" t="s">
        <v>881</v>
      </c>
      <c r="E233" s="25" t="s">
        <v>893</v>
      </c>
      <c r="F233" s="25" t="s">
        <v>894</v>
      </c>
      <c r="G233" s="50">
        <v>534183.14480000001</v>
      </c>
      <c r="H233" s="50">
        <v>13</v>
      </c>
      <c r="I233" s="37">
        <v>12.0170001983643</v>
      </c>
      <c r="J233" s="37">
        <v>12.1499996185303</v>
      </c>
      <c r="K233" s="37">
        <v>12.080913697662799</v>
      </c>
      <c r="L233" s="37">
        <v>12.0170001983643</v>
      </c>
      <c r="M233" s="37">
        <v>107.903999328613</v>
      </c>
      <c r="N233" s="37">
        <v>108.220001220703</v>
      </c>
      <c r="O233" s="37">
        <v>108.068012076256</v>
      </c>
      <c r="P233" s="37">
        <v>108.220001220703</v>
      </c>
      <c r="Q233" s="50">
        <v>3396129.3769419999</v>
      </c>
      <c r="R233" s="50">
        <v>60</v>
      </c>
      <c r="S233" s="37">
        <v>8.75</v>
      </c>
      <c r="T233" s="37">
        <v>12.1000003814697</v>
      </c>
      <c r="U233" s="37">
        <v>11.9091796434437</v>
      </c>
      <c r="V233" s="37">
        <v>12</v>
      </c>
      <c r="W233" s="37">
        <v>107.903999328613</v>
      </c>
      <c r="X233" s="37">
        <v>108.26000213623</v>
      </c>
      <c r="Y233" s="37">
        <v>108.08833369441599</v>
      </c>
      <c r="Z233" s="37">
        <v>108.120002746582</v>
      </c>
      <c r="AA233" s="94">
        <v>0</v>
      </c>
      <c r="AB233" s="76"/>
      <c r="AC233" s="25"/>
      <c r="AD233" s="25"/>
      <c r="AE233" s="25"/>
      <c r="AF233" s="25"/>
      <c r="AG233" s="25"/>
      <c r="AH233" s="25"/>
      <c r="AI233" s="25"/>
      <c r="AJ233" s="25"/>
      <c r="AK233" s="25"/>
    </row>
    <row r="234" spans="1:37" x14ac:dyDescent="0.35">
      <c r="A234" s="1"/>
      <c r="B234" s="5"/>
      <c r="C234" s="25" t="s">
        <v>337</v>
      </c>
      <c r="D234" s="25" t="s">
        <v>881</v>
      </c>
      <c r="E234" s="25" t="s">
        <v>895</v>
      </c>
      <c r="F234" s="25" t="s">
        <v>896</v>
      </c>
      <c r="G234" s="50">
        <v>260836.28124000001</v>
      </c>
      <c r="H234" s="50">
        <v>38</v>
      </c>
      <c r="I234" s="37">
        <v>11.8999996185303</v>
      </c>
      <c r="J234" s="37">
        <v>12.1099996566772</v>
      </c>
      <c r="K234" s="37">
        <v>12.051945778991501</v>
      </c>
      <c r="L234" s="37">
        <v>12.069999694824199</v>
      </c>
      <c r="M234" s="37">
        <v>106.580001831055</v>
      </c>
      <c r="N234" s="37">
        <v>107.166999816895</v>
      </c>
      <c r="O234" s="37">
        <v>106.741726509852</v>
      </c>
      <c r="P234" s="37">
        <v>106.69100189209</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x14ac:dyDescent="0.35">
      <c r="A235" s="1"/>
      <c r="B235" s="5"/>
      <c r="C235" s="25" t="s">
        <v>341</v>
      </c>
      <c r="D235" s="25" t="s">
        <v>881</v>
      </c>
      <c r="E235" s="25" t="s">
        <v>897</v>
      </c>
      <c r="F235" s="25" t="s">
        <v>898</v>
      </c>
      <c r="G235" s="50">
        <v>26835.177500000002</v>
      </c>
      <c r="H235" s="50">
        <v>4</v>
      </c>
      <c r="I235" s="37">
        <v>12.0349998474121</v>
      </c>
      <c r="J235" s="37">
        <v>12.0900001525879</v>
      </c>
      <c r="K235" s="37">
        <v>12.0369998585094</v>
      </c>
      <c r="L235" s="37">
        <v>12.0900001525879</v>
      </c>
      <c r="M235" s="37">
        <v>97.527999877929702</v>
      </c>
      <c r="N235" s="37">
        <v>97.583999633789105</v>
      </c>
      <c r="O235" s="37">
        <v>97.581963279030504</v>
      </c>
      <c r="P235" s="37">
        <v>97.527999877929702</v>
      </c>
      <c r="Q235" s="50">
        <v>1099019.7608</v>
      </c>
      <c r="R235" s="50">
        <v>23</v>
      </c>
      <c r="S235" s="37">
        <v>11.949999809265099</v>
      </c>
      <c r="T235" s="37">
        <v>12</v>
      </c>
      <c r="U235" s="37">
        <v>11.999112496170699</v>
      </c>
      <c r="V235" s="37">
        <v>12</v>
      </c>
      <c r="W235" s="37">
        <v>97.499000549316406</v>
      </c>
      <c r="X235" s="37">
        <v>97.639999389648395</v>
      </c>
      <c r="Y235" s="37">
        <v>97.537551517493995</v>
      </c>
      <c r="Z235" s="37">
        <v>97.587997436523395</v>
      </c>
      <c r="AA235" s="94">
        <v>0</v>
      </c>
      <c r="AB235" s="76"/>
      <c r="AC235" s="25"/>
      <c r="AD235" s="25"/>
      <c r="AE235" s="25"/>
      <c r="AF235" s="25"/>
      <c r="AG235" s="25"/>
      <c r="AH235" s="25"/>
      <c r="AI235" s="25"/>
      <c r="AJ235" s="25"/>
      <c r="AK235" s="25"/>
    </row>
    <row r="236" spans="1:37" x14ac:dyDescent="0.35">
      <c r="A236" s="1"/>
      <c r="B236" s="5"/>
      <c r="C236" s="25" t="s">
        <v>345</v>
      </c>
      <c r="D236" s="25" t="s">
        <v>881</v>
      </c>
      <c r="E236" s="25" t="s">
        <v>899</v>
      </c>
      <c r="F236" s="25" t="s">
        <v>900</v>
      </c>
      <c r="G236" s="50">
        <v>599.74459999999999</v>
      </c>
      <c r="H236" s="50">
        <v>1</v>
      </c>
      <c r="I236" s="37">
        <v>11.970999717712401</v>
      </c>
      <c r="J236" s="37">
        <v>11.970999717712401</v>
      </c>
      <c r="K236" s="37">
        <v>11.970999717712401</v>
      </c>
      <c r="L236" s="37">
        <v>11.970999717712401</v>
      </c>
      <c r="M236" s="37">
        <v>85.677001953125</v>
      </c>
      <c r="N236" s="37">
        <v>85.677001953125</v>
      </c>
      <c r="O236" s="37">
        <v>85.677001953125</v>
      </c>
      <c r="P236" s="37">
        <v>85.677001953125</v>
      </c>
      <c r="Q236" s="50">
        <v>140903.76999999999</v>
      </c>
      <c r="R236" s="50">
        <v>3</v>
      </c>
      <c r="S236" s="37">
        <v>11.8500003814697</v>
      </c>
      <c r="T236" s="37">
        <v>12</v>
      </c>
      <c r="U236" s="37">
        <v>11.872727596398599</v>
      </c>
      <c r="V236" s="37">
        <v>12</v>
      </c>
      <c r="W236" s="37">
        <v>85.383003234863295</v>
      </c>
      <c r="X236" s="37">
        <v>85.464996337890597</v>
      </c>
      <c r="Y236" s="37">
        <v>85.3954264322917</v>
      </c>
      <c r="Z236" s="37">
        <v>85.383003234863295</v>
      </c>
      <c r="AA236" s="94">
        <v>0</v>
      </c>
      <c r="AB236" s="76"/>
      <c r="AC236" s="25"/>
      <c r="AD236" s="25"/>
      <c r="AE236" s="25"/>
      <c r="AF236" s="25"/>
      <c r="AG236" s="25"/>
      <c r="AH236" s="25"/>
      <c r="AI236" s="25"/>
      <c r="AJ236" s="25"/>
      <c r="AK236" s="25"/>
    </row>
    <row r="237" spans="1:37" x14ac:dyDescent="0.35">
      <c r="A237" s="1"/>
      <c r="B237" s="5"/>
      <c r="C237" s="25" t="s">
        <v>349</v>
      </c>
      <c r="D237" s="25" t="s">
        <v>881</v>
      </c>
      <c r="E237" s="25" t="s">
        <v>901</v>
      </c>
      <c r="F237" s="25" t="s">
        <v>902</v>
      </c>
      <c r="G237" s="50">
        <v>20542.609499999999</v>
      </c>
      <c r="H237" s="50">
        <v>9</v>
      </c>
      <c r="I237" s="37">
        <v>11.876000404357899</v>
      </c>
      <c r="J237" s="37">
        <v>11.954999923706101</v>
      </c>
      <c r="K237" s="37">
        <v>11.925781359438</v>
      </c>
      <c r="L237" s="37">
        <v>11.939999580383301</v>
      </c>
      <c r="M237" s="37">
        <v>112.12200164794901</v>
      </c>
      <c r="N237" s="37">
        <v>112.48000335693401</v>
      </c>
      <c r="O237" s="37">
        <v>112.254197626166</v>
      </c>
      <c r="P237" s="37">
        <v>112.19000244140599</v>
      </c>
      <c r="Q237" s="50">
        <v>131884.80869500001</v>
      </c>
      <c r="R237" s="50">
        <v>5</v>
      </c>
      <c r="S237" s="37">
        <v>12</v>
      </c>
      <c r="T237" s="37">
        <v>12.199999809265099</v>
      </c>
      <c r="U237" s="37">
        <v>12.000124178051699</v>
      </c>
      <c r="V237" s="37">
        <v>12</v>
      </c>
      <c r="W237" s="37">
        <v>111.917999267578</v>
      </c>
      <c r="X237" s="37">
        <v>112.37100219726599</v>
      </c>
      <c r="Y237" s="37">
        <v>112.172201225027</v>
      </c>
      <c r="Z237" s="37">
        <v>112.19000244140599</v>
      </c>
      <c r="AA237" s="94">
        <v>0</v>
      </c>
      <c r="AB237" s="76"/>
      <c r="AC237" s="25"/>
      <c r="AD237" s="25"/>
      <c r="AE237" s="25"/>
      <c r="AF237" s="25"/>
      <c r="AG237" s="25"/>
      <c r="AH237" s="25"/>
      <c r="AI237" s="25"/>
      <c r="AJ237" s="25"/>
      <c r="AK237" s="25"/>
    </row>
    <row r="238" spans="1:37" x14ac:dyDescent="0.35">
      <c r="A238" s="1"/>
      <c r="B238" s="5"/>
      <c r="C238" s="25" t="s">
        <v>353</v>
      </c>
      <c r="D238" s="25" t="s">
        <v>881</v>
      </c>
      <c r="E238" s="25" t="s">
        <v>903</v>
      </c>
      <c r="F238" s="25" t="s">
        <v>904</v>
      </c>
      <c r="G238" s="50">
        <v>60974.522239999998</v>
      </c>
      <c r="H238" s="50">
        <v>20</v>
      </c>
      <c r="I238" s="37">
        <v>11.8800001144409</v>
      </c>
      <c r="J238" s="37">
        <v>11.951000213623001</v>
      </c>
      <c r="K238" s="37">
        <v>11.9228621379669</v>
      </c>
      <c r="L238" s="37">
        <v>11.9370002746582</v>
      </c>
      <c r="M238" s="37">
        <v>105.237998962402</v>
      </c>
      <c r="N238" s="37">
        <v>105.602996826172</v>
      </c>
      <c r="O238" s="37">
        <v>105.38245985477501</v>
      </c>
      <c r="P238" s="37">
        <v>105.30999755859401</v>
      </c>
      <c r="Q238" s="50">
        <v>60062.993000000002</v>
      </c>
      <c r="R238" s="50">
        <v>4</v>
      </c>
      <c r="S238" s="37">
        <v>12</v>
      </c>
      <c r="T238" s="37">
        <v>12.0100002288818</v>
      </c>
      <c r="U238" s="37">
        <v>12.000087721306</v>
      </c>
      <c r="V238" s="37">
        <v>12.0100002288818</v>
      </c>
      <c r="W238" s="37">
        <v>104.63200378418</v>
      </c>
      <c r="X238" s="37">
        <v>105.397003173828</v>
      </c>
      <c r="Y238" s="37">
        <v>105.373273749101</v>
      </c>
      <c r="Z238" s="37">
        <v>105.376998901367</v>
      </c>
      <c r="AA238" s="94">
        <v>0</v>
      </c>
      <c r="AB238" s="76"/>
      <c r="AC238" s="25"/>
      <c r="AD238" s="25"/>
      <c r="AE238" s="25"/>
      <c r="AF238" s="25"/>
      <c r="AG238" s="25"/>
      <c r="AH238" s="25"/>
      <c r="AI238" s="25"/>
      <c r="AJ238" s="25"/>
      <c r="AK238" s="25"/>
    </row>
    <row r="239" spans="1:37" x14ac:dyDescent="0.35">
      <c r="A239" s="1"/>
      <c r="B239" s="5"/>
      <c r="C239" s="25" t="s">
        <v>357</v>
      </c>
      <c r="D239" s="25" t="s">
        <v>881</v>
      </c>
      <c r="E239" s="25" t="s">
        <v>1094</v>
      </c>
      <c r="F239" s="25" t="s">
        <v>1095</v>
      </c>
      <c r="G239" s="50">
        <v>6490.4724930000002</v>
      </c>
      <c r="H239" s="50">
        <v>1</v>
      </c>
      <c r="I239" s="37">
        <v>11.831999778747599</v>
      </c>
      <c r="J239" s="37">
        <v>11.831999778747599</v>
      </c>
      <c r="K239" s="37">
        <v>11.831999778747599</v>
      </c>
      <c r="L239" s="37">
        <v>11.831999778747599</v>
      </c>
      <c r="M239" s="37">
        <v>68.998001098632798</v>
      </c>
      <c r="N239" s="37">
        <v>68.998001098632798</v>
      </c>
      <c r="O239" s="37">
        <v>68.998001098632798</v>
      </c>
      <c r="P239" s="37">
        <v>68.998001098632798</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x14ac:dyDescent="0.35">
      <c r="A240" s="1"/>
      <c r="B240" s="5"/>
      <c r="C240" s="25" t="s">
        <v>361</v>
      </c>
      <c r="D240" s="25" t="s">
        <v>881</v>
      </c>
      <c r="E240" s="25" t="s">
        <v>905</v>
      </c>
      <c r="F240" s="25" t="s">
        <v>906</v>
      </c>
      <c r="G240" s="50">
        <v>214398.89616500001</v>
      </c>
      <c r="H240" s="50">
        <v>4</v>
      </c>
      <c r="I240" s="37">
        <v>12.0310001373291</v>
      </c>
      <c r="J240" s="37">
        <v>12.1000003814697</v>
      </c>
      <c r="K240" s="37">
        <v>12.080430489385501</v>
      </c>
      <c r="L240" s="37">
        <v>12.045000076293899</v>
      </c>
      <c r="M240" s="37">
        <v>93.474998474121094</v>
      </c>
      <c r="N240" s="37">
        <v>93.726997375488295</v>
      </c>
      <c r="O240" s="37">
        <v>93.536443322212406</v>
      </c>
      <c r="P240" s="37">
        <v>93.629997253417997</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x14ac:dyDescent="0.35">
      <c r="A241" s="1"/>
      <c r="B241" s="5"/>
      <c r="C241" s="25" t="s">
        <v>365</v>
      </c>
      <c r="D241" s="25" t="s">
        <v>881</v>
      </c>
      <c r="E241" s="25" t="s">
        <v>1096</v>
      </c>
      <c r="F241" s="25" t="s">
        <v>1097</v>
      </c>
      <c r="G241" s="50">
        <v>0</v>
      </c>
      <c r="H241" s="25"/>
      <c r="I241" s="25"/>
      <c r="J241" s="25"/>
      <c r="K241" s="25"/>
      <c r="L241" s="25"/>
      <c r="M241" s="25"/>
      <c r="N241" s="25"/>
      <c r="O241" s="25"/>
      <c r="P241" s="25"/>
      <c r="Q241" s="50">
        <v>82056.2</v>
      </c>
      <c r="R241" s="50">
        <v>2</v>
      </c>
      <c r="S241" s="37">
        <v>11.8500003814697</v>
      </c>
      <c r="T241" s="37">
        <v>11.8500003814697</v>
      </c>
      <c r="U241" s="37">
        <v>11.8500003814697</v>
      </c>
      <c r="V241" s="37">
        <v>11.8500003814697</v>
      </c>
      <c r="W241" s="37">
        <v>82.055999755859403</v>
      </c>
      <c r="X241" s="37">
        <v>82.055999755859403</v>
      </c>
      <c r="Y241" s="37">
        <v>82.055999755859403</v>
      </c>
      <c r="Z241" s="37">
        <v>82.055999755859403</v>
      </c>
      <c r="AA241" s="94">
        <v>0</v>
      </c>
      <c r="AB241" s="76"/>
      <c r="AC241" s="25"/>
      <c r="AD241" s="25"/>
      <c r="AE241" s="25"/>
      <c r="AF241" s="25"/>
      <c r="AG241" s="25"/>
      <c r="AH241" s="25"/>
      <c r="AI241" s="25"/>
      <c r="AJ241" s="25"/>
      <c r="AK241" s="25"/>
    </row>
    <row r="242" spans="1:37" x14ac:dyDescent="0.35">
      <c r="A242" s="1"/>
      <c r="B242" s="5"/>
      <c r="C242" s="25" t="s">
        <v>369</v>
      </c>
      <c r="D242" s="25" t="s">
        <v>881</v>
      </c>
      <c r="E242" s="25" t="s">
        <v>907</v>
      </c>
      <c r="F242" s="25" t="s">
        <v>908</v>
      </c>
      <c r="G242" s="50">
        <v>610965.12</v>
      </c>
      <c r="H242" s="50">
        <v>49</v>
      </c>
      <c r="I242" s="37">
        <v>12.170000076293899</v>
      </c>
      <c r="J242" s="37">
        <v>12.2700004577637</v>
      </c>
      <c r="K242" s="37">
        <v>12.2162325548403</v>
      </c>
      <c r="L242" s="37">
        <v>12.199999809265099</v>
      </c>
      <c r="M242" s="37">
        <v>92.497001647949205</v>
      </c>
      <c r="N242" s="37">
        <v>92.633003234863295</v>
      </c>
      <c r="O242" s="37">
        <v>92.569972922585194</v>
      </c>
      <c r="P242" s="37">
        <v>92.592002868652301</v>
      </c>
      <c r="Q242" s="50">
        <v>770550.29637</v>
      </c>
      <c r="R242" s="50">
        <v>30</v>
      </c>
      <c r="S242" s="37">
        <v>10.1499996185303</v>
      </c>
      <c r="T242" s="37">
        <v>12.060000419616699</v>
      </c>
      <c r="U242" s="37">
        <v>11.981138407559</v>
      </c>
      <c r="V242" s="37">
        <v>12.0100002288818</v>
      </c>
      <c r="W242" s="37">
        <v>92.524002075195298</v>
      </c>
      <c r="X242" s="37">
        <v>92.619003295898395</v>
      </c>
      <c r="Y242" s="37">
        <v>92.564100287916006</v>
      </c>
      <c r="Z242" s="37">
        <v>92.533996582031307</v>
      </c>
      <c r="AA242" s="94">
        <v>0</v>
      </c>
      <c r="AB242" s="76"/>
      <c r="AC242" s="25"/>
      <c r="AD242" s="25"/>
      <c r="AE242" s="25"/>
      <c r="AF242" s="25"/>
      <c r="AG242" s="25"/>
      <c r="AH242" s="25"/>
      <c r="AI242" s="25"/>
      <c r="AJ242" s="25"/>
      <c r="AK242" s="25"/>
    </row>
    <row r="243" spans="1:37" x14ac:dyDescent="0.35">
      <c r="A243" s="1"/>
      <c r="B243" s="5"/>
      <c r="C243" s="25" t="s">
        <v>373</v>
      </c>
      <c r="D243" s="25" t="s">
        <v>881</v>
      </c>
      <c r="E243" s="25" t="s">
        <v>909</v>
      </c>
      <c r="F243" s="25" t="s">
        <v>910</v>
      </c>
      <c r="G243" s="50">
        <v>14663.8172</v>
      </c>
      <c r="H243" s="50">
        <v>5</v>
      </c>
      <c r="I243" s="37">
        <v>11.8599996566772</v>
      </c>
      <c r="J243" s="37">
        <v>11.920000076293899</v>
      </c>
      <c r="K243" s="37">
        <v>11.8965626209974</v>
      </c>
      <c r="L243" s="37">
        <v>11.8599996566772</v>
      </c>
      <c r="M243" s="37">
        <v>114.396003723145</v>
      </c>
      <c r="N243" s="37">
        <v>114.81900024414099</v>
      </c>
      <c r="O243" s="37">
        <v>114.560673713684</v>
      </c>
      <c r="P243" s="37">
        <v>114.81300354003901</v>
      </c>
      <c r="Q243" s="50">
        <v>72885.296199999997</v>
      </c>
      <c r="R243" s="50">
        <v>8</v>
      </c>
      <c r="S243" s="37">
        <v>8.5</v>
      </c>
      <c r="T243" s="37">
        <v>12</v>
      </c>
      <c r="U243" s="37">
        <v>9.4725705329153609</v>
      </c>
      <c r="V243" s="37">
        <v>10.5</v>
      </c>
      <c r="W243" s="37">
        <v>113.837997436523</v>
      </c>
      <c r="X243" s="37">
        <v>115.24299621582</v>
      </c>
      <c r="Y243" s="37">
        <v>114.239874848751</v>
      </c>
      <c r="Z243" s="37">
        <v>114.40299987793</v>
      </c>
      <c r="AA243" s="94">
        <v>0</v>
      </c>
      <c r="AB243" s="76"/>
      <c r="AC243" s="25"/>
      <c r="AD243" s="25"/>
      <c r="AE243" s="25"/>
      <c r="AF243" s="25"/>
      <c r="AG243" s="25"/>
      <c r="AH243" s="25"/>
      <c r="AI243" s="25"/>
      <c r="AJ243" s="25"/>
      <c r="AK243" s="25"/>
    </row>
    <row r="244" spans="1:37" x14ac:dyDescent="0.35">
      <c r="A244" s="1"/>
      <c r="B244" s="5"/>
      <c r="C244" s="25" t="s">
        <v>377</v>
      </c>
      <c r="D244" s="25" t="s">
        <v>881</v>
      </c>
      <c r="E244" s="25" t="s">
        <v>1098</v>
      </c>
      <c r="F244" s="25" t="s">
        <v>1099</v>
      </c>
      <c r="G244" s="50">
        <v>403.30349999999999</v>
      </c>
      <c r="H244" s="50">
        <v>1</v>
      </c>
      <c r="I244" s="37">
        <v>11.956999778747599</v>
      </c>
      <c r="J244" s="37">
        <v>11.956999778747599</v>
      </c>
      <c r="K244" s="37">
        <v>11.956999778747599</v>
      </c>
      <c r="L244" s="37">
        <v>11.956999778747599</v>
      </c>
      <c r="M244" s="37">
        <v>80.660003662109403</v>
      </c>
      <c r="N244" s="37">
        <v>80.660003662109403</v>
      </c>
      <c r="O244" s="37">
        <v>80.660003662109403</v>
      </c>
      <c r="P244" s="37">
        <v>80.660003662109403</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x14ac:dyDescent="0.35">
      <c r="A245" s="1"/>
      <c r="B245" s="5"/>
      <c r="C245" s="25" t="s">
        <v>381</v>
      </c>
      <c r="D245" s="25" t="s">
        <v>881</v>
      </c>
      <c r="E245" s="25" t="s">
        <v>1100</v>
      </c>
      <c r="F245" s="25" t="s">
        <v>1101</v>
      </c>
      <c r="G245" s="50">
        <v>0</v>
      </c>
      <c r="H245" s="25"/>
      <c r="I245" s="25"/>
      <c r="J245" s="25"/>
      <c r="K245" s="25"/>
      <c r="L245" s="25"/>
      <c r="M245" s="25"/>
      <c r="N245" s="25"/>
      <c r="O245" s="25"/>
      <c r="P245" s="25"/>
      <c r="Q245" s="50">
        <v>16704.599999999999</v>
      </c>
      <c r="R245" s="50">
        <v>1</v>
      </c>
      <c r="S245" s="37">
        <v>11.8500003814697</v>
      </c>
      <c r="T245" s="37">
        <v>11.8500003814697</v>
      </c>
      <c r="U245" s="37">
        <v>11.8500003814697</v>
      </c>
      <c r="V245" s="37">
        <v>11.8500003814697</v>
      </c>
      <c r="W245" s="37">
        <v>83.523002624511705</v>
      </c>
      <c r="X245" s="37">
        <v>83.523002624511705</v>
      </c>
      <c r="Y245" s="37">
        <v>83.523002624511705</v>
      </c>
      <c r="Z245" s="37">
        <v>83.523002624511705</v>
      </c>
      <c r="AA245" s="94">
        <v>0</v>
      </c>
      <c r="AB245" s="76"/>
      <c r="AC245" s="25"/>
      <c r="AD245" s="25"/>
      <c r="AE245" s="25"/>
      <c r="AF245" s="25"/>
      <c r="AG245" s="25"/>
      <c r="AH245" s="25"/>
      <c r="AI245" s="25"/>
      <c r="AJ245" s="25"/>
      <c r="AK245" s="25"/>
    </row>
    <row r="246" spans="1:37" x14ac:dyDescent="0.35">
      <c r="A246" s="1"/>
      <c r="B246" s="5"/>
      <c r="C246" s="25" t="s">
        <v>385</v>
      </c>
      <c r="D246" s="25" t="s">
        <v>881</v>
      </c>
      <c r="E246" s="25" t="s">
        <v>818</v>
      </c>
      <c r="F246" s="25" t="s">
        <v>911</v>
      </c>
      <c r="G246" s="50">
        <v>6368.6215700000002</v>
      </c>
      <c r="H246" s="50">
        <v>2</v>
      </c>
      <c r="I246" s="37">
        <v>11.78600025177</v>
      </c>
      <c r="J246" s="37">
        <v>11.78600025177</v>
      </c>
      <c r="K246" s="37">
        <v>11.78600025177</v>
      </c>
      <c r="L246" s="37">
        <v>11.78600025177</v>
      </c>
      <c r="M246" s="37">
        <v>98.432998657226605</v>
      </c>
      <c r="N246" s="37">
        <v>98.432998657226605</v>
      </c>
      <c r="O246" s="37">
        <v>98.432998657226605</v>
      </c>
      <c r="P246" s="37">
        <v>98.432998657226605</v>
      </c>
      <c r="Q246" s="50">
        <v>186018.09</v>
      </c>
      <c r="R246" s="50">
        <v>4</v>
      </c>
      <c r="S246" s="37">
        <v>11.8500003814697</v>
      </c>
      <c r="T246" s="37">
        <v>12</v>
      </c>
      <c r="U246" s="37">
        <v>11.9842105664705</v>
      </c>
      <c r="V246" s="37">
        <v>12</v>
      </c>
      <c r="W246" s="37">
        <v>96.803001403808594</v>
      </c>
      <c r="X246" s="37">
        <v>98.120002746582003</v>
      </c>
      <c r="Y246" s="37">
        <v>97.904159947445507</v>
      </c>
      <c r="Z246" s="37">
        <v>97.611999511718807</v>
      </c>
      <c r="AA246" s="94">
        <v>0</v>
      </c>
      <c r="AB246" s="76"/>
      <c r="AC246" s="25"/>
      <c r="AD246" s="25"/>
      <c r="AE246" s="25"/>
      <c r="AF246" s="25"/>
      <c r="AG246" s="25"/>
      <c r="AH246" s="25"/>
      <c r="AI246" s="25"/>
      <c r="AJ246" s="25"/>
      <c r="AK246" s="25"/>
    </row>
    <row r="247" spans="1:37" x14ac:dyDescent="0.35">
      <c r="A247" s="1"/>
      <c r="B247" s="5"/>
      <c r="C247" s="25" t="s">
        <v>389</v>
      </c>
      <c r="D247" s="25" t="s">
        <v>881</v>
      </c>
      <c r="E247" s="25" t="s">
        <v>912</v>
      </c>
      <c r="F247" s="25" t="s">
        <v>913</v>
      </c>
      <c r="G247" s="50">
        <v>1753.3325</v>
      </c>
      <c r="H247" s="50">
        <v>2</v>
      </c>
      <c r="I247" s="37">
        <v>11.7250003814697</v>
      </c>
      <c r="J247" s="37">
        <v>11.7250003814697</v>
      </c>
      <c r="K247" s="37">
        <v>11.7250003814697</v>
      </c>
      <c r="L247" s="37">
        <v>11.7250003814697</v>
      </c>
      <c r="M247" s="37">
        <v>70.133003234863295</v>
      </c>
      <c r="N247" s="37">
        <v>70.133003234863295</v>
      </c>
      <c r="O247" s="37">
        <v>70.133003234863295</v>
      </c>
      <c r="P247" s="37">
        <v>70.133003234863295</v>
      </c>
      <c r="Q247" s="50">
        <v>64175.495999999999</v>
      </c>
      <c r="R247" s="50">
        <v>4</v>
      </c>
      <c r="S247" s="37">
        <v>11.75</v>
      </c>
      <c r="T247" s="37">
        <v>12</v>
      </c>
      <c r="U247" s="37">
        <v>11.932065217391299</v>
      </c>
      <c r="V247" s="37">
        <v>12</v>
      </c>
      <c r="W247" s="37">
        <v>69.7239990234375</v>
      </c>
      <c r="X247" s="37">
        <v>70.161003112792997</v>
      </c>
      <c r="Y247" s="37">
        <v>69.755673284116</v>
      </c>
      <c r="Z247" s="37">
        <v>70.161003112792997</v>
      </c>
      <c r="AA247" s="94">
        <v>0</v>
      </c>
      <c r="AB247" s="76"/>
      <c r="AC247" s="25"/>
      <c r="AD247" s="25"/>
      <c r="AE247" s="25"/>
      <c r="AF247" s="25"/>
      <c r="AG247" s="25"/>
      <c r="AH247" s="25"/>
      <c r="AI247" s="25"/>
      <c r="AJ247" s="25"/>
      <c r="AK247" s="25"/>
    </row>
    <row r="248" spans="1:37" x14ac:dyDescent="0.35">
      <c r="A248" s="1"/>
      <c r="B248" s="5"/>
      <c r="C248" s="25" t="s">
        <v>393</v>
      </c>
      <c r="D248" s="25" t="s">
        <v>881</v>
      </c>
      <c r="E248" s="25" t="s">
        <v>914</v>
      </c>
      <c r="F248" s="25" t="s">
        <v>915</v>
      </c>
      <c r="G248" s="50">
        <v>487388.7562</v>
      </c>
      <c r="H248" s="50">
        <v>10</v>
      </c>
      <c r="I248" s="37">
        <v>11.887000083923301</v>
      </c>
      <c r="J248" s="37">
        <v>11.9099998474121</v>
      </c>
      <c r="K248" s="37">
        <v>11.901975656103501</v>
      </c>
      <c r="L248" s="37">
        <v>11.894000053405801</v>
      </c>
      <c r="M248" s="37">
        <v>105.56600189209</v>
      </c>
      <c r="N248" s="37">
        <v>105.755996704102</v>
      </c>
      <c r="O248" s="37">
        <v>105.632287034133</v>
      </c>
      <c r="P248" s="37">
        <v>105.697998046875</v>
      </c>
      <c r="Q248" s="50">
        <v>119132.189</v>
      </c>
      <c r="R248" s="50">
        <v>5</v>
      </c>
      <c r="S248" s="37">
        <v>4</v>
      </c>
      <c r="T248" s="37">
        <v>11</v>
      </c>
      <c r="U248" s="37">
        <v>7.80530973451327</v>
      </c>
      <c r="V248" s="37">
        <v>11</v>
      </c>
      <c r="W248" s="37">
        <v>105.074996948242</v>
      </c>
      <c r="X248" s="37">
        <v>105.814002990723</v>
      </c>
      <c r="Y248" s="37">
        <v>105.426416312699</v>
      </c>
      <c r="Z248" s="37">
        <v>105.074996948242</v>
      </c>
      <c r="AA248" s="94">
        <v>105896.3</v>
      </c>
      <c r="AB248" s="76"/>
      <c r="AC248" s="50">
        <v>1</v>
      </c>
      <c r="AD248" s="37">
        <v>4.5</v>
      </c>
      <c r="AE248" s="37">
        <v>4.5</v>
      </c>
      <c r="AF248" s="37">
        <v>4.5</v>
      </c>
      <c r="AG248" s="37">
        <v>4.5</v>
      </c>
      <c r="AH248" s="37">
        <v>105.896003723145</v>
      </c>
      <c r="AI248" s="37">
        <v>105.896003723145</v>
      </c>
      <c r="AJ248" s="37">
        <v>105.896003723145</v>
      </c>
      <c r="AK248" s="37">
        <v>105.896003723145</v>
      </c>
    </row>
    <row r="249" spans="1:37" x14ac:dyDescent="0.35">
      <c r="A249" s="1"/>
      <c r="B249" s="5"/>
      <c r="C249" s="25" t="s">
        <v>1102</v>
      </c>
      <c r="D249" s="25" t="s">
        <v>881</v>
      </c>
      <c r="E249" s="25" t="s">
        <v>899</v>
      </c>
      <c r="F249" s="25" t="s">
        <v>900</v>
      </c>
      <c r="G249" s="50">
        <v>4266.04</v>
      </c>
      <c r="H249" s="50">
        <v>1</v>
      </c>
      <c r="I249" s="37">
        <v>12.0900001525879</v>
      </c>
      <c r="J249" s="37">
        <v>12.0900001525879</v>
      </c>
      <c r="K249" s="37">
        <v>12.0900001525879</v>
      </c>
      <c r="L249" s="37">
        <v>12.0900001525879</v>
      </c>
      <c r="M249" s="37">
        <v>85.319999694824205</v>
      </c>
      <c r="N249" s="37">
        <v>85.319999694824205</v>
      </c>
      <c r="O249" s="37">
        <v>85.319999694824205</v>
      </c>
      <c r="P249" s="37">
        <v>85.319999694824205</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x14ac:dyDescent="0.35">
      <c r="A250" s="1"/>
      <c r="B250" s="5"/>
      <c r="C250" s="25" t="s">
        <v>916</v>
      </c>
      <c r="D250" s="25" t="s">
        <v>917</v>
      </c>
      <c r="E250" s="25" t="s">
        <v>888</v>
      </c>
      <c r="F250" s="25" t="s">
        <v>1103</v>
      </c>
      <c r="G250" s="50">
        <v>1.74257</v>
      </c>
      <c r="H250" s="50">
        <v>2</v>
      </c>
      <c r="I250" s="37">
        <v>0</v>
      </c>
      <c r="J250" s="37">
        <v>0</v>
      </c>
      <c r="K250" s="37">
        <v>0</v>
      </c>
      <c r="L250" s="37">
        <v>0</v>
      </c>
      <c r="M250" s="37">
        <v>100</v>
      </c>
      <c r="N250" s="37">
        <v>100.15000152587901</v>
      </c>
      <c r="O250" s="37">
        <v>100.075000762939</v>
      </c>
      <c r="P250" s="37">
        <v>100.15000152587901</v>
      </c>
      <c r="Q250" s="50">
        <v>0</v>
      </c>
      <c r="R250" s="25"/>
      <c r="S250" s="25"/>
      <c r="T250" s="25"/>
      <c r="U250" s="25"/>
      <c r="V250" s="25"/>
      <c r="W250" s="25"/>
      <c r="X250" s="25"/>
      <c r="Y250" s="25"/>
      <c r="Z250" s="25"/>
      <c r="AA250" s="94">
        <v>0</v>
      </c>
      <c r="AB250" s="76"/>
      <c r="AC250" s="25"/>
      <c r="AD250" s="25"/>
      <c r="AE250" s="25"/>
      <c r="AF250" s="25"/>
      <c r="AG250" s="25"/>
      <c r="AH250" s="25"/>
      <c r="AI250" s="25"/>
      <c r="AJ250" s="25"/>
      <c r="AK250" s="25"/>
    </row>
    <row r="251" spans="1:37" x14ac:dyDescent="0.35">
      <c r="A251" s="1"/>
      <c r="B251" s="5"/>
      <c r="C251" s="25" t="s">
        <v>916</v>
      </c>
      <c r="D251" s="25" t="s">
        <v>917</v>
      </c>
      <c r="E251" s="25" t="s">
        <v>1104</v>
      </c>
      <c r="F251" s="25" t="s">
        <v>1105</v>
      </c>
      <c r="G251" s="50">
        <v>57.983958000000001</v>
      </c>
      <c r="H251" s="50">
        <v>1</v>
      </c>
      <c r="I251" s="37">
        <v>0</v>
      </c>
      <c r="J251" s="37">
        <v>0</v>
      </c>
      <c r="K251" s="37">
        <v>0</v>
      </c>
      <c r="L251" s="37">
        <v>0</v>
      </c>
      <c r="M251" s="37">
        <v>99.900001525878906</v>
      </c>
      <c r="N251" s="37">
        <v>99.900001525878906</v>
      </c>
      <c r="O251" s="37">
        <v>99.900001525878906</v>
      </c>
      <c r="P251" s="37">
        <v>99.900001525878906</v>
      </c>
      <c r="Q251" s="50">
        <v>0</v>
      </c>
      <c r="R251" s="25"/>
      <c r="S251" s="25"/>
      <c r="T251" s="25"/>
      <c r="U251" s="25"/>
      <c r="V251" s="25"/>
      <c r="W251" s="25"/>
      <c r="X251" s="25"/>
      <c r="Y251" s="25"/>
      <c r="Z251" s="25"/>
      <c r="AA251" s="94">
        <v>0</v>
      </c>
      <c r="AB251" s="76"/>
      <c r="AC251" s="25"/>
      <c r="AD251" s="25"/>
      <c r="AE251" s="25"/>
      <c r="AF251" s="25"/>
      <c r="AG251" s="25"/>
      <c r="AH251" s="25"/>
      <c r="AI251" s="25"/>
      <c r="AJ251" s="25"/>
      <c r="AK251" s="25"/>
    </row>
    <row r="252" spans="1:37" x14ac:dyDescent="0.35">
      <c r="A252" s="1"/>
      <c r="B252" s="5"/>
      <c r="C252" s="25" t="s">
        <v>916</v>
      </c>
      <c r="D252" s="25" t="s">
        <v>917</v>
      </c>
      <c r="E252" s="25" t="s">
        <v>1106</v>
      </c>
      <c r="F252" s="25" t="s">
        <v>1107</v>
      </c>
      <c r="G252" s="50">
        <v>76.946427999999997</v>
      </c>
      <c r="H252" s="50">
        <v>1</v>
      </c>
      <c r="I252" s="37">
        <v>0</v>
      </c>
      <c r="J252" s="37">
        <v>0</v>
      </c>
      <c r="K252" s="37">
        <v>0</v>
      </c>
      <c r="L252" s="37">
        <v>0</v>
      </c>
      <c r="M252" s="37">
        <v>98.800003051757798</v>
      </c>
      <c r="N252" s="37">
        <v>98.800003051757798</v>
      </c>
      <c r="O252" s="37">
        <v>98.800003051757798</v>
      </c>
      <c r="P252" s="37">
        <v>98.800003051757798</v>
      </c>
      <c r="Q252" s="50">
        <v>0</v>
      </c>
      <c r="R252" s="25"/>
      <c r="S252" s="25"/>
      <c r="T252" s="25"/>
      <c r="U252" s="25"/>
      <c r="V252" s="25"/>
      <c r="W252" s="25"/>
      <c r="X252" s="25"/>
      <c r="Y252" s="25"/>
      <c r="Z252" s="25"/>
      <c r="AA252" s="94">
        <v>0</v>
      </c>
      <c r="AB252" s="76"/>
      <c r="AC252" s="25"/>
      <c r="AD252" s="25"/>
      <c r="AE252" s="25"/>
      <c r="AF252" s="25"/>
      <c r="AG252" s="25"/>
      <c r="AH252" s="25"/>
      <c r="AI252" s="25"/>
      <c r="AJ252" s="25"/>
      <c r="AK252" s="25"/>
    </row>
    <row r="253" spans="1:37" x14ac:dyDescent="0.35">
      <c r="A253" s="1"/>
      <c r="B253" s="5"/>
      <c r="C253" s="25" t="s">
        <v>916</v>
      </c>
      <c r="D253" s="25" t="s">
        <v>917</v>
      </c>
      <c r="E253" s="25" t="s">
        <v>1108</v>
      </c>
      <c r="F253" s="25" t="s">
        <v>1109</v>
      </c>
      <c r="G253" s="50">
        <v>875.27050299999996</v>
      </c>
      <c r="H253" s="50">
        <v>2</v>
      </c>
      <c r="I253" s="37">
        <v>0</v>
      </c>
      <c r="J253" s="37">
        <v>0</v>
      </c>
      <c r="K253" s="37">
        <v>0</v>
      </c>
      <c r="L253" s="37">
        <v>0</v>
      </c>
      <c r="M253" s="37">
        <v>100.01999664306599</v>
      </c>
      <c r="N253" s="37">
        <v>100.040000915527</v>
      </c>
      <c r="O253" s="37">
        <v>100.029998779297</v>
      </c>
      <c r="P253" s="37">
        <v>100.01999664306599</v>
      </c>
      <c r="Q253" s="50">
        <v>0</v>
      </c>
      <c r="R253" s="25"/>
      <c r="S253" s="25"/>
      <c r="T253" s="25"/>
      <c r="U253" s="25"/>
      <c r="V253" s="25"/>
      <c r="W253" s="25"/>
      <c r="X253" s="25"/>
      <c r="Y253" s="25"/>
      <c r="Z253" s="25"/>
      <c r="AA253" s="94">
        <v>0</v>
      </c>
      <c r="AB253" s="76"/>
      <c r="AC253" s="25"/>
      <c r="AD253" s="25"/>
      <c r="AE253" s="25"/>
      <c r="AF253" s="25"/>
      <c r="AG253" s="25"/>
      <c r="AH253" s="25"/>
      <c r="AI253" s="25"/>
      <c r="AJ253" s="25"/>
      <c r="AK253" s="25"/>
    </row>
    <row r="254" spans="1:37" x14ac:dyDescent="0.35">
      <c r="A254" s="1"/>
      <c r="B254" s="5"/>
      <c r="C254" s="25" t="s">
        <v>916</v>
      </c>
      <c r="D254" s="25" t="s">
        <v>917</v>
      </c>
      <c r="E254" s="25" t="s">
        <v>1110</v>
      </c>
      <c r="F254" s="25" t="s">
        <v>1111</v>
      </c>
      <c r="G254" s="50">
        <v>69.938940000000002</v>
      </c>
      <c r="H254" s="50">
        <v>1</v>
      </c>
      <c r="I254" s="37">
        <v>0</v>
      </c>
      <c r="J254" s="37">
        <v>0</v>
      </c>
      <c r="K254" s="37">
        <v>0</v>
      </c>
      <c r="L254" s="37">
        <v>0</v>
      </c>
      <c r="M254" s="37">
        <v>98.5</v>
      </c>
      <c r="N254" s="37">
        <v>98.5</v>
      </c>
      <c r="O254" s="37">
        <v>98.5</v>
      </c>
      <c r="P254" s="37">
        <v>98.5</v>
      </c>
      <c r="Q254" s="50">
        <v>0</v>
      </c>
      <c r="R254" s="25"/>
      <c r="S254" s="25"/>
      <c r="T254" s="25"/>
      <c r="U254" s="25"/>
      <c r="V254" s="25"/>
      <c r="W254" s="25"/>
      <c r="X254" s="25"/>
      <c r="Y254" s="25"/>
      <c r="Z254" s="25"/>
      <c r="AA254" s="94">
        <v>0</v>
      </c>
      <c r="AB254" s="76"/>
      <c r="AC254" s="25"/>
      <c r="AD254" s="25"/>
      <c r="AE254" s="25"/>
      <c r="AF254" s="25"/>
      <c r="AG254" s="25"/>
      <c r="AH254" s="25"/>
      <c r="AI254" s="25"/>
      <c r="AJ254" s="25"/>
      <c r="AK254" s="25"/>
    </row>
    <row r="255" spans="1:37" x14ac:dyDescent="0.35">
      <c r="A255" s="1"/>
      <c r="B255" s="5"/>
      <c r="C255" s="25" t="s">
        <v>916</v>
      </c>
      <c r="D255" s="25" t="s">
        <v>917</v>
      </c>
      <c r="E255" s="25" t="s">
        <v>1112</v>
      </c>
      <c r="F255" s="25" t="s">
        <v>1113</v>
      </c>
      <c r="G255" s="50">
        <v>4327.1928479999997</v>
      </c>
      <c r="H255" s="50">
        <v>2</v>
      </c>
      <c r="I255" s="37">
        <v>0</v>
      </c>
      <c r="J255" s="37">
        <v>0</v>
      </c>
      <c r="K255" s="37">
        <v>0</v>
      </c>
      <c r="L255" s="37">
        <v>0</v>
      </c>
      <c r="M255" s="37">
        <v>100</v>
      </c>
      <c r="N255" s="37">
        <v>100.129997253418</v>
      </c>
      <c r="O255" s="37">
        <v>100.064998626709</v>
      </c>
      <c r="P255" s="37">
        <v>100.129997253418</v>
      </c>
      <c r="Q255" s="50">
        <v>0</v>
      </c>
      <c r="R255" s="25"/>
      <c r="S255" s="25"/>
      <c r="T255" s="25"/>
      <c r="U255" s="25"/>
      <c r="V255" s="25"/>
      <c r="W255" s="25"/>
      <c r="X255" s="25"/>
      <c r="Y255" s="25"/>
      <c r="Z255" s="25"/>
      <c r="AA255" s="94">
        <v>0</v>
      </c>
      <c r="AB255" s="76"/>
      <c r="AC255" s="25"/>
      <c r="AD255" s="25"/>
      <c r="AE255" s="25"/>
      <c r="AF255" s="25"/>
      <c r="AG255" s="25"/>
      <c r="AH255" s="25"/>
      <c r="AI255" s="25"/>
      <c r="AJ255" s="25"/>
      <c r="AK255" s="25"/>
    </row>
    <row r="256" spans="1:37" x14ac:dyDescent="0.35">
      <c r="A256" s="1"/>
      <c r="B256" s="5"/>
      <c r="C256" s="25" t="s">
        <v>916</v>
      </c>
      <c r="D256" s="25" t="s">
        <v>917</v>
      </c>
      <c r="E256" s="25" t="s">
        <v>1114</v>
      </c>
      <c r="F256" s="25" t="s">
        <v>1115</v>
      </c>
      <c r="G256" s="50">
        <v>125.363764</v>
      </c>
      <c r="H256" s="50">
        <v>1</v>
      </c>
      <c r="I256" s="37">
        <v>0</v>
      </c>
      <c r="J256" s="37">
        <v>0</v>
      </c>
      <c r="K256" s="37">
        <v>0</v>
      </c>
      <c r="L256" s="37">
        <v>0</v>
      </c>
      <c r="M256" s="37">
        <v>100.15000152587901</v>
      </c>
      <c r="N256" s="37">
        <v>100.15000152587901</v>
      </c>
      <c r="O256" s="37">
        <v>100.15000152587901</v>
      </c>
      <c r="P256" s="37">
        <v>100.15000152587901</v>
      </c>
      <c r="Q256" s="50">
        <v>0</v>
      </c>
      <c r="R256" s="25"/>
      <c r="S256" s="25"/>
      <c r="T256" s="25"/>
      <c r="U256" s="25"/>
      <c r="V256" s="25"/>
      <c r="W256" s="25"/>
      <c r="X256" s="25"/>
      <c r="Y256" s="25"/>
      <c r="Z256" s="25"/>
      <c r="AA256" s="94">
        <v>0</v>
      </c>
      <c r="AB256" s="76"/>
      <c r="AC256" s="25"/>
      <c r="AD256" s="25"/>
      <c r="AE256" s="25"/>
      <c r="AF256" s="25"/>
      <c r="AG256" s="25"/>
      <c r="AH256" s="25"/>
      <c r="AI256" s="25"/>
      <c r="AJ256" s="25"/>
      <c r="AK256" s="25"/>
    </row>
    <row r="257" spans="1:37" x14ac:dyDescent="0.35">
      <c r="A257" s="1"/>
      <c r="B257" s="5"/>
      <c r="C257" s="25" t="s">
        <v>916</v>
      </c>
      <c r="D257" s="25" t="s">
        <v>917</v>
      </c>
      <c r="E257" s="25" t="s">
        <v>748</v>
      </c>
      <c r="F257" s="25" t="s">
        <v>1116</v>
      </c>
      <c r="G257" s="50">
        <v>116.73555899999999</v>
      </c>
      <c r="H257" s="50">
        <v>1</v>
      </c>
      <c r="I257" s="37">
        <v>0</v>
      </c>
      <c r="J257" s="37">
        <v>0</v>
      </c>
      <c r="K257" s="37">
        <v>0</v>
      </c>
      <c r="L257" s="37">
        <v>0</v>
      </c>
      <c r="M257" s="37">
        <v>100.129997253418</v>
      </c>
      <c r="N257" s="37">
        <v>100.129997253418</v>
      </c>
      <c r="O257" s="37">
        <v>100.129997253418</v>
      </c>
      <c r="P257" s="37">
        <v>100.129997253418</v>
      </c>
      <c r="Q257" s="50">
        <v>0</v>
      </c>
      <c r="R257" s="25"/>
      <c r="S257" s="25"/>
      <c r="T257" s="25"/>
      <c r="U257" s="25"/>
      <c r="V257" s="25"/>
      <c r="W257" s="25"/>
      <c r="X257" s="25"/>
      <c r="Y257" s="25"/>
      <c r="Z257" s="25"/>
      <c r="AA257" s="94">
        <v>0</v>
      </c>
      <c r="AB257" s="76"/>
      <c r="AC257" s="25"/>
      <c r="AD257" s="25"/>
      <c r="AE257" s="25"/>
      <c r="AF257" s="25"/>
      <c r="AG257" s="25"/>
      <c r="AH257" s="25"/>
      <c r="AI257" s="25"/>
      <c r="AJ257" s="25"/>
      <c r="AK257" s="25"/>
    </row>
    <row r="258" spans="1:37" x14ac:dyDescent="0.35">
      <c r="A258" s="1"/>
      <c r="B258" s="5"/>
      <c r="C258" s="25" t="s">
        <v>916</v>
      </c>
      <c r="D258" s="25" t="s">
        <v>917</v>
      </c>
      <c r="E258" s="25" t="s">
        <v>1117</v>
      </c>
      <c r="F258" s="25" t="s">
        <v>1118</v>
      </c>
      <c r="G258" s="50">
        <v>60.613945000000001</v>
      </c>
      <c r="H258" s="50">
        <v>1</v>
      </c>
      <c r="I258" s="37">
        <v>0</v>
      </c>
      <c r="J258" s="37">
        <v>0</v>
      </c>
      <c r="K258" s="37">
        <v>0</v>
      </c>
      <c r="L258" s="37">
        <v>0</v>
      </c>
      <c r="M258" s="37">
        <v>98.5</v>
      </c>
      <c r="N258" s="37">
        <v>98.5</v>
      </c>
      <c r="O258" s="37">
        <v>98.5</v>
      </c>
      <c r="P258" s="37">
        <v>98.5</v>
      </c>
      <c r="Q258" s="50">
        <v>0</v>
      </c>
      <c r="R258" s="25"/>
      <c r="S258" s="25"/>
      <c r="T258" s="25"/>
      <c r="U258" s="25"/>
      <c r="V258" s="25"/>
      <c r="W258" s="25"/>
      <c r="X258" s="25"/>
      <c r="Y258" s="25"/>
      <c r="Z258" s="25"/>
      <c r="AA258" s="94">
        <v>0</v>
      </c>
      <c r="AB258" s="76"/>
      <c r="AC258" s="25"/>
      <c r="AD258" s="25"/>
      <c r="AE258" s="25"/>
      <c r="AF258" s="25"/>
      <c r="AG258" s="25"/>
      <c r="AH258" s="25"/>
      <c r="AI258" s="25"/>
      <c r="AJ258" s="25"/>
      <c r="AK258" s="25"/>
    </row>
    <row r="259" spans="1:37" x14ac:dyDescent="0.35">
      <c r="A259" s="1"/>
      <c r="B259" s="5"/>
      <c r="C259" s="25" t="s">
        <v>916</v>
      </c>
      <c r="D259" s="25" t="s">
        <v>917</v>
      </c>
      <c r="E259" s="25" t="s">
        <v>492</v>
      </c>
      <c r="F259" s="25" t="s">
        <v>1119</v>
      </c>
      <c r="G259" s="50">
        <v>2074.6445720000002</v>
      </c>
      <c r="H259" s="50">
        <v>2</v>
      </c>
      <c r="I259" s="37">
        <v>0</v>
      </c>
      <c r="J259" s="37">
        <v>0</v>
      </c>
      <c r="K259" s="37">
        <v>0</v>
      </c>
      <c r="L259" s="37">
        <v>0</v>
      </c>
      <c r="M259" s="37">
        <v>100</v>
      </c>
      <c r="N259" s="37">
        <v>100.199996948242</v>
      </c>
      <c r="O259" s="37">
        <v>100.09999847412099</v>
      </c>
      <c r="P259" s="37">
        <v>100</v>
      </c>
      <c r="Q259" s="50">
        <v>0</v>
      </c>
      <c r="R259" s="25"/>
      <c r="S259" s="25"/>
      <c r="T259" s="25"/>
      <c r="U259" s="25"/>
      <c r="V259" s="25"/>
      <c r="W259" s="25"/>
      <c r="X259" s="25"/>
      <c r="Y259" s="25"/>
      <c r="Z259" s="25"/>
      <c r="AA259" s="94">
        <v>0</v>
      </c>
      <c r="AB259" s="76"/>
      <c r="AC259" s="25"/>
      <c r="AD259" s="25"/>
      <c r="AE259" s="25"/>
      <c r="AF259" s="25"/>
      <c r="AG259" s="25"/>
      <c r="AH259" s="25"/>
      <c r="AI259" s="25"/>
      <c r="AJ259" s="25"/>
      <c r="AK259" s="25"/>
    </row>
    <row r="260" spans="1:37" x14ac:dyDescent="0.35">
      <c r="A260" s="1"/>
      <c r="B260" s="5"/>
      <c r="C260" s="25" t="s">
        <v>916</v>
      </c>
      <c r="D260" s="25" t="s">
        <v>917</v>
      </c>
      <c r="E260" s="25" t="s">
        <v>493</v>
      </c>
      <c r="F260" s="25" t="s">
        <v>1120</v>
      </c>
      <c r="G260" s="50">
        <v>182.25346099999999</v>
      </c>
      <c r="H260" s="50">
        <v>1</v>
      </c>
      <c r="I260" s="37">
        <v>0</v>
      </c>
      <c r="J260" s="37">
        <v>0</v>
      </c>
      <c r="K260" s="37">
        <v>0</v>
      </c>
      <c r="L260" s="37">
        <v>0</v>
      </c>
      <c r="M260" s="37">
        <v>100.129997253418</v>
      </c>
      <c r="N260" s="37">
        <v>100.129997253418</v>
      </c>
      <c r="O260" s="37">
        <v>100.129997253418</v>
      </c>
      <c r="P260" s="37">
        <v>100.129997253418</v>
      </c>
      <c r="Q260" s="50">
        <v>0</v>
      </c>
      <c r="R260" s="25"/>
      <c r="S260" s="25"/>
      <c r="T260" s="25"/>
      <c r="U260" s="25"/>
      <c r="V260" s="25"/>
      <c r="W260" s="25"/>
      <c r="X260" s="25"/>
      <c r="Y260" s="25"/>
      <c r="Z260" s="25"/>
      <c r="AA260" s="94">
        <v>0</v>
      </c>
      <c r="AB260" s="76"/>
      <c r="AC260" s="25"/>
      <c r="AD260" s="25"/>
      <c r="AE260" s="25"/>
      <c r="AF260" s="25"/>
      <c r="AG260" s="25"/>
      <c r="AH260" s="25"/>
      <c r="AI260" s="25"/>
      <c r="AJ260" s="25"/>
      <c r="AK260" s="25"/>
    </row>
    <row r="261" spans="1:37" x14ac:dyDescent="0.35">
      <c r="A261" s="1"/>
      <c r="B261" s="5"/>
      <c r="C261" s="25" t="s">
        <v>916</v>
      </c>
      <c r="D261" s="25" t="s">
        <v>917</v>
      </c>
      <c r="E261" s="25" t="s">
        <v>495</v>
      </c>
      <c r="F261" s="25" t="s">
        <v>1121</v>
      </c>
      <c r="G261" s="50">
        <v>57.703270000000003</v>
      </c>
      <c r="H261" s="50">
        <v>1</v>
      </c>
      <c r="I261" s="37">
        <v>0</v>
      </c>
      <c r="J261" s="37">
        <v>0</v>
      </c>
      <c r="K261" s="37">
        <v>0</v>
      </c>
      <c r="L261" s="37">
        <v>0</v>
      </c>
      <c r="M261" s="37">
        <v>98.5</v>
      </c>
      <c r="N261" s="37">
        <v>98.5</v>
      </c>
      <c r="O261" s="37">
        <v>98.5</v>
      </c>
      <c r="P261" s="37">
        <v>98.5</v>
      </c>
      <c r="Q261" s="50">
        <v>0</v>
      </c>
      <c r="R261" s="25"/>
      <c r="S261" s="25"/>
      <c r="T261" s="25"/>
      <c r="U261" s="25"/>
      <c r="V261" s="25"/>
      <c r="W261" s="25"/>
      <c r="X261" s="25"/>
      <c r="Y261" s="25"/>
      <c r="Z261" s="25"/>
      <c r="AA261" s="94">
        <v>0</v>
      </c>
      <c r="AB261" s="76"/>
      <c r="AC261" s="25"/>
      <c r="AD261" s="25"/>
      <c r="AE261" s="25"/>
      <c r="AF261" s="25"/>
      <c r="AG261" s="25"/>
      <c r="AH261" s="25"/>
      <c r="AI261" s="25"/>
      <c r="AJ261" s="25"/>
      <c r="AK261" s="25"/>
    </row>
    <row r="262" spans="1:37" x14ac:dyDescent="0.35">
      <c r="A262" s="1"/>
      <c r="B262" s="5"/>
      <c r="C262" s="25" t="s">
        <v>916</v>
      </c>
      <c r="D262" s="25" t="s">
        <v>917</v>
      </c>
      <c r="E262" s="25" t="s">
        <v>498</v>
      </c>
      <c r="F262" s="25" t="s">
        <v>1122</v>
      </c>
      <c r="G262" s="50">
        <v>11023.017996</v>
      </c>
      <c r="H262" s="50">
        <v>2</v>
      </c>
      <c r="I262" s="37">
        <v>0</v>
      </c>
      <c r="J262" s="37">
        <v>0</v>
      </c>
      <c r="K262" s="37">
        <v>0</v>
      </c>
      <c r="L262" s="37">
        <v>0</v>
      </c>
      <c r="M262" s="37">
        <v>100.080001831055</v>
      </c>
      <c r="N262" s="37">
        <v>100.139999389648</v>
      </c>
      <c r="O262" s="37">
        <v>100.110000610352</v>
      </c>
      <c r="P262" s="37">
        <v>100.139999389648</v>
      </c>
      <c r="Q262" s="50">
        <v>0</v>
      </c>
      <c r="R262" s="25"/>
      <c r="S262" s="25"/>
      <c r="T262" s="25"/>
      <c r="U262" s="25"/>
      <c r="V262" s="25"/>
      <c r="W262" s="25"/>
      <c r="X262" s="25"/>
      <c r="Y262" s="25"/>
      <c r="Z262" s="25"/>
      <c r="AA262" s="94">
        <v>0</v>
      </c>
      <c r="AB262" s="76"/>
      <c r="AC262" s="25"/>
      <c r="AD262" s="25"/>
      <c r="AE262" s="25"/>
      <c r="AF262" s="25"/>
      <c r="AG262" s="25"/>
      <c r="AH262" s="25"/>
      <c r="AI262" s="25"/>
      <c r="AJ262" s="25"/>
      <c r="AK262" s="25"/>
    </row>
    <row r="263" spans="1:37" x14ac:dyDescent="0.35">
      <c r="A263" s="1"/>
      <c r="B263" s="5"/>
      <c r="C263" s="25" t="s">
        <v>916</v>
      </c>
      <c r="D263" s="25" t="s">
        <v>917</v>
      </c>
      <c r="E263" s="25" t="s">
        <v>499</v>
      </c>
      <c r="F263" s="25" t="s">
        <v>1123</v>
      </c>
      <c r="G263" s="50">
        <v>92.435912999999999</v>
      </c>
      <c r="H263" s="50">
        <v>1</v>
      </c>
      <c r="I263" s="37">
        <v>0</v>
      </c>
      <c r="J263" s="37">
        <v>0</v>
      </c>
      <c r="K263" s="37">
        <v>0</v>
      </c>
      <c r="L263" s="37">
        <v>0</v>
      </c>
      <c r="M263" s="37">
        <v>100.220001220703</v>
      </c>
      <c r="N263" s="37">
        <v>100.220001220703</v>
      </c>
      <c r="O263" s="37">
        <v>100.220001220703</v>
      </c>
      <c r="P263" s="37">
        <v>100.220001220703</v>
      </c>
      <c r="Q263" s="50">
        <v>0</v>
      </c>
      <c r="R263" s="25"/>
      <c r="S263" s="25"/>
      <c r="T263" s="25"/>
      <c r="U263" s="25"/>
      <c r="V263" s="25"/>
      <c r="W263" s="25"/>
      <c r="X263" s="25"/>
      <c r="Y263" s="25"/>
      <c r="Z263" s="25"/>
      <c r="AA263" s="94">
        <v>0</v>
      </c>
      <c r="AB263" s="76"/>
      <c r="AC263" s="25"/>
      <c r="AD263" s="25"/>
      <c r="AE263" s="25"/>
      <c r="AF263" s="25"/>
      <c r="AG263" s="25"/>
      <c r="AH263" s="25"/>
      <c r="AI263" s="25"/>
      <c r="AJ263" s="25"/>
      <c r="AK263" s="25"/>
    </row>
    <row r="264" spans="1:37" x14ac:dyDescent="0.35">
      <c r="A264" s="1"/>
      <c r="B264" s="5"/>
      <c r="C264" s="25" t="s">
        <v>916</v>
      </c>
      <c r="D264" s="25" t="s">
        <v>917</v>
      </c>
      <c r="E264" s="25" t="s">
        <v>501</v>
      </c>
      <c r="F264" s="25" t="s">
        <v>1124</v>
      </c>
      <c r="G264" s="50">
        <v>13345.386896</v>
      </c>
      <c r="H264" s="50">
        <v>4</v>
      </c>
      <c r="I264" s="37">
        <v>0</v>
      </c>
      <c r="J264" s="37">
        <v>0</v>
      </c>
      <c r="K264" s="37">
        <v>0</v>
      </c>
      <c r="L264" s="37">
        <v>0</v>
      </c>
      <c r="M264" s="37">
        <v>100</v>
      </c>
      <c r="N264" s="37">
        <v>100.15000152587901</v>
      </c>
      <c r="O264" s="37">
        <v>100.084000404479</v>
      </c>
      <c r="P264" s="37">
        <v>100.05999755859401</v>
      </c>
      <c r="Q264" s="50">
        <v>0</v>
      </c>
      <c r="R264" s="25"/>
      <c r="S264" s="25"/>
      <c r="T264" s="25"/>
      <c r="U264" s="25"/>
      <c r="V264" s="25"/>
      <c r="W264" s="25"/>
      <c r="X264" s="25"/>
      <c r="Y264" s="25"/>
      <c r="Z264" s="25"/>
      <c r="AA264" s="94">
        <v>0</v>
      </c>
      <c r="AB264" s="76"/>
      <c r="AC264" s="25"/>
      <c r="AD264" s="25"/>
      <c r="AE264" s="25"/>
      <c r="AF264" s="25"/>
      <c r="AG264" s="25"/>
      <c r="AH264" s="25"/>
      <c r="AI264" s="25"/>
      <c r="AJ264" s="25"/>
      <c r="AK264" s="25"/>
    </row>
    <row r="265" spans="1:37" x14ac:dyDescent="0.35">
      <c r="A265" s="1"/>
      <c r="B265" s="5"/>
      <c r="C265" s="25" t="s">
        <v>916</v>
      </c>
      <c r="D265" s="25" t="s">
        <v>917</v>
      </c>
      <c r="E265" s="25" t="s">
        <v>502</v>
      </c>
      <c r="F265" s="25" t="s">
        <v>837</v>
      </c>
      <c r="G265" s="50">
        <v>10799.908771</v>
      </c>
      <c r="H265" s="50">
        <v>7</v>
      </c>
      <c r="I265" s="37">
        <v>0</v>
      </c>
      <c r="J265" s="37">
        <v>0</v>
      </c>
      <c r="K265" s="37">
        <v>0</v>
      </c>
      <c r="L265" s="37">
        <v>0</v>
      </c>
      <c r="M265" s="37">
        <v>100.09999847412099</v>
      </c>
      <c r="N265" s="37">
        <v>100.15000152587901</v>
      </c>
      <c r="O265" s="37">
        <v>100.110630956294</v>
      </c>
      <c r="P265" s="37">
        <v>100.120002746582</v>
      </c>
      <c r="Q265" s="50">
        <v>0</v>
      </c>
      <c r="R265" s="25"/>
      <c r="S265" s="25"/>
      <c r="T265" s="25"/>
      <c r="U265" s="25"/>
      <c r="V265" s="25"/>
      <c r="W265" s="25"/>
      <c r="X265" s="25"/>
      <c r="Y265" s="25"/>
      <c r="Z265" s="25"/>
      <c r="AA265" s="94">
        <v>0</v>
      </c>
      <c r="AB265" s="76"/>
      <c r="AC265" s="25"/>
      <c r="AD265" s="25"/>
      <c r="AE265" s="25"/>
      <c r="AF265" s="25"/>
      <c r="AG265" s="25"/>
      <c r="AH265" s="25"/>
      <c r="AI265" s="25"/>
      <c r="AJ265" s="25"/>
      <c r="AK265" s="25"/>
    </row>
    <row r="266" spans="1:37" x14ac:dyDescent="0.35">
      <c r="A266" s="1"/>
      <c r="B266" s="5"/>
      <c r="C266" s="25" t="s">
        <v>916</v>
      </c>
      <c r="D266" s="25" t="s">
        <v>917</v>
      </c>
      <c r="E266" s="25" t="s">
        <v>503</v>
      </c>
      <c r="F266" s="25" t="s">
        <v>1125</v>
      </c>
      <c r="G266" s="50">
        <v>545.83317999999997</v>
      </c>
      <c r="H266" s="50">
        <v>4</v>
      </c>
      <c r="I266" s="37">
        <v>0</v>
      </c>
      <c r="J266" s="37">
        <v>0</v>
      </c>
      <c r="K266" s="37">
        <v>0</v>
      </c>
      <c r="L266" s="37">
        <v>0</v>
      </c>
      <c r="M266" s="37">
        <v>99.25</v>
      </c>
      <c r="N266" s="37">
        <v>100.129997253418</v>
      </c>
      <c r="O266" s="37">
        <v>99.789605539546301</v>
      </c>
      <c r="P266" s="37">
        <v>100.129997253418</v>
      </c>
      <c r="Q266" s="50">
        <v>0</v>
      </c>
      <c r="R266" s="25"/>
      <c r="S266" s="25"/>
      <c r="T266" s="25"/>
      <c r="U266" s="25"/>
      <c r="V266" s="25"/>
      <c r="W266" s="25"/>
      <c r="X266" s="25"/>
      <c r="Y266" s="25"/>
      <c r="Z266" s="25"/>
      <c r="AA266" s="94">
        <v>0</v>
      </c>
      <c r="AB266" s="76"/>
      <c r="AC266" s="25"/>
      <c r="AD266" s="25"/>
      <c r="AE266" s="25"/>
      <c r="AF266" s="25"/>
      <c r="AG266" s="25"/>
      <c r="AH266" s="25"/>
      <c r="AI266" s="25"/>
      <c r="AJ266" s="25"/>
      <c r="AK266" s="25"/>
    </row>
    <row r="267" spans="1:37" x14ac:dyDescent="0.35">
      <c r="A267" s="1"/>
      <c r="B267" s="5"/>
      <c r="C267" s="25" t="s">
        <v>916</v>
      </c>
      <c r="D267" s="25" t="s">
        <v>917</v>
      </c>
      <c r="E267" s="25" t="s">
        <v>504</v>
      </c>
      <c r="F267" s="25" t="s">
        <v>918</v>
      </c>
      <c r="G267" s="50">
        <v>1623.3400630000001</v>
      </c>
      <c r="H267" s="50">
        <v>5</v>
      </c>
      <c r="I267" s="37">
        <v>0</v>
      </c>
      <c r="J267" s="37">
        <v>0</v>
      </c>
      <c r="K267" s="37">
        <v>0</v>
      </c>
      <c r="L267" s="37">
        <v>0</v>
      </c>
      <c r="M267" s="37">
        <v>99.400001525878906</v>
      </c>
      <c r="N267" s="37">
        <v>100.199996948242</v>
      </c>
      <c r="O267" s="37">
        <v>99.848201692449805</v>
      </c>
      <c r="P267" s="37">
        <v>100.199996948242</v>
      </c>
      <c r="Q267" s="50">
        <v>0</v>
      </c>
      <c r="R267" s="25"/>
      <c r="S267" s="25"/>
      <c r="T267" s="25"/>
      <c r="U267" s="25"/>
      <c r="V267" s="25"/>
      <c r="W267" s="25"/>
      <c r="X267" s="25"/>
      <c r="Y267" s="25"/>
      <c r="Z267" s="25"/>
      <c r="AA267" s="94">
        <v>0</v>
      </c>
      <c r="AB267" s="76"/>
      <c r="AC267" s="25"/>
      <c r="AD267" s="25"/>
      <c r="AE267" s="25"/>
      <c r="AF267" s="25"/>
      <c r="AG267" s="25"/>
      <c r="AH267" s="25"/>
      <c r="AI267" s="25"/>
      <c r="AJ267" s="25"/>
      <c r="AK267" s="25"/>
    </row>
    <row r="268" spans="1:37" x14ac:dyDescent="0.35">
      <c r="A268" s="1"/>
      <c r="B268" s="5"/>
      <c r="C268" s="25" t="s">
        <v>916</v>
      </c>
      <c r="D268" s="25" t="s">
        <v>917</v>
      </c>
      <c r="E268" s="25" t="s">
        <v>506</v>
      </c>
      <c r="F268" s="25" t="s">
        <v>1126</v>
      </c>
      <c r="G268" s="50">
        <v>520.27767800000004</v>
      </c>
      <c r="H268" s="50">
        <v>4</v>
      </c>
      <c r="I268" s="37">
        <v>0</v>
      </c>
      <c r="J268" s="37">
        <v>0</v>
      </c>
      <c r="K268" s="37">
        <v>0</v>
      </c>
      <c r="L268" s="37">
        <v>0</v>
      </c>
      <c r="M268" s="37">
        <v>98.5</v>
      </c>
      <c r="N268" s="37">
        <v>100.15000152587901</v>
      </c>
      <c r="O268" s="37">
        <v>99.7149443156014</v>
      </c>
      <c r="P268" s="37">
        <v>100.15000152587901</v>
      </c>
      <c r="Q268" s="50">
        <v>0</v>
      </c>
      <c r="R268" s="25"/>
      <c r="S268" s="25"/>
      <c r="T268" s="25"/>
      <c r="U268" s="25"/>
      <c r="V268" s="25"/>
      <c r="W268" s="25"/>
      <c r="X268" s="25"/>
      <c r="Y268" s="25"/>
      <c r="Z268" s="25"/>
      <c r="AA268" s="94">
        <v>0</v>
      </c>
      <c r="AB268" s="76"/>
      <c r="AC268" s="25"/>
      <c r="AD268" s="25"/>
      <c r="AE268" s="25"/>
      <c r="AF268" s="25"/>
      <c r="AG268" s="25"/>
      <c r="AH268" s="25"/>
      <c r="AI268" s="25"/>
      <c r="AJ268" s="25"/>
      <c r="AK268" s="25"/>
    </row>
    <row r="269" spans="1:37" x14ac:dyDescent="0.35">
      <c r="A269" s="1"/>
      <c r="B269" s="5"/>
      <c r="C269" s="25" t="s">
        <v>916</v>
      </c>
      <c r="D269" s="25" t="s">
        <v>917</v>
      </c>
      <c r="E269" s="25" t="s">
        <v>507</v>
      </c>
      <c r="F269" s="25" t="s">
        <v>834</v>
      </c>
      <c r="G269" s="50">
        <v>454.39966800000002</v>
      </c>
      <c r="H269" s="50">
        <v>3</v>
      </c>
      <c r="I269" s="37">
        <v>0</v>
      </c>
      <c r="J269" s="37">
        <v>0</v>
      </c>
      <c r="K269" s="37">
        <v>0</v>
      </c>
      <c r="L269" s="37">
        <v>0</v>
      </c>
      <c r="M269" s="37">
        <v>98.5</v>
      </c>
      <c r="N269" s="37">
        <v>100.199996948242</v>
      </c>
      <c r="O269" s="37">
        <v>99.440572404775097</v>
      </c>
      <c r="P269" s="37">
        <v>99</v>
      </c>
      <c r="Q269" s="50">
        <v>0</v>
      </c>
      <c r="R269" s="25"/>
      <c r="S269" s="25"/>
      <c r="T269" s="25"/>
      <c r="U269" s="25"/>
      <c r="V269" s="25"/>
      <c r="W269" s="25"/>
      <c r="X269" s="25"/>
      <c r="Y269" s="25"/>
      <c r="Z269" s="25"/>
      <c r="AA269" s="94">
        <v>0</v>
      </c>
      <c r="AB269" s="76"/>
      <c r="AC269" s="25"/>
      <c r="AD269" s="25"/>
      <c r="AE269" s="25"/>
      <c r="AF269" s="25"/>
      <c r="AG269" s="25"/>
      <c r="AH269" s="25"/>
      <c r="AI269" s="25"/>
      <c r="AJ269" s="25"/>
      <c r="AK269" s="25"/>
    </row>
    <row r="270" spans="1:37" x14ac:dyDescent="0.35">
      <c r="A270" s="1"/>
      <c r="B270" s="5"/>
      <c r="C270" s="25" t="s">
        <v>916</v>
      </c>
      <c r="D270" s="25" t="s">
        <v>917</v>
      </c>
      <c r="E270" s="25" t="s">
        <v>508</v>
      </c>
      <c r="F270" s="25" t="s">
        <v>919</v>
      </c>
      <c r="G270" s="50">
        <v>11793.630335</v>
      </c>
      <c r="H270" s="50">
        <v>15</v>
      </c>
      <c r="I270" s="37">
        <v>0</v>
      </c>
      <c r="J270" s="37">
        <v>0</v>
      </c>
      <c r="K270" s="37">
        <v>0</v>
      </c>
      <c r="L270" s="37">
        <v>0</v>
      </c>
      <c r="M270" s="37">
        <v>99.050003051757798</v>
      </c>
      <c r="N270" s="37">
        <v>100.199996948242</v>
      </c>
      <c r="O270" s="37">
        <v>99.863464907954295</v>
      </c>
      <c r="P270" s="37">
        <v>100.129997253418</v>
      </c>
      <c r="Q270" s="50">
        <v>0</v>
      </c>
      <c r="R270" s="25"/>
      <c r="S270" s="25"/>
      <c r="T270" s="25"/>
      <c r="U270" s="25"/>
      <c r="V270" s="25"/>
      <c r="W270" s="25"/>
      <c r="X270" s="25"/>
      <c r="Y270" s="25"/>
      <c r="Z270" s="25"/>
      <c r="AA270" s="94">
        <v>0</v>
      </c>
      <c r="AB270" s="76"/>
      <c r="AC270" s="25"/>
      <c r="AD270" s="25"/>
      <c r="AE270" s="25"/>
      <c r="AF270" s="25"/>
      <c r="AG270" s="25"/>
      <c r="AH270" s="25"/>
      <c r="AI270" s="25"/>
      <c r="AJ270" s="25"/>
      <c r="AK270" s="25"/>
    </row>
    <row r="271" spans="1:37" x14ac:dyDescent="0.35">
      <c r="A271" s="1"/>
      <c r="B271" s="5"/>
      <c r="C271" s="25" t="s">
        <v>916</v>
      </c>
      <c r="D271" s="25" t="s">
        <v>917</v>
      </c>
      <c r="E271" s="25" t="s">
        <v>509</v>
      </c>
      <c r="F271" s="25" t="s">
        <v>1127</v>
      </c>
      <c r="G271" s="50">
        <v>2655.7599759999998</v>
      </c>
      <c r="H271" s="50">
        <v>4</v>
      </c>
      <c r="I271" s="37">
        <v>0</v>
      </c>
      <c r="J271" s="37">
        <v>0</v>
      </c>
      <c r="K271" s="37">
        <v>0</v>
      </c>
      <c r="L271" s="37">
        <v>0</v>
      </c>
      <c r="M271" s="37">
        <v>99.699996948242202</v>
      </c>
      <c r="N271" s="37">
        <v>100.18000030517599</v>
      </c>
      <c r="O271" s="37">
        <v>100.109013077611</v>
      </c>
      <c r="P271" s="37">
        <v>100.18000030517599</v>
      </c>
      <c r="Q271" s="50">
        <v>0</v>
      </c>
      <c r="R271" s="25"/>
      <c r="S271" s="25"/>
      <c r="T271" s="25"/>
      <c r="U271" s="25"/>
      <c r="V271" s="25"/>
      <c r="W271" s="25"/>
      <c r="X271" s="25"/>
      <c r="Y271" s="25"/>
      <c r="Z271" s="25"/>
      <c r="AA271" s="94">
        <v>0</v>
      </c>
      <c r="AB271" s="76"/>
      <c r="AC271" s="25"/>
      <c r="AD271" s="25"/>
      <c r="AE271" s="25"/>
      <c r="AF271" s="25"/>
      <c r="AG271" s="25"/>
      <c r="AH271" s="25"/>
      <c r="AI271" s="25"/>
      <c r="AJ271" s="25"/>
      <c r="AK271" s="25"/>
    </row>
    <row r="272" spans="1:37" x14ac:dyDescent="0.35">
      <c r="A272" s="1"/>
      <c r="B272" s="5"/>
      <c r="C272" s="25" t="s">
        <v>916</v>
      </c>
      <c r="D272" s="25" t="s">
        <v>917</v>
      </c>
      <c r="E272" s="25" t="s">
        <v>510</v>
      </c>
      <c r="F272" s="25" t="s">
        <v>1128</v>
      </c>
      <c r="G272" s="50">
        <v>611.42452500000002</v>
      </c>
      <c r="H272" s="50">
        <v>1</v>
      </c>
      <c r="I272" s="37">
        <v>0</v>
      </c>
      <c r="J272" s="37">
        <v>0</v>
      </c>
      <c r="K272" s="37">
        <v>0</v>
      </c>
      <c r="L272" s="37">
        <v>0</v>
      </c>
      <c r="M272" s="37">
        <v>100.220001220703</v>
      </c>
      <c r="N272" s="37">
        <v>100.220001220703</v>
      </c>
      <c r="O272" s="37">
        <v>100.220001220703</v>
      </c>
      <c r="P272" s="37">
        <v>100.220001220703</v>
      </c>
      <c r="Q272" s="50">
        <v>0</v>
      </c>
      <c r="R272" s="25"/>
      <c r="S272" s="25"/>
      <c r="T272" s="25"/>
      <c r="U272" s="25"/>
      <c r="V272" s="25"/>
      <c r="W272" s="25"/>
      <c r="X272" s="25"/>
      <c r="Y272" s="25"/>
      <c r="Z272" s="25"/>
      <c r="AA272" s="94">
        <v>0</v>
      </c>
      <c r="AB272" s="76"/>
      <c r="AC272" s="25"/>
      <c r="AD272" s="25"/>
      <c r="AE272" s="25"/>
      <c r="AF272" s="25"/>
      <c r="AG272" s="25"/>
      <c r="AH272" s="25"/>
      <c r="AI272" s="25"/>
      <c r="AJ272" s="25"/>
      <c r="AK272" s="25"/>
    </row>
    <row r="273" spans="1:37" x14ac:dyDescent="0.35">
      <c r="A273" s="1"/>
      <c r="B273" s="5"/>
      <c r="C273" s="25" t="s">
        <v>916</v>
      </c>
      <c r="D273" s="25" t="s">
        <v>917</v>
      </c>
      <c r="E273" s="25" t="s">
        <v>511</v>
      </c>
      <c r="F273" s="25" t="s">
        <v>1129</v>
      </c>
      <c r="G273" s="50">
        <v>75008.745630999998</v>
      </c>
      <c r="H273" s="50">
        <v>33</v>
      </c>
      <c r="I273" s="37">
        <v>0</v>
      </c>
      <c r="J273" s="37">
        <v>0</v>
      </c>
      <c r="K273" s="37">
        <v>0</v>
      </c>
      <c r="L273" s="37">
        <v>0</v>
      </c>
      <c r="M273" s="37">
        <v>98.300003051757798</v>
      </c>
      <c r="N273" s="37">
        <v>100.25</v>
      </c>
      <c r="O273" s="37">
        <v>100.10604068616701</v>
      </c>
      <c r="P273" s="37">
        <v>100.120002746582</v>
      </c>
      <c r="Q273" s="50">
        <v>0</v>
      </c>
      <c r="R273" s="25"/>
      <c r="S273" s="25"/>
      <c r="T273" s="25"/>
      <c r="U273" s="25"/>
      <c r="V273" s="25"/>
      <c r="W273" s="25"/>
      <c r="X273" s="25"/>
      <c r="Y273" s="25"/>
      <c r="Z273" s="25"/>
      <c r="AA273" s="94">
        <v>0</v>
      </c>
      <c r="AB273" s="76"/>
      <c r="AC273" s="25"/>
      <c r="AD273" s="25"/>
      <c r="AE273" s="25"/>
      <c r="AF273" s="25"/>
      <c r="AG273" s="25"/>
      <c r="AH273" s="25"/>
      <c r="AI273" s="25"/>
      <c r="AJ273" s="25"/>
      <c r="AK273" s="25"/>
    </row>
    <row r="274" spans="1:37" x14ac:dyDescent="0.35">
      <c r="A274" s="1"/>
      <c r="B274" s="5"/>
      <c r="C274" s="25" t="s">
        <v>916</v>
      </c>
      <c r="D274" s="25" t="s">
        <v>917</v>
      </c>
      <c r="E274" s="25" t="s">
        <v>512</v>
      </c>
      <c r="F274" s="25" t="s">
        <v>1130</v>
      </c>
      <c r="G274" s="50">
        <v>25765.262465</v>
      </c>
      <c r="H274" s="50">
        <v>19</v>
      </c>
      <c r="I274" s="37">
        <v>0</v>
      </c>
      <c r="J274" s="37">
        <v>0</v>
      </c>
      <c r="K274" s="37">
        <v>0</v>
      </c>
      <c r="L274" s="37">
        <v>0</v>
      </c>
      <c r="M274" s="37">
        <v>98.5</v>
      </c>
      <c r="N274" s="37">
        <v>100.199996948242</v>
      </c>
      <c r="O274" s="37">
        <v>99.945537336124403</v>
      </c>
      <c r="P274" s="37">
        <v>100.169998168945</v>
      </c>
      <c r="Q274" s="50">
        <v>0</v>
      </c>
      <c r="R274" s="25"/>
      <c r="S274" s="25"/>
      <c r="T274" s="25"/>
      <c r="U274" s="25"/>
      <c r="V274" s="25"/>
      <c r="W274" s="25"/>
      <c r="X274" s="25"/>
      <c r="Y274" s="25"/>
      <c r="Z274" s="25"/>
      <c r="AA274" s="94">
        <v>0</v>
      </c>
      <c r="AB274" s="76"/>
      <c r="AC274" s="25"/>
      <c r="AD274" s="25"/>
      <c r="AE274" s="25"/>
      <c r="AF274" s="25"/>
      <c r="AG274" s="25"/>
      <c r="AH274" s="25"/>
      <c r="AI274" s="25"/>
      <c r="AJ274" s="25"/>
      <c r="AK274" s="25"/>
    </row>
    <row r="275" spans="1:37" x14ac:dyDescent="0.35">
      <c r="A275" s="1"/>
      <c r="B275" s="5"/>
      <c r="C275" s="25" t="s">
        <v>916</v>
      </c>
      <c r="D275" s="25" t="s">
        <v>917</v>
      </c>
      <c r="E275" s="25" t="s">
        <v>513</v>
      </c>
      <c r="F275" s="25" t="s">
        <v>1131</v>
      </c>
      <c r="G275" s="50">
        <v>17790.616298000001</v>
      </c>
      <c r="H275" s="50">
        <v>14</v>
      </c>
      <c r="I275" s="37">
        <v>0</v>
      </c>
      <c r="J275" s="37">
        <v>0</v>
      </c>
      <c r="K275" s="37">
        <v>0</v>
      </c>
      <c r="L275" s="37">
        <v>0</v>
      </c>
      <c r="M275" s="37">
        <v>98.5</v>
      </c>
      <c r="N275" s="37">
        <v>100.220001220703</v>
      </c>
      <c r="O275" s="37">
        <v>100.044648106284</v>
      </c>
      <c r="P275" s="37">
        <v>100.220001220703</v>
      </c>
      <c r="Q275" s="50">
        <v>0</v>
      </c>
      <c r="R275" s="25"/>
      <c r="S275" s="25"/>
      <c r="T275" s="25"/>
      <c r="U275" s="25"/>
      <c r="V275" s="25"/>
      <c r="W275" s="25"/>
      <c r="X275" s="25"/>
      <c r="Y275" s="25"/>
      <c r="Z275" s="25"/>
      <c r="AA275" s="94">
        <v>0</v>
      </c>
      <c r="AB275" s="76"/>
      <c r="AC275" s="25"/>
      <c r="AD275" s="25"/>
      <c r="AE275" s="25"/>
      <c r="AF275" s="25"/>
      <c r="AG275" s="25"/>
      <c r="AH275" s="25"/>
      <c r="AI275" s="25"/>
      <c r="AJ275" s="25"/>
      <c r="AK275" s="25"/>
    </row>
    <row r="276" spans="1:37" x14ac:dyDescent="0.35">
      <c r="A276" s="1"/>
      <c r="B276" s="5"/>
      <c r="C276" s="25" t="s">
        <v>916</v>
      </c>
      <c r="D276" s="25" t="s">
        <v>917</v>
      </c>
      <c r="E276" s="25" t="s">
        <v>514</v>
      </c>
      <c r="F276" s="25" t="s">
        <v>1132</v>
      </c>
      <c r="G276" s="50">
        <v>5249.6448110000001</v>
      </c>
      <c r="H276" s="50">
        <v>9</v>
      </c>
      <c r="I276" s="37">
        <v>0</v>
      </c>
      <c r="J276" s="37">
        <v>0</v>
      </c>
      <c r="K276" s="37">
        <v>0</v>
      </c>
      <c r="L276" s="37">
        <v>0</v>
      </c>
      <c r="M276" s="37">
        <v>99.199996948242202</v>
      </c>
      <c r="N276" s="37">
        <v>100.199996948242</v>
      </c>
      <c r="O276" s="37">
        <v>100.009043152541</v>
      </c>
      <c r="P276" s="37">
        <v>100.199996948242</v>
      </c>
      <c r="Q276" s="50">
        <v>0</v>
      </c>
      <c r="R276" s="25"/>
      <c r="S276" s="25"/>
      <c r="T276" s="25"/>
      <c r="U276" s="25"/>
      <c r="V276" s="25"/>
      <c r="W276" s="25"/>
      <c r="X276" s="25"/>
      <c r="Y276" s="25"/>
      <c r="Z276" s="25"/>
      <c r="AA276" s="94">
        <v>0</v>
      </c>
      <c r="AB276" s="76"/>
      <c r="AC276" s="25"/>
      <c r="AD276" s="25"/>
      <c r="AE276" s="25"/>
      <c r="AF276" s="25"/>
      <c r="AG276" s="25"/>
      <c r="AH276" s="25"/>
      <c r="AI276" s="25"/>
      <c r="AJ276" s="25"/>
      <c r="AK276" s="25"/>
    </row>
    <row r="277" spans="1:37" x14ac:dyDescent="0.35">
      <c r="A277" s="1"/>
      <c r="B277" s="5"/>
      <c r="C277" s="25" t="s">
        <v>429</v>
      </c>
      <c r="D277" s="25" t="s">
        <v>920</v>
      </c>
      <c r="E277" s="25" t="s">
        <v>921</v>
      </c>
      <c r="F277" s="25" t="s">
        <v>922</v>
      </c>
      <c r="G277" s="50">
        <v>56640.948357000001</v>
      </c>
      <c r="H277" s="50">
        <v>13</v>
      </c>
      <c r="I277" s="37">
        <v>6.2649998664856001</v>
      </c>
      <c r="J277" s="37">
        <v>6.2849998474121103</v>
      </c>
      <c r="K277" s="37">
        <v>6.2815790798216096</v>
      </c>
      <c r="L277" s="37">
        <v>6.2849998474121103</v>
      </c>
      <c r="M277" s="37">
        <v>104.359001159668</v>
      </c>
      <c r="N277" s="37">
        <v>104.43499755859401</v>
      </c>
      <c r="O277" s="37">
        <v>104.371992672974</v>
      </c>
      <c r="P277" s="37">
        <v>104.359001159668</v>
      </c>
      <c r="Q277" s="50">
        <v>199745.25255500001</v>
      </c>
      <c r="R277" s="50">
        <v>6</v>
      </c>
      <c r="S277" s="37">
        <v>12</v>
      </c>
      <c r="T277" s="37">
        <v>12</v>
      </c>
      <c r="U277" s="37">
        <v>12</v>
      </c>
      <c r="V277" s="37">
        <v>12</v>
      </c>
      <c r="W277" s="37">
        <v>104.271003723145</v>
      </c>
      <c r="X277" s="37">
        <v>104.37799835205099</v>
      </c>
      <c r="Y277" s="37">
        <v>104.315249723547</v>
      </c>
      <c r="Z277" s="37">
        <v>104.271003723145</v>
      </c>
      <c r="AA277" s="94">
        <v>0</v>
      </c>
      <c r="AB277" s="76"/>
      <c r="AC277" s="25"/>
      <c r="AD277" s="25"/>
      <c r="AE277" s="25"/>
      <c r="AF277" s="25"/>
      <c r="AG277" s="25"/>
      <c r="AH277" s="25"/>
      <c r="AI277" s="25"/>
      <c r="AJ277" s="25"/>
      <c r="AK277" s="25"/>
    </row>
    <row r="278" spans="1:37" x14ac:dyDescent="0.35">
      <c r="A278" s="1"/>
      <c r="B278" s="5"/>
      <c r="C278" s="25" t="s">
        <v>433</v>
      </c>
      <c r="D278" s="25" t="s">
        <v>920</v>
      </c>
      <c r="E278" s="25" t="s">
        <v>923</v>
      </c>
      <c r="F278" s="25" t="s">
        <v>924</v>
      </c>
      <c r="G278" s="50">
        <v>0</v>
      </c>
      <c r="H278" s="25"/>
      <c r="I278" s="25"/>
      <c r="J278" s="25"/>
      <c r="K278" s="25"/>
      <c r="L278" s="25"/>
      <c r="M278" s="25"/>
      <c r="N278" s="25"/>
      <c r="O278" s="25"/>
      <c r="P278" s="25"/>
      <c r="Q278" s="50">
        <v>77764.625471000007</v>
      </c>
      <c r="R278" s="50">
        <v>5</v>
      </c>
      <c r="S278" s="37">
        <v>11.998999595642101</v>
      </c>
      <c r="T278" s="37">
        <v>12</v>
      </c>
      <c r="U278" s="37">
        <v>11.999950597315699</v>
      </c>
      <c r="V278" s="37">
        <v>12</v>
      </c>
      <c r="W278" s="37">
        <v>92.035003662109403</v>
      </c>
      <c r="X278" s="37">
        <v>92.154998779296903</v>
      </c>
      <c r="Y278" s="37">
        <v>92.053830087920801</v>
      </c>
      <c r="Z278" s="37">
        <v>92.035003662109403</v>
      </c>
      <c r="AA278" s="94">
        <v>0</v>
      </c>
      <c r="AB278" s="76"/>
      <c r="AC278" s="25"/>
      <c r="AD278" s="25"/>
      <c r="AE278" s="25"/>
      <c r="AF278" s="25"/>
      <c r="AG278" s="25"/>
      <c r="AH278" s="25"/>
      <c r="AI278" s="25"/>
      <c r="AJ278" s="25"/>
      <c r="AK278" s="25"/>
    </row>
    <row r="279" spans="1:37" x14ac:dyDescent="0.35">
      <c r="A279" s="1"/>
      <c r="B279" s="5"/>
      <c r="C279" s="25" t="s">
        <v>925</v>
      </c>
      <c r="D279" s="25" t="s">
        <v>920</v>
      </c>
      <c r="E279" s="25" t="s">
        <v>926</v>
      </c>
      <c r="F279" s="25" t="s">
        <v>927</v>
      </c>
      <c r="G279" s="50">
        <v>149050.28522399999</v>
      </c>
      <c r="H279" s="50">
        <v>15</v>
      </c>
      <c r="I279" s="37">
        <v>5.8829998970031703</v>
      </c>
      <c r="J279" s="37">
        <v>6.0079998970031703</v>
      </c>
      <c r="K279" s="37">
        <v>5.9667680496610096</v>
      </c>
      <c r="L279" s="37">
        <v>6.0019998550415004</v>
      </c>
      <c r="M279" s="37">
        <v>99.777999877929702</v>
      </c>
      <c r="N279" s="37">
        <v>99.847999572753906</v>
      </c>
      <c r="O279" s="37">
        <v>99.800935297704896</v>
      </c>
      <c r="P279" s="37">
        <v>99.780998229980497</v>
      </c>
      <c r="Q279" s="50">
        <v>996379.90906099998</v>
      </c>
      <c r="R279" s="50">
        <v>33</v>
      </c>
      <c r="S279" s="37">
        <v>11.5</v>
      </c>
      <c r="T279" s="37">
        <v>12</v>
      </c>
      <c r="U279" s="37">
        <v>11.9520280309656</v>
      </c>
      <c r="V279" s="37">
        <v>12</v>
      </c>
      <c r="W279" s="37">
        <v>99.816001892089801</v>
      </c>
      <c r="X279" s="37">
        <v>99.904998779296903</v>
      </c>
      <c r="Y279" s="37">
        <v>99.872045674214206</v>
      </c>
      <c r="Z279" s="37">
        <v>99.816001892089801</v>
      </c>
      <c r="AA279" s="94">
        <v>0</v>
      </c>
      <c r="AB279" s="76"/>
      <c r="AC279" s="25"/>
      <c r="AD279" s="25"/>
      <c r="AE279" s="25"/>
      <c r="AF279" s="25"/>
      <c r="AG279" s="25"/>
      <c r="AH279" s="25"/>
      <c r="AI279" s="25"/>
      <c r="AJ279" s="25"/>
      <c r="AK279" s="25"/>
    </row>
    <row r="280" spans="1:37" x14ac:dyDescent="0.35">
      <c r="A280" s="1"/>
      <c r="B280" s="5"/>
      <c r="C280" s="25" t="s">
        <v>441</v>
      </c>
      <c r="D280" s="25" t="s">
        <v>920</v>
      </c>
      <c r="E280" s="25" t="s">
        <v>1133</v>
      </c>
      <c r="F280" s="25" t="s">
        <v>1134</v>
      </c>
      <c r="G280" s="50">
        <v>4122.4948000000004</v>
      </c>
      <c r="H280" s="50">
        <v>1</v>
      </c>
      <c r="I280" s="37">
        <v>6.0500001907348597</v>
      </c>
      <c r="J280" s="37">
        <v>6.0500001907348597</v>
      </c>
      <c r="K280" s="37">
        <v>6.0500001907348597</v>
      </c>
      <c r="L280" s="37">
        <v>6.0500001907348597</v>
      </c>
      <c r="M280" s="37">
        <v>84.163002014160199</v>
      </c>
      <c r="N280" s="37">
        <v>84.163002014160199</v>
      </c>
      <c r="O280" s="37">
        <v>84.163002014160199</v>
      </c>
      <c r="P280" s="37">
        <v>84.163002014160199</v>
      </c>
      <c r="Q280" s="50">
        <v>0</v>
      </c>
      <c r="R280" s="25"/>
      <c r="S280" s="25"/>
      <c r="T280" s="25"/>
      <c r="U280" s="25"/>
      <c r="V280" s="25"/>
      <c r="W280" s="25"/>
      <c r="X280" s="25"/>
      <c r="Y280" s="25"/>
      <c r="Z280" s="25"/>
      <c r="AA280" s="94">
        <v>0</v>
      </c>
      <c r="AB280" s="76"/>
      <c r="AC280" s="25"/>
      <c r="AD280" s="25"/>
      <c r="AE280" s="25"/>
      <c r="AF280" s="25"/>
      <c r="AG280" s="25"/>
      <c r="AH280" s="25"/>
      <c r="AI280" s="25"/>
      <c r="AJ280" s="25"/>
      <c r="AK280" s="25"/>
    </row>
    <row r="281" spans="1:37" x14ac:dyDescent="0.35">
      <c r="A281" s="1"/>
      <c r="B281" s="5"/>
      <c r="C281" s="25" t="s">
        <v>449</v>
      </c>
      <c r="D281" s="25" t="s">
        <v>920</v>
      </c>
      <c r="E281" s="25" t="s">
        <v>1135</v>
      </c>
      <c r="F281" s="25" t="s">
        <v>1136</v>
      </c>
      <c r="G281" s="50">
        <v>0</v>
      </c>
      <c r="H281" s="25"/>
      <c r="I281" s="25"/>
      <c r="J281" s="25"/>
      <c r="K281" s="25"/>
      <c r="L281" s="25"/>
      <c r="M281" s="25"/>
      <c r="N281" s="25"/>
      <c r="O281" s="25"/>
      <c r="P281" s="25"/>
      <c r="Q281" s="50">
        <v>19888.602631999998</v>
      </c>
      <c r="R281" s="50">
        <v>1</v>
      </c>
      <c r="S281" s="37">
        <v>12</v>
      </c>
      <c r="T281" s="37">
        <v>12</v>
      </c>
      <c r="U281" s="37">
        <v>12</v>
      </c>
      <c r="V281" s="37">
        <v>12</v>
      </c>
      <c r="W281" s="37">
        <v>85.133003234863295</v>
      </c>
      <c r="X281" s="37">
        <v>85.133003234863295</v>
      </c>
      <c r="Y281" s="37">
        <v>85.133003234863295</v>
      </c>
      <c r="Z281" s="37">
        <v>85.133003234863295</v>
      </c>
      <c r="AA281" s="94">
        <v>0</v>
      </c>
      <c r="AB281" s="76"/>
      <c r="AC281" s="25"/>
      <c r="AD281" s="25"/>
      <c r="AE281" s="25"/>
      <c r="AF281" s="25"/>
      <c r="AG281" s="25"/>
      <c r="AH281" s="25"/>
      <c r="AI281" s="25"/>
      <c r="AJ281" s="25"/>
      <c r="AK281" s="25"/>
    </row>
    <row r="282" spans="1:37" x14ac:dyDescent="0.35">
      <c r="A282" s="1"/>
      <c r="B282" s="5"/>
      <c r="C282" s="25" t="s">
        <v>453</v>
      </c>
      <c r="D282" s="25" t="s">
        <v>920</v>
      </c>
      <c r="E282" s="25" t="s">
        <v>1137</v>
      </c>
      <c r="F282" s="25" t="s">
        <v>1138</v>
      </c>
      <c r="G282" s="50">
        <v>25323.938918</v>
      </c>
      <c r="H282" s="50">
        <v>1</v>
      </c>
      <c r="I282" s="37">
        <v>5.8150000572204599</v>
      </c>
      <c r="J282" s="37">
        <v>5.8150000572204599</v>
      </c>
      <c r="K282" s="37">
        <v>5.8150000572204599</v>
      </c>
      <c r="L282" s="37">
        <v>5.8150000572204599</v>
      </c>
      <c r="M282" s="37">
        <v>93.389999389648395</v>
      </c>
      <c r="N282" s="37">
        <v>93.389999389648395</v>
      </c>
      <c r="O282" s="37">
        <v>93.389999389648395</v>
      </c>
      <c r="P282" s="37">
        <v>93.389999389648395</v>
      </c>
      <c r="Q282" s="50">
        <v>0</v>
      </c>
      <c r="R282" s="25"/>
      <c r="S282" s="25"/>
      <c r="T282" s="25"/>
      <c r="U282" s="25"/>
      <c r="V282" s="25"/>
      <c r="W282" s="25"/>
      <c r="X282" s="25"/>
      <c r="Y282" s="25"/>
      <c r="Z282" s="25"/>
      <c r="AA282" s="94">
        <v>0</v>
      </c>
      <c r="AB282" s="76"/>
      <c r="AC282" s="25"/>
      <c r="AD282" s="25"/>
      <c r="AE282" s="25"/>
      <c r="AF282" s="25"/>
      <c r="AG282" s="25"/>
      <c r="AH282" s="25"/>
      <c r="AI282" s="25"/>
      <c r="AJ282" s="25"/>
      <c r="AK282" s="25"/>
    </row>
    <row r="283" spans="1:37" x14ac:dyDescent="0.35">
      <c r="A283" s="1"/>
      <c r="B283" s="5"/>
      <c r="C283" s="25" t="s">
        <v>457</v>
      </c>
      <c r="D283" s="25" t="s">
        <v>920</v>
      </c>
      <c r="E283" s="25" t="s">
        <v>1139</v>
      </c>
      <c r="F283" s="25" t="s">
        <v>1140</v>
      </c>
      <c r="G283" s="50">
        <v>0</v>
      </c>
      <c r="H283" s="25"/>
      <c r="I283" s="25"/>
      <c r="J283" s="25"/>
      <c r="K283" s="25"/>
      <c r="L283" s="25"/>
      <c r="M283" s="25"/>
      <c r="N283" s="25"/>
      <c r="O283" s="25"/>
      <c r="P283" s="25"/>
      <c r="Q283" s="50">
        <v>1570.267276</v>
      </c>
      <c r="R283" s="50">
        <v>1</v>
      </c>
      <c r="S283" s="37">
        <v>12</v>
      </c>
      <c r="T283" s="37">
        <v>12</v>
      </c>
      <c r="U283" s="37">
        <v>12</v>
      </c>
      <c r="V283" s="37">
        <v>12</v>
      </c>
      <c r="W283" s="37">
        <v>75.280998229980497</v>
      </c>
      <c r="X283" s="37">
        <v>75.280998229980497</v>
      </c>
      <c r="Y283" s="37">
        <v>75.280998229980497</v>
      </c>
      <c r="Z283" s="37">
        <v>75.280998229980497</v>
      </c>
      <c r="AA283" s="94">
        <v>0</v>
      </c>
      <c r="AB283" s="76"/>
      <c r="AC283" s="25"/>
      <c r="AD283" s="25"/>
      <c r="AE283" s="25"/>
      <c r="AF283" s="25"/>
      <c r="AG283" s="25"/>
      <c r="AH283" s="25"/>
      <c r="AI283" s="25"/>
      <c r="AJ283" s="25"/>
      <c r="AK283" s="25"/>
    </row>
    <row r="284" spans="1:37" x14ac:dyDescent="0.35">
      <c r="A284" s="1"/>
      <c r="B284" s="5"/>
      <c r="C284" s="25" t="s">
        <v>461</v>
      </c>
      <c r="D284" s="25" t="s">
        <v>920</v>
      </c>
      <c r="E284" s="25" t="s">
        <v>928</v>
      </c>
      <c r="F284" s="25" t="s">
        <v>929</v>
      </c>
      <c r="G284" s="50">
        <v>122692.42862999999</v>
      </c>
      <c r="H284" s="50">
        <v>3</v>
      </c>
      <c r="I284" s="37">
        <v>5.8420000076293901</v>
      </c>
      <c r="J284" s="37">
        <v>5.84299993515015</v>
      </c>
      <c r="K284" s="37">
        <v>5.8427884120207603</v>
      </c>
      <c r="L284" s="37">
        <v>5.8420000076293901</v>
      </c>
      <c r="M284" s="37">
        <v>113.106002807617</v>
      </c>
      <c r="N284" s="37">
        <v>113.13200378418</v>
      </c>
      <c r="O284" s="37">
        <v>113.117269075834</v>
      </c>
      <c r="P284" s="37">
        <v>113.13200378418</v>
      </c>
      <c r="Q284" s="50">
        <v>23604.445188000002</v>
      </c>
      <c r="R284" s="50">
        <v>1</v>
      </c>
      <c r="S284" s="37">
        <v>6</v>
      </c>
      <c r="T284" s="37">
        <v>6</v>
      </c>
      <c r="U284" s="37">
        <v>6</v>
      </c>
      <c r="V284" s="37">
        <v>6</v>
      </c>
      <c r="W284" s="37">
        <v>113.16400146484401</v>
      </c>
      <c r="X284" s="37">
        <v>113.16400146484401</v>
      </c>
      <c r="Y284" s="37">
        <v>113.16400146484401</v>
      </c>
      <c r="Z284" s="37">
        <v>113.16400146484401</v>
      </c>
      <c r="AA284" s="94">
        <v>84706.217804</v>
      </c>
      <c r="AB284" s="76"/>
      <c r="AC284" s="50">
        <v>3</v>
      </c>
      <c r="AD284" s="37">
        <v>0</v>
      </c>
      <c r="AE284" s="37">
        <v>3</v>
      </c>
      <c r="AF284" s="37">
        <v>1.94444444444444</v>
      </c>
      <c r="AG284" s="37">
        <v>0</v>
      </c>
      <c r="AH284" s="37">
        <v>111.89499664306599</v>
      </c>
      <c r="AI284" s="37">
        <v>113.32399749755901</v>
      </c>
      <c r="AJ284" s="37">
        <v>112.804719289144</v>
      </c>
      <c r="AK284" s="37">
        <v>113.32399749755901</v>
      </c>
    </row>
    <row r="285" spans="1:37" x14ac:dyDescent="0.35">
      <c r="A285" s="1"/>
      <c r="B285" s="9"/>
      <c r="C285" s="51" t="s">
        <v>609</v>
      </c>
      <c r="D285" s="52" t="s">
        <v>5</v>
      </c>
      <c r="E285" s="52" t="s">
        <v>5</v>
      </c>
      <c r="F285" s="52" t="s">
        <v>5</v>
      </c>
      <c r="G285" s="53">
        <v>3830599.3456540001</v>
      </c>
      <c r="H285" s="53">
        <v>634</v>
      </c>
      <c r="I285" s="63">
        <v>1716.0460009574899</v>
      </c>
      <c r="J285" s="63">
        <v>1727.72200155258</v>
      </c>
      <c r="K285" s="63">
        <v>1722.9451346764199</v>
      </c>
      <c r="L285" s="63">
        <v>1622.7440018653899</v>
      </c>
      <c r="M285" s="63">
        <v>16711.887084960901</v>
      </c>
      <c r="N285" s="63">
        <v>16744.4120483398</v>
      </c>
      <c r="O285" s="63">
        <v>16730.288903905799</v>
      </c>
      <c r="P285" s="63">
        <v>16732.029075622599</v>
      </c>
      <c r="Q285" s="53">
        <v>7662851.7649940001</v>
      </c>
      <c r="R285" s="53">
        <v>202</v>
      </c>
      <c r="S285" s="63">
        <v>239.74900054931601</v>
      </c>
      <c r="T285" s="63">
        <v>258.32000160217302</v>
      </c>
      <c r="U285" s="63">
        <v>251.250318031403</v>
      </c>
      <c r="V285" s="63">
        <v>256.47000122070301</v>
      </c>
      <c r="W285" s="63">
        <v>2110.8410186767601</v>
      </c>
      <c r="X285" s="63">
        <v>2116.94701385498</v>
      </c>
      <c r="Y285" s="63">
        <v>2114.1171431326002</v>
      </c>
      <c r="Z285" s="63">
        <v>2113.3040161132799</v>
      </c>
      <c r="AA285" s="95">
        <v>190602.517804</v>
      </c>
      <c r="AB285" s="76"/>
      <c r="AC285" s="53">
        <v>4</v>
      </c>
      <c r="AD285" s="63">
        <v>4.5</v>
      </c>
      <c r="AE285" s="63">
        <v>7.5</v>
      </c>
      <c r="AF285" s="63">
        <v>6.4444444444444402</v>
      </c>
      <c r="AG285" s="63">
        <v>4.5</v>
      </c>
      <c r="AH285" s="63">
        <v>217.79100036621099</v>
      </c>
      <c r="AI285" s="63">
        <v>219.22000122070301</v>
      </c>
      <c r="AJ285" s="63">
        <v>218.70072301228899</v>
      </c>
      <c r="AK285" s="63">
        <v>219.22000122070301</v>
      </c>
    </row>
    <row r="286" spans="1:37" ht="0" hidden="1" customHeight="1" x14ac:dyDescent="0.35"/>
  </sheetData>
  <mergeCells count="289">
    <mergeCell ref="AA281:AB281"/>
    <mergeCell ref="AA282:AB282"/>
    <mergeCell ref="AA283:AB283"/>
    <mergeCell ref="AA284:AB284"/>
    <mergeCell ref="AA285:AB285"/>
    <mergeCell ref="AA276:AB276"/>
    <mergeCell ref="AA277:AB277"/>
    <mergeCell ref="AA278:AB278"/>
    <mergeCell ref="AA279:AB279"/>
    <mergeCell ref="AA280:AB280"/>
    <mergeCell ref="AA271:AB271"/>
    <mergeCell ref="AA272:AB272"/>
    <mergeCell ref="AA273:AB273"/>
    <mergeCell ref="AA274:AB274"/>
    <mergeCell ref="AA275:AB275"/>
    <mergeCell ref="AA266:AB266"/>
    <mergeCell ref="AA267:AB267"/>
    <mergeCell ref="AA268:AB268"/>
    <mergeCell ref="AA269:AB269"/>
    <mergeCell ref="AA270:AB270"/>
    <mergeCell ref="AA261:AB261"/>
    <mergeCell ref="AA262:AB262"/>
    <mergeCell ref="AA263:AB263"/>
    <mergeCell ref="AA264:AB264"/>
    <mergeCell ref="AA265:AB265"/>
    <mergeCell ref="AA256:AB256"/>
    <mergeCell ref="AA257:AB257"/>
    <mergeCell ref="AA258:AB258"/>
    <mergeCell ref="AA259:AB259"/>
    <mergeCell ref="AA260:AB260"/>
    <mergeCell ref="AA251:AB251"/>
    <mergeCell ref="AA252:AB252"/>
    <mergeCell ref="AA253:AB253"/>
    <mergeCell ref="AA254:AB254"/>
    <mergeCell ref="AA255:AB255"/>
    <mergeCell ref="AA246:AB246"/>
    <mergeCell ref="AA247:AB247"/>
    <mergeCell ref="AA248:AB248"/>
    <mergeCell ref="AA249:AB249"/>
    <mergeCell ref="AA250:AB250"/>
    <mergeCell ref="AA241:AB241"/>
    <mergeCell ref="AA242:AB242"/>
    <mergeCell ref="AA243:AB243"/>
    <mergeCell ref="AA244:AB244"/>
    <mergeCell ref="AA245:AB245"/>
    <mergeCell ref="AA236:AB236"/>
    <mergeCell ref="AA237:AB237"/>
    <mergeCell ref="AA238:AB238"/>
    <mergeCell ref="AA239:AB239"/>
    <mergeCell ref="AA240:AB240"/>
    <mergeCell ref="AA231:AB231"/>
    <mergeCell ref="AA232:AB232"/>
    <mergeCell ref="AA233:AB233"/>
    <mergeCell ref="AA234:AB234"/>
    <mergeCell ref="AA235:AB235"/>
    <mergeCell ref="AA226:AB226"/>
    <mergeCell ref="AA227:AB227"/>
    <mergeCell ref="AA228:AB228"/>
    <mergeCell ref="AA229:AB229"/>
    <mergeCell ref="AA230:AB230"/>
    <mergeCell ref="AA221:AB221"/>
    <mergeCell ref="AA222:AB222"/>
    <mergeCell ref="AA223:AB223"/>
    <mergeCell ref="AA224:AB224"/>
    <mergeCell ref="AA225:AB225"/>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AA116:AB116"/>
    <mergeCell ref="AA117:AB117"/>
    <mergeCell ref="AA118:AB118"/>
    <mergeCell ref="AA119:AB119"/>
    <mergeCell ref="AA120:AB120"/>
    <mergeCell ref="AA111:AB111"/>
    <mergeCell ref="AA112:AB112"/>
    <mergeCell ref="AA113:AB113"/>
    <mergeCell ref="AA114:AB114"/>
    <mergeCell ref="AA115:AB115"/>
    <mergeCell ref="AD107:AG107"/>
    <mergeCell ref="AH107:AK107"/>
    <mergeCell ref="AA108:AB108"/>
    <mergeCell ref="AA109:AB109"/>
    <mergeCell ref="AA110:AB110"/>
    <mergeCell ref="I107:L107"/>
    <mergeCell ref="M107:P107"/>
    <mergeCell ref="S107:V107"/>
    <mergeCell ref="W107:Z107"/>
    <mergeCell ref="AA107:AB107"/>
    <mergeCell ref="AA101:AB101"/>
    <mergeCell ref="AA102:AB102"/>
    <mergeCell ref="C104:H104"/>
    <mergeCell ref="G106:P106"/>
    <mergeCell ref="Q106:Z106"/>
    <mergeCell ref="AA106:AK106"/>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1141</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1142</v>
      </c>
      <c r="D5" s="23" t="s">
        <v>634</v>
      </c>
      <c r="E5" s="23" t="s">
        <v>1143</v>
      </c>
      <c r="F5" s="23" t="s">
        <v>638</v>
      </c>
      <c r="G5" s="23" t="s">
        <v>642</v>
      </c>
      <c r="H5" s="1"/>
      <c r="I5" s="6"/>
      <c r="J5" s="1"/>
      <c r="K5" s="1"/>
    </row>
    <row r="6" spans="1:11" x14ac:dyDescent="0.35">
      <c r="A6" s="1"/>
      <c r="B6" s="5"/>
      <c r="C6" s="25" t="s">
        <v>516</v>
      </c>
      <c r="D6" s="25">
        <v>90605</v>
      </c>
      <c r="E6" s="25" t="s">
        <v>516</v>
      </c>
      <c r="F6" s="25" t="s">
        <v>684</v>
      </c>
      <c r="G6" s="50">
        <v>100.453</v>
      </c>
      <c r="H6" s="1"/>
      <c r="I6" s="6"/>
      <c r="J6" s="1"/>
      <c r="K6" s="1"/>
    </row>
    <row r="7" spans="1:11" x14ac:dyDescent="0.35">
      <c r="A7" s="1"/>
      <c r="B7" s="5"/>
      <c r="C7" s="25" t="s">
        <v>516</v>
      </c>
      <c r="D7" s="25">
        <v>90607</v>
      </c>
      <c r="E7" s="25" t="s">
        <v>516</v>
      </c>
      <c r="F7" s="25" t="s">
        <v>684</v>
      </c>
      <c r="G7" s="50">
        <v>180.81540000000001</v>
      </c>
      <c r="H7" s="1"/>
      <c r="I7" s="6"/>
      <c r="J7" s="1"/>
      <c r="K7" s="1"/>
    </row>
    <row r="8" spans="1:11" x14ac:dyDescent="0.35">
      <c r="A8" s="1"/>
      <c r="B8" s="5"/>
      <c r="C8" s="25" t="s">
        <v>516</v>
      </c>
      <c r="D8" s="25">
        <v>90608</v>
      </c>
      <c r="E8" s="25" t="s">
        <v>516</v>
      </c>
      <c r="F8" s="25" t="s">
        <v>684</v>
      </c>
      <c r="G8" s="50">
        <v>301.35899999999998</v>
      </c>
      <c r="H8" s="1"/>
      <c r="I8" s="6"/>
      <c r="J8" s="1"/>
      <c r="K8" s="1"/>
    </row>
    <row r="9" spans="1:11" x14ac:dyDescent="0.35">
      <c r="A9" s="1"/>
      <c r="B9" s="5"/>
      <c r="C9" s="25" t="s">
        <v>516</v>
      </c>
      <c r="D9" s="25">
        <v>90704</v>
      </c>
      <c r="E9" s="25" t="s">
        <v>516</v>
      </c>
      <c r="F9" s="25" t="s">
        <v>684</v>
      </c>
      <c r="G9" s="50">
        <v>222</v>
      </c>
      <c r="H9" s="1"/>
      <c r="I9" s="6"/>
      <c r="J9" s="1"/>
      <c r="K9" s="1"/>
    </row>
    <row r="10" spans="1:11" x14ac:dyDescent="0.35">
      <c r="A10" s="1"/>
      <c r="B10" s="5"/>
      <c r="C10" s="25" t="s">
        <v>516</v>
      </c>
      <c r="D10" s="25">
        <v>90479</v>
      </c>
      <c r="E10" s="25" t="s">
        <v>516</v>
      </c>
      <c r="F10" s="25" t="s">
        <v>695</v>
      </c>
      <c r="G10" s="50">
        <v>240</v>
      </c>
      <c r="H10" s="1"/>
      <c r="I10" s="6"/>
      <c r="J10" s="1"/>
      <c r="K10" s="1"/>
    </row>
    <row r="11" spans="1:11" x14ac:dyDescent="0.35">
      <c r="A11" s="1"/>
      <c r="B11" s="5"/>
      <c r="C11" s="25" t="s">
        <v>516</v>
      </c>
      <c r="D11" s="25">
        <v>90622</v>
      </c>
      <c r="E11" s="25" t="s">
        <v>516</v>
      </c>
      <c r="F11" s="25" t="s">
        <v>703</v>
      </c>
      <c r="G11" s="50">
        <v>500</v>
      </c>
      <c r="H11" s="1"/>
      <c r="I11" s="6"/>
      <c r="J11" s="1"/>
      <c r="K11" s="1"/>
    </row>
    <row r="12" spans="1:11" x14ac:dyDescent="0.35">
      <c r="A12" s="1"/>
      <c r="B12" s="5"/>
      <c r="C12" s="25" t="s">
        <v>516</v>
      </c>
      <c r="D12" s="25">
        <v>90086</v>
      </c>
      <c r="E12" s="25" t="s">
        <v>516</v>
      </c>
      <c r="F12" s="25" t="s">
        <v>1029</v>
      </c>
      <c r="G12" s="50">
        <v>502.815</v>
      </c>
      <c r="H12" s="1"/>
      <c r="I12" s="6"/>
      <c r="J12" s="1"/>
      <c r="K12" s="1"/>
    </row>
    <row r="13" spans="1:11" x14ac:dyDescent="0.35">
      <c r="A13" s="1"/>
      <c r="B13" s="5"/>
      <c r="C13" s="25" t="s">
        <v>516</v>
      </c>
      <c r="D13" s="25">
        <v>90411</v>
      </c>
      <c r="E13" s="25" t="s">
        <v>516</v>
      </c>
      <c r="F13" s="25" t="s">
        <v>844</v>
      </c>
      <c r="G13" s="50">
        <v>3046.17</v>
      </c>
      <c r="H13" s="1"/>
      <c r="I13" s="6"/>
      <c r="J13" s="1"/>
      <c r="K13" s="1"/>
    </row>
    <row r="14" spans="1:11" x14ac:dyDescent="0.35">
      <c r="A14" s="1"/>
      <c r="B14" s="5"/>
      <c r="C14" s="25" t="s">
        <v>516</v>
      </c>
      <c r="D14" s="25">
        <v>90485</v>
      </c>
      <c r="E14" s="25" t="s">
        <v>516</v>
      </c>
      <c r="F14" s="25" t="s">
        <v>712</v>
      </c>
      <c r="G14" s="50">
        <v>11500</v>
      </c>
      <c r="H14" s="1"/>
      <c r="I14" s="6"/>
      <c r="J14" s="1"/>
      <c r="K14" s="1"/>
    </row>
    <row r="15" spans="1:11" x14ac:dyDescent="0.35">
      <c r="A15" s="1"/>
      <c r="B15" s="5"/>
      <c r="C15" s="25" t="s">
        <v>516</v>
      </c>
      <c r="D15" s="25">
        <v>90524</v>
      </c>
      <c r="E15" s="25" t="s">
        <v>516</v>
      </c>
      <c r="F15" s="25" t="s">
        <v>712</v>
      </c>
      <c r="G15" s="50">
        <v>20000</v>
      </c>
      <c r="H15" s="1"/>
      <c r="I15" s="6"/>
      <c r="J15" s="1"/>
      <c r="K15" s="1"/>
    </row>
    <row r="16" spans="1:11" x14ac:dyDescent="0.35">
      <c r="A16" s="1"/>
      <c r="B16" s="5"/>
      <c r="C16" s="25" t="s">
        <v>516</v>
      </c>
      <c r="D16" s="25">
        <v>90454</v>
      </c>
      <c r="E16" s="25" t="s">
        <v>516</v>
      </c>
      <c r="F16" s="25" t="s">
        <v>722</v>
      </c>
      <c r="G16" s="50">
        <v>200</v>
      </c>
      <c r="H16" s="1"/>
      <c r="I16" s="6"/>
      <c r="J16" s="1"/>
      <c r="K16" s="1"/>
    </row>
    <row r="17" spans="1:11" x14ac:dyDescent="0.35">
      <c r="A17" s="1"/>
      <c r="B17" s="5"/>
      <c r="C17" s="25" t="s">
        <v>516</v>
      </c>
      <c r="D17" s="25">
        <v>90458</v>
      </c>
      <c r="E17" s="25" t="s">
        <v>516</v>
      </c>
      <c r="F17" s="25" t="s">
        <v>722</v>
      </c>
      <c r="G17" s="50">
        <v>200</v>
      </c>
      <c r="H17" s="1"/>
      <c r="I17" s="6"/>
      <c r="J17" s="1"/>
      <c r="K17" s="1"/>
    </row>
    <row r="18" spans="1:11" x14ac:dyDescent="0.35">
      <c r="A18" s="1"/>
      <c r="B18" s="5"/>
      <c r="C18" s="25" t="s">
        <v>516</v>
      </c>
      <c r="D18" s="25">
        <v>90315</v>
      </c>
      <c r="E18" s="25" t="s">
        <v>516</v>
      </c>
      <c r="F18" s="25" t="s">
        <v>727</v>
      </c>
      <c r="G18" s="50">
        <v>230</v>
      </c>
      <c r="H18" s="1"/>
      <c r="I18" s="6"/>
      <c r="J18" s="1"/>
      <c r="K18" s="1"/>
    </row>
    <row r="19" spans="1:11" x14ac:dyDescent="0.35">
      <c r="A19" s="1"/>
      <c r="B19" s="5"/>
      <c r="C19" s="25" t="s">
        <v>516</v>
      </c>
      <c r="D19" s="25">
        <v>90547</v>
      </c>
      <c r="E19" s="25" t="s">
        <v>516</v>
      </c>
      <c r="F19" s="25" t="s">
        <v>727</v>
      </c>
      <c r="G19" s="50">
        <v>5000</v>
      </c>
      <c r="H19" s="1"/>
      <c r="I19" s="6"/>
      <c r="J19" s="1"/>
      <c r="K19" s="1"/>
    </row>
    <row r="20" spans="1:11" x14ac:dyDescent="0.35">
      <c r="A20" s="1"/>
      <c r="B20" s="5"/>
      <c r="C20" s="25" t="s">
        <v>516</v>
      </c>
      <c r="D20" s="25">
        <v>90746</v>
      </c>
      <c r="E20" s="25" t="s">
        <v>516</v>
      </c>
      <c r="F20" s="25" t="s">
        <v>730</v>
      </c>
      <c r="G20" s="50">
        <v>216</v>
      </c>
      <c r="H20" s="1"/>
      <c r="I20" s="6"/>
      <c r="J20" s="1"/>
      <c r="K20" s="1"/>
    </row>
    <row r="21" spans="1:11" x14ac:dyDescent="0.35">
      <c r="A21" s="1"/>
      <c r="B21" s="5"/>
      <c r="C21" s="25" t="s">
        <v>516</v>
      </c>
      <c r="D21" s="25">
        <v>90088</v>
      </c>
      <c r="E21" s="25" t="s">
        <v>516</v>
      </c>
      <c r="F21" s="25" t="s">
        <v>916</v>
      </c>
      <c r="G21" s="50">
        <v>11223.02181</v>
      </c>
      <c r="H21" s="1"/>
      <c r="I21" s="6"/>
      <c r="J21" s="1"/>
      <c r="K21" s="1"/>
    </row>
    <row r="22" spans="1:11" x14ac:dyDescent="0.35">
      <c r="A22" s="1"/>
      <c r="B22" s="5"/>
      <c r="C22" s="25" t="s">
        <v>516</v>
      </c>
      <c r="D22" s="25">
        <v>90294</v>
      </c>
      <c r="E22" s="25" t="s">
        <v>516</v>
      </c>
      <c r="F22" s="25" t="s">
        <v>916</v>
      </c>
      <c r="G22" s="50">
        <v>193.41036</v>
      </c>
      <c r="H22" s="1"/>
      <c r="I22" s="6"/>
      <c r="J22" s="1"/>
      <c r="K22" s="1"/>
    </row>
    <row r="23" spans="1:11" x14ac:dyDescent="0.35">
      <c r="A23" s="1"/>
      <c r="B23" s="5"/>
      <c r="C23" s="25" t="s">
        <v>516</v>
      </c>
      <c r="D23" s="25">
        <v>90621</v>
      </c>
      <c r="E23" s="25" t="s">
        <v>516</v>
      </c>
      <c r="F23" s="25" t="s">
        <v>916</v>
      </c>
      <c r="G23" s="50">
        <v>94.003045</v>
      </c>
      <c r="H23" s="1"/>
      <c r="I23" s="6"/>
      <c r="J23" s="1"/>
      <c r="K23" s="1"/>
    </row>
    <row r="24" spans="1:11" x14ac:dyDescent="0.35">
      <c r="A24" s="1"/>
      <c r="B24" s="5"/>
      <c r="C24" s="25" t="s">
        <v>516</v>
      </c>
      <c r="D24" s="25">
        <v>90300</v>
      </c>
      <c r="E24" s="25" t="s">
        <v>516</v>
      </c>
      <c r="F24" s="25" t="s">
        <v>916</v>
      </c>
      <c r="G24" s="50">
        <v>6263.5261979999996</v>
      </c>
      <c r="H24" s="1"/>
      <c r="I24" s="6"/>
      <c r="J24" s="1"/>
      <c r="K24" s="1"/>
    </row>
    <row r="25" spans="1:11" x14ac:dyDescent="0.35">
      <c r="A25" s="1"/>
      <c r="B25" s="5"/>
      <c r="C25" s="25" t="s">
        <v>516</v>
      </c>
      <c r="D25" s="25">
        <v>414</v>
      </c>
      <c r="E25" s="25" t="s">
        <v>516</v>
      </c>
      <c r="F25" s="25" t="s">
        <v>1085</v>
      </c>
      <c r="G25" s="50">
        <v>4851.0600000000004</v>
      </c>
      <c r="H25" s="1"/>
      <c r="I25" s="6"/>
      <c r="J25" s="1"/>
      <c r="K25" s="1"/>
    </row>
    <row r="26" spans="1:11" x14ac:dyDescent="0.35">
      <c r="A26" s="1"/>
      <c r="B26" s="5"/>
      <c r="C26" s="25" t="s">
        <v>516</v>
      </c>
      <c r="D26" s="25">
        <v>318</v>
      </c>
      <c r="E26" s="25" t="s">
        <v>516</v>
      </c>
      <c r="F26" s="25" t="s">
        <v>887</v>
      </c>
      <c r="G26" s="50">
        <v>4894.1549999999997</v>
      </c>
      <c r="H26" s="1"/>
      <c r="I26" s="6"/>
      <c r="J26" s="1"/>
      <c r="K26" s="1"/>
    </row>
    <row r="27" spans="1:11" x14ac:dyDescent="0.35">
      <c r="A27" s="1"/>
      <c r="B27" s="5"/>
      <c r="C27" s="25" t="s">
        <v>516</v>
      </c>
      <c r="D27" s="25">
        <v>324</v>
      </c>
      <c r="E27" s="25" t="s">
        <v>516</v>
      </c>
      <c r="F27" s="25" t="s">
        <v>887</v>
      </c>
      <c r="G27" s="50">
        <v>4894.6549999999997</v>
      </c>
      <c r="H27" s="1"/>
      <c r="I27" s="6"/>
      <c r="J27" s="1"/>
      <c r="K27" s="1"/>
    </row>
    <row r="28" spans="1:11" x14ac:dyDescent="0.35">
      <c r="A28" s="1"/>
      <c r="B28" s="5"/>
      <c r="C28" s="25" t="s">
        <v>516</v>
      </c>
      <c r="D28" s="25">
        <v>630</v>
      </c>
      <c r="E28" s="25" t="s">
        <v>516</v>
      </c>
      <c r="F28" s="25" t="s">
        <v>890</v>
      </c>
      <c r="G28" s="50">
        <v>98631.728000000003</v>
      </c>
      <c r="H28" s="1"/>
      <c r="I28" s="6"/>
      <c r="J28" s="1"/>
      <c r="K28" s="1"/>
    </row>
    <row r="29" spans="1:11" x14ac:dyDescent="0.35">
      <c r="A29" s="1"/>
      <c r="B29" s="5"/>
      <c r="C29" s="25" t="s">
        <v>516</v>
      </c>
      <c r="D29" s="25">
        <v>631</v>
      </c>
      <c r="E29" s="25" t="s">
        <v>516</v>
      </c>
      <c r="F29" s="25" t="s">
        <v>890</v>
      </c>
      <c r="G29" s="50">
        <v>98999.902910000004</v>
      </c>
      <c r="H29" s="1"/>
      <c r="I29" s="6"/>
      <c r="J29" s="1"/>
      <c r="K29" s="1"/>
    </row>
    <row r="30" spans="1:11" x14ac:dyDescent="0.35">
      <c r="A30" s="1"/>
      <c r="B30" s="5"/>
      <c r="C30" s="25" t="s">
        <v>516</v>
      </c>
      <c r="D30" s="25">
        <v>811</v>
      </c>
      <c r="E30" s="25" t="s">
        <v>516</v>
      </c>
      <c r="F30" s="25" t="s">
        <v>369</v>
      </c>
      <c r="G30" s="50">
        <v>12.953430000000001</v>
      </c>
      <c r="H30" s="1"/>
      <c r="I30" s="6"/>
      <c r="J30" s="1"/>
      <c r="K30" s="1"/>
    </row>
    <row r="31" spans="1:11" x14ac:dyDescent="0.35">
      <c r="A31" s="1"/>
      <c r="B31" s="5"/>
      <c r="C31" s="25" t="s">
        <v>516</v>
      </c>
      <c r="D31" s="25">
        <v>715</v>
      </c>
      <c r="E31" s="25" t="s">
        <v>516</v>
      </c>
      <c r="F31" s="25" t="s">
        <v>389</v>
      </c>
      <c r="G31" s="50">
        <v>975.45450000000005</v>
      </c>
      <c r="H31" s="1"/>
      <c r="I31" s="6"/>
      <c r="J31" s="1"/>
      <c r="K31" s="1"/>
    </row>
    <row r="32" spans="1:11" x14ac:dyDescent="0.35">
      <c r="A32" s="1"/>
      <c r="B32" s="9"/>
      <c r="C32" s="25" t="s">
        <v>516</v>
      </c>
      <c r="D32" s="25">
        <v>716</v>
      </c>
      <c r="E32" s="25" t="s">
        <v>516</v>
      </c>
      <c r="F32" s="25" t="s">
        <v>389</v>
      </c>
      <c r="G32" s="50">
        <v>650.303</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1142</v>
      </c>
      <c r="D5" s="23" t="s">
        <v>735</v>
      </c>
      <c r="E5" s="23" t="s">
        <v>1144</v>
      </c>
      <c r="F5" s="23" t="s">
        <v>642</v>
      </c>
      <c r="G5" s="1"/>
      <c r="H5" s="6"/>
      <c r="I5" s="1"/>
      <c r="J5" s="1"/>
    </row>
    <row r="6" spans="1:10" x14ac:dyDescent="0.35">
      <c r="A6" s="1"/>
      <c r="B6" s="5"/>
      <c r="C6" s="25" t="s">
        <v>337</v>
      </c>
      <c r="D6" s="25" t="s">
        <v>1145</v>
      </c>
      <c r="E6" s="50">
        <v>1</v>
      </c>
      <c r="F6" s="50">
        <v>801.23924999999997</v>
      </c>
      <c r="G6" s="1"/>
      <c r="H6" s="6"/>
      <c r="I6" s="1"/>
      <c r="J6" s="1"/>
    </row>
    <row r="7" spans="1:10" x14ac:dyDescent="0.35">
      <c r="A7" s="1"/>
      <c r="B7" s="5"/>
      <c r="C7" s="25" t="s">
        <v>341</v>
      </c>
      <c r="D7" s="25" t="s">
        <v>1145</v>
      </c>
      <c r="E7" s="50">
        <v>1</v>
      </c>
      <c r="F7" s="50">
        <v>4875.9250000000002</v>
      </c>
      <c r="G7" s="1"/>
      <c r="H7" s="6"/>
      <c r="I7" s="1"/>
      <c r="J7" s="1"/>
    </row>
    <row r="8" spans="1:10" x14ac:dyDescent="0.35">
      <c r="A8" s="1"/>
      <c r="B8" s="5"/>
      <c r="C8" s="25" t="s">
        <v>345</v>
      </c>
      <c r="D8" s="25" t="s">
        <v>1145</v>
      </c>
      <c r="E8" s="50">
        <v>1</v>
      </c>
      <c r="F8" s="50">
        <v>17094.16</v>
      </c>
      <c r="G8" s="1"/>
      <c r="H8" s="6"/>
      <c r="I8" s="1"/>
      <c r="J8" s="1"/>
    </row>
    <row r="9" spans="1:10" x14ac:dyDescent="0.35">
      <c r="A9" s="1"/>
      <c r="B9" s="5"/>
      <c r="C9" s="25" t="s">
        <v>361</v>
      </c>
      <c r="D9" s="25" t="s">
        <v>1145</v>
      </c>
      <c r="E9" s="50">
        <v>1</v>
      </c>
      <c r="F9" s="50">
        <v>4677.97</v>
      </c>
      <c r="G9" s="1"/>
      <c r="H9" s="6"/>
      <c r="I9" s="1"/>
      <c r="J9" s="1"/>
    </row>
    <row r="10" spans="1:10" x14ac:dyDescent="0.35">
      <c r="A10" s="1"/>
      <c r="B10" s="5"/>
      <c r="C10" s="25" t="s">
        <v>369</v>
      </c>
      <c r="D10" s="25" t="s">
        <v>1145</v>
      </c>
      <c r="E10" s="50">
        <v>3</v>
      </c>
      <c r="F10" s="50">
        <v>24061.77</v>
      </c>
      <c r="G10" s="1"/>
      <c r="H10" s="6"/>
      <c r="I10" s="1"/>
      <c r="J10" s="1"/>
    </row>
    <row r="11" spans="1:10" x14ac:dyDescent="0.35">
      <c r="A11" s="1"/>
      <c r="B11" s="9"/>
      <c r="C11" s="25"/>
      <c r="D11" s="25"/>
      <c r="E11" s="25"/>
      <c r="F11" s="50">
        <v>0</v>
      </c>
      <c r="G11" s="10"/>
      <c r="H11" s="11"/>
      <c r="I11" s="1"/>
      <c r="J11" s="1"/>
    </row>
    <row r="12"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2"/>
  <sheetViews>
    <sheetView showGridLines="0" workbookViewId="0"/>
  </sheetViews>
  <sheetFormatPr baseColWidth="10" defaultRowHeight="14.5" x14ac:dyDescent="0.35"/>
  <cols>
    <col min="1" max="2" width="2.7265625" customWidth="1"/>
    <col min="3" max="3" width="17.81640625" customWidth="1"/>
    <col min="4" max="10" width="13.7265625" customWidth="1"/>
    <col min="11" max="11" width="16.453125" customWidth="1"/>
    <col min="12" max="12" width="8" customWidth="1"/>
    <col min="13" max="13" width="215.5429687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51.65" customHeight="1" x14ac:dyDescent="0.35">
      <c r="A4" s="1"/>
      <c r="B4" s="5"/>
      <c r="C4" s="1"/>
      <c r="D4" s="1"/>
      <c r="E4" s="1"/>
      <c r="F4" s="1"/>
      <c r="G4" s="1"/>
      <c r="H4" s="1"/>
      <c r="I4" s="1"/>
      <c r="J4" s="1"/>
      <c r="K4" s="1"/>
      <c r="L4" s="6"/>
      <c r="M4" s="1"/>
      <c r="N4" s="1"/>
    </row>
    <row r="5" spans="1:14" ht="18" customHeight="1" x14ac:dyDescent="0.35">
      <c r="A5" s="1"/>
      <c r="B5" s="5"/>
      <c r="C5" s="78" t="s">
        <v>647</v>
      </c>
      <c r="D5" s="67"/>
      <c r="E5" s="67"/>
      <c r="F5" s="67"/>
      <c r="G5" s="67"/>
      <c r="H5" s="67"/>
      <c r="I5" s="67"/>
      <c r="J5" s="67"/>
      <c r="K5" s="67"/>
      <c r="L5" s="6"/>
      <c r="M5" s="1"/>
      <c r="N5" s="1"/>
    </row>
    <row r="6" spans="1:14" ht="25.4" customHeight="1" x14ac:dyDescent="0.35">
      <c r="A6" s="1"/>
      <c r="B6" s="5"/>
      <c r="C6" s="1"/>
      <c r="D6" s="1"/>
      <c r="E6" s="1"/>
      <c r="F6" s="1"/>
      <c r="G6" s="1"/>
      <c r="H6" s="1"/>
      <c r="I6" s="1"/>
      <c r="J6" s="1"/>
      <c r="K6" s="1"/>
      <c r="L6" s="6"/>
      <c r="M6" s="1"/>
      <c r="N6" s="1"/>
    </row>
    <row r="7" spans="1:14" x14ac:dyDescent="0.35">
      <c r="A7" s="1"/>
      <c r="B7" s="5"/>
      <c r="C7" s="78" t="s">
        <v>5</v>
      </c>
      <c r="D7" s="74" t="s">
        <v>739</v>
      </c>
      <c r="E7" s="75"/>
      <c r="F7" s="75"/>
      <c r="G7" s="75"/>
      <c r="H7" s="76"/>
      <c r="I7" s="74" t="s">
        <v>233</v>
      </c>
      <c r="J7" s="76"/>
      <c r="K7" s="1"/>
      <c r="L7" s="6"/>
      <c r="M7" s="1"/>
      <c r="N7" s="1"/>
    </row>
    <row r="8" spans="1:14" x14ac:dyDescent="0.35">
      <c r="A8" s="1"/>
      <c r="B8" s="5"/>
      <c r="C8" s="67"/>
      <c r="D8" s="24" t="s">
        <v>619</v>
      </c>
      <c r="E8" s="24" t="s">
        <v>620</v>
      </c>
      <c r="F8" s="24" t="s">
        <v>621</v>
      </c>
      <c r="G8" s="24" t="s">
        <v>622</v>
      </c>
      <c r="H8" s="24" t="s">
        <v>649</v>
      </c>
      <c r="I8" s="24" t="s">
        <v>619</v>
      </c>
      <c r="J8" s="24" t="s">
        <v>620</v>
      </c>
      <c r="K8" s="1"/>
      <c r="L8" s="6"/>
      <c r="M8" s="1"/>
      <c r="N8" s="1"/>
    </row>
    <row r="9" spans="1:14" x14ac:dyDescent="0.35">
      <c r="A9" s="1"/>
      <c r="B9" s="5"/>
      <c r="C9" s="25" t="s">
        <v>746</v>
      </c>
      <c r="D9" s="50">
        <v>5673.6438690000004</v>
      </c>
      <c r="E9" s="50">
        <v>0</v>
      </c>
      <c r="F9" s="50">
        <v>0</v>
      </c>
      <c r="G9" s="50">
        <v>0</v>
      </c>
      <c r="H9" s="50">
        <v>0</v>
      </c>
      <c r="I9" s="50">
        <v>0</v>
      </c>
      <c r="J9" s="50">
        <v>0</v>
      </c>
      <c r="K9" s="1"/>
      <c r="L9" s="6"/>
      <c r="M9" s="1"/>
      <c r="N9" s="1"/>
    </row>
    <row r="10" spans="1:14" x14ac:dyDescent="0.35">
      <c r="A10" s="1"/>
      <c r="B10" s="5"/>
      <c r="C10" s="25" t="s">
        <v>750</v>
      </c>
      <c r="D10" s="50">
        <v>2056.4159639999998</v>
      </c>
      <c r="E10" s="50">
        <v>0</v>
      </c>
      <c r="F10" s="50">
        <v>0</v>
      </c>
      <c r="G10" s="50">
        <v>0</v>
      </c>
      <c r="H10" s="50">
        <v>0</v>
      </c>
      <c r="I10" s="50">
        <v>0</v>
      </c>
      <c r="J10" s="50">
        <v>0</v>
      </c>
      <c r="K10" s="1"/>
      <c r="L10" s="6"/>
      <c r="M10" s="1"/>
      <c r="N10" s="1"/>
    </row>
    <row r="11" spans="1:14" x14ac:dyDescent="0.35">
      <c r="A11" s="1"/>
      <c r="B11" s="5"/>
      <c r="C11" s="25" t="s">
        <v>751</v>
      </c>
      <c r="D11" s="50">
        <v>1001.3999</v>
      </c>
      <c r="E11" s="50">
        <v>0</v>
      </c>
      <c r="F11" s="50">
        <v>0</v>
      </c>
      <c r="G11" s="50">
        <v>0</v>
      </c>
      <c r="H11" s="50">
        <v>0</v>
      </c>
      <c r="I11" s="50">
        <v>0</v>
      </c>
      <c r="J11" s="50">
        <v>0</v>
      </c>
      <c r="K11" s="1"/>
      <c r="L11" s="6"/>
      <c r="M11" s="1"/>
      <c r="N11" s="1"/>
    </row>
    <row r="12" spans="1:14" x14ac:dyDescent="0.35">
      <c r="A12" s="1"/>
      <c r="B12" s="5"/>
      <c r="C12" s="25" t="s">
        <v>1146</v>
      </c>
      <c r="D12" s="50">
        <v>0</v>
      </c>
      <c r="E12" s="50">
        <v>1521.486588</v>
      </c>
      <c r="F12" s="50">
        <v>0</v>
      </c>
      <c r="G12" s="50">
        <v>0</v>
      </c>
      <c r="H12" s="50">
        <v>0</v>
      </c>
      <c r="I12" s="50">
        <v>0</v>
      </c>
      <c r="J12" s="50">
        <v>0</v>
      </c>
      <c r="K12" s="1"/>
      <c r="L12" s="6"/>
      <c r="M12" s="1"/>
      <c r="N12" s="1"/>
    </row>
    <row r="13" spans="1:14" x14ac:dyDescent="0.35">
      <c r="A13" s="1"/>
      <c r="B13" s="5"/>
      <c r="C13" s="25" t="s">
        <v>1147</v>
      </c>
      <c r="D13" s="50">
        <v>7114.087982</v>
      </c>
      <c r="E13" s="50">
        <v>0</v>
      </c>
      <c r="F13" s="50">
        <v>0</v>
      </c>
      <c r="G13" s="50">
        <v>0</v>
      </c>
      <c r="H13" s="50">
        <v>0</v>
      </c>
      <c r="I13" s="50">
        <v>0</v>
      </c>
      <c r="J13" s="50">
        <v>0</v>
      </c>
      <c r="K13" s="1"/>
      <c r="L13" s="6"/>
      <c r="M13" s="1"/>
      <c r="N13" s="1"/>
    </row>
    <row r="14" spans="1:14" x14ac:dyDescent="0.35">
      <c r="A14" s="1"/>
      <c r="B14" s="5"/>
      <c r="C14" s="25" t="s">
        <v>757</v>
      </c>
      <c r="D14" s="50">
        <v>914.87360100000001</v>
      </c>
      <c r="E14" s="50">
        <v>0</v>
      </c>
      <c r="F14" s="50">
        <v>0</v>
      </c>
      <c r="G14" s="50">
        <v>0</v>
      </c>
      <c r="H14" s="50">
        <v>0</v>
      </c>
      <c r="I14" s="50">
        <v>0</v>
      </c>
      <c r="J14" s="50">
        <v>0</v>
      </c>
      <c r="K14" s="1"/>
      <c r="L14" s="6"/>
      <c r="M14" s="1"/>
      <c r="N14" s="1"/>
    </row>
    <row r="15" spans="1:14" x14ac:dyDescent="0.35">
      <c r="A15" s="1"/>
      <c r="B15" s="5"/>
      <c r="C15" s="25" t="s">
        <v>761</v>
      </c>
      <c r="D15" s="50">
        <v>1015.359234</v>
      </c>
      <c r="E15" s="50">
        <v>0</v>
      </c>
      <c r="F15" s="50">
        <v>0</v>
      </c>
      <c r="G15" s="50">
        <v>0</v>
      </c>
      <c r="H15" s="50">
        <v>0</v>
      </c>
      <c r="I15" s="50">
        <v>0</v>
      </c>
      <c r="J15" s="50">
        <v>0</v>
      </c>
      <c r="K15" s="1"/>
      <c r="L15" s="6"/>
      <c r="M15" s="1"/>
      <c r="N15" s="1"/>
    </row>
    <row r="16" spans="1:14" x14ac:dyDescent="0.35">
      <c r="A16" s="1"/>
      <c r="B16" s="5"/>
      <c r="C16" s="25" t="s">
        <v>1148</v>
      </c>
      <c r="D16" s="50">
        <v>0</v>
      </c>
      <c r="E16" s="50">
        <v>492.63609100000002</v>
      </c>
      <c r="F16" s="50">
        <v>0</v>
      </c>
      <c r="G16" s="50">
        <v>0</v>
      </c>
      <c r="H16" s="50">
        <v>0</v>
      </c>
      <c r="I16" s="50">
        <v>0</v>
      </c>
      <c r="J16" s="50">
        <v>0</v>
      </c>
      <c r="K16" s="1"/>
      <c r="L16" s="6"/>
      <c r="M16" s="1"/>
      <c r="N16" s="1"/>
    </row>
    <row r="17" spans="1:14" x14ac:dyDescent="0.35">
      <c r="A17" s="1"/>
      <c r="B17" s="5"/>
      <c r="C17" s="25" t="s">
        <v>936</v>
      </c>
      <c r="D17" s="50">
        <v>0</v>
      </c>
      <c r="E17" s="50">
        <v>4471.5277349999997</v>
      </c>
      <c r="F17" s="50">
        <v>0</v>
      </c>
      <c r="G17" s="50">
        <v>0</v>
      </c>
      <c r="H17" s="50">
        <v>0</v>
      </c>
      <c r="I17" s="50">
        <v>0</v>
      </c>
      <c r="J17" s="50">
        <v>0</v>
      </c>
      <c r="K17" s="1"/>
      <c r="L17" s="6"/>
      <c r="M17" s="1"/>
      <c r="N17" s="1"/>
    </row>
    <row r="18" spans="1:14" x14ac:dyDescent="0.35">
      <c r="A18" s="1"/>
      <c r="B18" s="5"/>
      <c r="C18" s="25" t="s">
        <v>767</v>
      </c>
      <c r="D18" s="50">
        <v>6954.4438529999998</v>
      </c>
      <c r="E18" s="50">
        <v>0</v>
      </c>
      <c r="F18" s="50">
        <v>0</v>
      </c>
      <c r="G18" s="50">
        <v>0</v>
      </c>
      <c r="H18" s="50">
        <v>0</v>
      </c>
      <c r="I18" s="50">
        <v>0</v>
      </c>
      <c r="J18" s="50">
        <v>0</v>
      </c>
      <c r="K18" s="1"/>
      <c r="L18" s="6"/>
      <c r="M18" s="1"/>
      <c r="N18" s="1"/>
    </row>
    <row r="19" spans="1:14" x14ac:dyDescent="0.35">
      <c r="A19" s="1"/>
      <c r="B19" s="5"/>
      <c r="C19" s="25" t="s">
        <v>770</v>
      </c>
      <c r="D19" s="50">
        <v>6552.0044770000004</v>
      </c>
      <c r="E19" s="50">
        <v>0</v>
      </c>
      <c r="F19" s="50">
        <v>0</v>
      </c>
      <c r="G19" s="50">
        <v>0</v>
      </c>
      <c r="H19" s="50">
        <v>0</v>
      </c>
      <c r="I19" s="50">
        <v>0</v>
      </c>
      <c r="J19" s="50">
        <v>0</v>
      </c>
      <c r="K19" s="1"/>
      <c r="L19" s="6"/>
      <c r="M19" s="1"/>
      <c r="N19" s="1"/>
    </row>
    <row r="20" spans="1:14" x14ac:dyDescent="0.35">
      <c r="A20" s="1"/>
      <c r="B20" s="5"/>
      <c r="C20" s="25" t="s">
        <v>1149</v>
      </c>
      <c r="D20" s="50">
        <v>0</v>
      </c>
      <c r="E20" s="50">
        <v>0</v>
      </c>
      <c r="F20" s="50">
        <v>0</v>
      </c>
      <c r="G20" s="50">
        <v>149.33446499999999</v>
      </c>
      <c r="H20" s="50">
        <v>0</v>
      </c>
      <c r="I20" s="50">
        <v>0</v>
      </c>
      <c r="J20" s="50">
        <v>0</v>
      </c>
      <c r="K20" s="1"/>
      <c r="L20" s="6"/>
      <c r="M20" s="1"/>
      <c r="N20" s="1"/>
    </row>
    <row r="21" spans="1:14" x14ac:dyDescent="0.35">
      <c r="A21" s="1"/>
      <c r="B21" s="5"/>
      <c r="C21" s="25" t="s">
        <v>946</v>
      </c>
      <c r="D21" s="50">
        <v>0</v>
      </c>
      <c r="E21" s="50">
        <v>0</v>
      </c>
      <c r="F21" s="50">
        <v>0</v>
      </c>
      <c r="G21" s="50">
        <v>0</v>
      </c>
      <c r="H21" s="50">
        <v>97.800606000000002</v>
      </c>
      <c r="I21" s="50">
        <v>0</v>
      </c>
      <c r="J21" s="50">
        <v>0</v>
      </c>
      <c r="K21" s="1"/>
      <c r="L21" s="6"/>
      <c r="M21" s="1"/>
      <c r="N21" s="1"/>
    </row>
    <row r="22" spans="1:14" x14ac:dyDescent="0.35">
      <c r="A22" s="1"/>
      <c r="B22" s="5"/>
      <c r="C22" s="25" t="s">
        <v>1150</v>
      </c>
      <c r="D22" s="50">
        <v>37.545158000000001</v>
      </c>
      <c r="E22" s="50">
        <v>609.37986699999999</v>
      </c>
      <c r="F22" s="50">
        <v>0</v>
      </c>
      <c r="G22" s="50">
        <v>0</v>
      </c>
      <c r="H22" s="50">
        <v>0</v>
      </c>
      <c r="I22" s="50">
        <v>0</v>
      </c>
      <c r="J22" s="50">
        <v>0</v>
      </c>
      <c r="K22" s="1"/>
      <c r="L22" s="6"/>
      <c r="M22" s="1"/>
      <c r="N22" s="1"/>
    </row>
    <row r="23" spans="1:14" x14ac:dyDescent="0.35">
      <c r="A23" s="1"/>
      <c r="B23" s="5"/>
      <c r="C23" s="25" t="s">
        <v>1151</v>
      </c>
      <c r="D23" s="50">
        <v>641.13595999999995</v>
      </c>
      <c r="E23" s="50">
        <v>854.45408699999996</v>
      </c>
      <c r="F23" s="50">
        <v>191.36529100000001</v>
      </c>
      <c r="G23" s="50">
        <v>0</v>
      </c>
      <c r="H23" s="50">
        <v>0</v>
      </c>
      <c r="I23" s="50">
        <v>0</v>
      </c>
      <c r="J23" s="50">
        <v>0</v>
      </c>
      <c r="K23" s="1"/>
      <c r="L23" s="6"/>
      <c r="M23" s="1"/>
      <c r="N23" s="1"/>
    </row>
    <row r="24" spans="1:14" x14ac:dyDescent="0.35">
      <c r="A24" s="1"/>
      <c r="B24" s="5"/>
      <c r="C24" s="25" t="s">
        <v>776</v>
      </c>
      <c r="D24" s="50">
        <v>0</v>
      </c>
      <c r="E24" s="50">
        <v>0</v>
      </c>
      <c r="F24" s="50">
        <v>438.28078699999998</v>
      </c>
      <c r="G24" s="50">
        <v>0</v>
      </c>
      <c r="H24" s="50">
        <v>0</v>
      </c>
      <c r="I24" s="50">
        <v>0</v>
      </c>
      <c r="J24" s="50">
        <v>0</v>
      </c>
      <c r="K24" s="1"/>
      <c r="L24" s="6"/>
      <c r="M24" s="1"/>
      <c r="N24" s="1"/>
    </row>
    <row r="25" spans="1:14" x14ac:dyDescent="0.35">
      <c r="A25" s="1"/>
      <c r="B25" s="5"/>
      <c r="C25" s="25" t="s">
        <v>1152</v>
      </c>
      <c r="D25" s="50">
        <v>0</v>
      </c>
      <c r="E25" s="50">
        <v>5550.6947950000003</v>
      </c>
      <c r="F25" s="50">
        <v>0</v>
      </c>
      <c r="G25" s="50">
        <v>0</v>
      </c>
      <c r="H25" s="50">
        <v>0</v>
      </c>
      <c r="I25" s="50">
        <v>0</v>
      </c>
      <c r="J25" s="50">
        <v>0</v>
      </c>
      <c r="K25" s="1"/>
      <c r="L25" s="6"/>
      <c r="M25" s="1"/>
      <c r="N25" s="1"/>
    </row>
    <row r="26" spans="1:14" x14ac:dyDescent="0.35">
      <c r="A26" s="1"/>
      <c r="B26" s="5"/>
      <c r="C26" s="25" t="s">
        <v>779</v>
      </c>
      <c r="D26" s="50">
        <v>1014.15379</v>
      </c>
      <c r="E26" s="50">
        <v>0</v>
      </c>
      <c r="F26" s="50">
        <v>502.62831799999998</v>
      </c>
      <c r="G26" s="50">
        <v>0</v>
      </c>
      <c r="H26" s="50">
        <v>0</v>
      </c>
      <c r="I26" s="50">
        <v>0</v>
      </c>
      <c r="J26" s="50">
        <v>0</v>
      </c>
      <c r="K26" s="1"/>
      <c r="L26" s="6"/>
      <c r="M26" s="1"/>
      <c r="N26" s="1"/>
    </row>
    <row r="27" spans="1:14" x14ac:dyDescent="0.35">
      <c r="A27" s="1"/>
      <c r="B27" s="5"/>
      <c r="C27" s="25" t="s">
        <v>684</v>
      </c>
      <c r="D27" s="50">
        <v>27870.559209999999</v>
      </c>
      <c r="E27" s="50">
        <v>0</v>
      </c>
      <c r="F27" s="50">
        <v>0</v>
      </c>
      <c r="G27" s="50">
        <v>0</v>
      </c>
      <c r="H27" s="50">
        <v>0</v>
      </c>
      <c r="I27" s="50">
        <v>0</v>
      </c>
      <c r="J27" s="50">
        <v>0</v>
      </c>
      <c r="K27" s="1"/>
      <c r="L27" s="6"/>
      <c r="M27" s="1"/>
      <c r="N27" s="1"/>
    </row>
    <row r="28" spans="1:14" x14ac:dyDescent="0.35">
      <c r="A28" s="1"/>
      <c r="B28" s="5"/>
      <c r="C28" s="25" t="s">
        <v>802</v>
      </c>
      <c r="D28" s="50">
        <v>2181.4184270000001</v>
      </c>
      <c r="E28" s="50">
        <v>3703.0799830000001</v>
      </c>
      <c r="F28" s="50">
        <v>0</v>
      </c>
      <c r="G28" s="50">
        <v>0</v>
      </c>
      <c r="H28" s="50">
        <v>0</v>
      </c>
      <c r="I28" s="50">
        <v>0</v>
      </c>
      <c r="J28" s="50">
        <v>0</v>
      </c>
      <c r="K28" s="1"/>
      <c r="L28" s="6"/>
      <c r="M28" s="1"/>
      <c r="N28" s="1"/>
    </row>
    <row r="29" spans="1:14" x14ac:dyDescent="0.35">
      <c r="A29" s="1"/>
      <c r="B29" s="5"/>
      <c r="C29" s="25" t="s">
        <v>695</v>
      </c>
      <c r="D29" s="50">
        <v>3010.7894590000001</v>
      </c>
      <c r="E29" s="50">
        <v>0</v>
      </c>
      <c r="F29" s="50">
        <v>0</v>
      </c>
      <c r="G29" s="50">
        <v>0</v>
      </c>
      <c r="H29" s="50">
        <v>0</v>
      </c>
      <c r="I29" s="50">
        <v>0</v>
      </c>
      <c r="J29" s="50">
        <v>0</v>
      </c>
      <c r="K29" s="1"/>
      <c r="L29" s="6"/>
      <c r="M29" s="1"/>
      <c r="N29" s="1"/>
    </row>
    <row r="30" spans="1:14" x14ac:dyDescent="0.35">
      <c r="A30" s="1"/>
      <c r="B30" s="5"/>
      <c r="C30" s="25" t="s">
        <v>702</v>
      </c>
      <c r="D30" s="50">
        <v>27247.850899000001</v>
      </c>
      <c r="E30" s="50">
        <v>838.51355599999999</v>
      </c>
      <c r="F30" s="50">
        <v>0</v>
      </c>
      <c r="G30" s="50">
        <v>358.89110899999997</v>
      </c>
      <c r="H30" s="50">
        <v>0</v>
      </c>
      <c r="I30" s="50">
        <v>0</v>
      </c>
      <c r="J30" s="50">
        <v>0</v>
      </c>
      <c r="K30" s="1"/>
      <c r="L30" s="6"/>
      <c r="M30" s="1"/>
      <c r="N30" s="1"/>
    </row>
    <row r="31" spans="1:14" x14ac:dyDescent="0.35">
      <c r="A31" s="1"/>
      <c r="B31" s="5"/>
      <c r="C31" s="25" t="s">
        <v>704</v>
      </c>
      <c r="D31" s="50">
        <v>7005.0010060000004</v>
      </c>
      <c r="E31" s="50">
        <v>0</v>
      </c>
      <c r="F31" s="50">
        <v>0</v>
      </c>
      <c r="G31" s="50">
        <v>0</v>
      </c>
      <c r="H31" s="50">
        <v>0</v>
      </c>
      <c r="I31" s="50">
        <v>0</v>
      </c>
      <c r="J31" s="50">
        <v>0</v>
      </c>
      <c r="K31" s="1"/>
      <c r="L31" s="6"/>
      <c r="M31" s="1"/>
      <c r="N31" s="1"/>
    </row>
    <row r="32" spans="1:14" x14ac:dyDescent="0.35">
      <c r="A32" s="1"/>
      <c r="B32" s="5"/>
      <c r="C32" s="25" t="s">
        <v>844</v>
      </c>
      <c r="D32" s="50">
        <v>3523.2511599999998</v>
      </c>
      <c r="E32" s="50">
        <v>0</v>
      </c>
      <c r="F32" s="50">
        <v>0</v>
      </c>
      <c r="G32" s="50">
        <v>0</v>
      </c>
      <c r="H32" s="50">
        <v>0</v>
      </c>
      <c r="I32" s="50">
        <v>0</v>
      </c>
      <c r="J32" s="50">
        <v>0</v>
      </c>
      <c r="K32" s="1"/>
      <c r="L32" s="6"/>
      <c r="M32" s="1"/>
      <c r="N32" s="1"/>
    </row>
    <row r="33" spans="1:14" x14ac:dyDescent="0.35">
      <c r="A33" s="1"/>
      <c r="B33" s="5"/>
      <c r="C33" s="25" t="s">
        <v>712</v>
      </c>
      <c r="D33" s="50">
        <v>8762.7268069999991</v>
      </c>
      <c r="E33" s="50">
        <v>504.93725000000001</v>
      </c>
      <c r="F33" s="50">
        <v>0</v>
      </c>
      <c r="G33" s="50">
        <v>0</v>
      </c>
      <c r="H33" s="50">
        <v>0</v>
      </c>
      <c r="I33" s="50">
        <v>0</v>
      </c>
      <c r="J33" s="50">
        <v>0</v>
      </c>
      <c r="K33" s="1"/>
      <c r="L33" s="6"/>
      <c r="M33" s="1"/>
      <c r="N33" s="1"/>
    </row>
    <row r="34" spans="1:14" x14ac:dyDescent="0.35">
      <c r="A34" s="1"/>
      <c r="B34" s="5"/>
      <c r="C34" s="25" t="s">
        <v>1061</v>
      </c>
      <c r="D34" s="50">
        <v>4514.4766079999999</v>
      </c>
      <c r="E34" s="50">
        <v>0</v>
      </c>
      <c r="F34" s="50">
        <v>0</v>
      </c>
      <c r="G34" s="50">
        <v>0</v>
      </c>
      <c r="H34" s="50">
        <v>0</v>
      </c>
      <c r="I34" s="50">
        <v>0</v>
      </c>
      <c r="J34" s="50">
        <v>0</v>
      </c>
      <c r="K34" s="1"/>
      <c r="L34" s="6"/>
      <c r="M34" s="1"/>
      <c r="N34" s="1"/>
    </row>
    <row r="35" spans="1:14" x14ac:dyDescent="0.35">
      <c r="A35" s="1"/>
      <c r="B35" s="5"/>
      <c r="C35" s="25" t="s">
        <v>858</v>
      </c>
      <c r="D35" s="50">
        <v>34117.961374999999</v>
      </c>
      <c r="E35" s="50">
        <v>0</v>
      </c>
      <c r="F35" s="50">
        <v>0</v>
      </c>
      <c r="G35" s="50">
        <v>0</v>
      </c>
      <c r="H35" s="50">
        <v>0</v>
      </c>
      <c r="I35" s="50">
        <v>0</v>
      </c>
      <c r="J35" s="50">
        <v>0</v>
      </c>
      <c r="K35" s="1"/>
      <c r="L35" s="6"/>
      <c r="M35" s="1"/>
      <c r="N35" s="1"/>
    </row>
    <row r="36" spans="1:14" x14ac:dyDescent="0.35">
      <c r="A36" s="1"/>
      <c r="B36" s="5"/>
      <c r="C36" s="25" t="s">
        <v>868</v>
      </c>
      <c r="D36" s="50">
        <v>1038.4057049999999</v>
      </c>
      <c r="E36" s="50">
        <v>2778.0398799999998</v>
      </c>
      <c r="F36" s="50">
        <v>0</v>
      </c>
      <c r="G36" s="50">
        <v>0</v>
      </c>
      <c r="H36" s="50">
        <v>0</v>
      </c>
      <c r="I36" s="50">
        <v>0</v>
      </c>
      <c r="J36" s="50">
        <v>0</v>
      </c>
      <c r="K36" s="1"/>
      <c r="L36" s="6"/>
      <c r="M36" s="1"/>
      <c r="N36" s="1"/>
    </row>
    <row r="37" spans="1:14" x14ac:dyDescent="0.35">
      <c r="A37" s="1"/>
      <c r="B37" s="5"/>
      <c r="C37" s="25" t="s">
        <v>873</v>
      </c>
      <c r="D37" s="50">
        <v>10510.307987</v>
      </c>
      <c r="E37" s="50">
        <v>0</v>
      </c>
      <c r="F37" s="50">
        <v>0</v>
      </c>
      <c r="G37" s="50">
        <v>0</v>
      </c>
      <c r="H37" s="50">
        <v>0</v>
      </c>
      <c r="I37" s="50">
        <v>0</v>
      </c>
      <c r="J37" s="50">
        <v>0</v>
      </c>
      <c r="K37" s="1"/>
      <c r="L37" s="6"/>
      <c r="M37" s="1"/>
      <c r="N37" s="1"/>
    </row>
    <row r="38" spans="1:14" x14ac:dyDescent="0.35">
      <c r="A38" s="1"/>
      <c r="B38" s="5"/>
      <c r="C38" s="25" t="s">
        <v>727</v>
      </c>
      <c r="D38" s="50">
        <v>10003.019138</v>
      </c>
      <c r="E38" s="50">
        <v>0</v>
      </c>
      <c r="F38" s="50">
        <v>0</v>
      </c>
      <c r="G38" s="50">
        <v>0</v>
      </c>
      <c r="H38" s="50">
        <v>0</v>
      </c>
      <c r="I38" s="50">
        <v>0</v>
      </c>
      <c r="J38" s="50">
        <v>0</v>
      </c>
      <c r="K38" s="1"/>
      <c r="L38" s="6"/>
      <c r="M38" s="1"/>
      <c r="N38" s="1"/>
    </row>
    <row r="39" spans="1:14" x14ac:dyDescent="0.35">
      <c r="A39" s="1"/>
      <c r="B39" s="5"/>
      <c r="C39" s="25" t="s">
        <v>884</v>
      </c>
      <c r="D39" s="50">
        <v>0</v>
      </c>
      <c r="E39" s="50">
        <v>149940.77746799999</v>
      </c>
      <c r="F39" s="50">
        <v>0</v>
      </c>
      <c r="G39" s="50">
        <v>0</v>
      </c>
      <c r="H39" s="50">
        <v>0</v>
      </c>
      <c r="I39" s="50">
        <v>0</v>
      </c>
      <c r="J39" s="50">
        <v>0</v>
      </c>
      <c r="K39" s="1"/>
      <c r="L39" s="6"/>
      <c r="M39" s="1"/>
      <c r="N39" s="1"/>
    </row>
    <row r="40" spans="1:14" x14ac:dyDescent="0.35">
      <c r="A40" s="1"/>
      <c r="B40" s="5"/>
      <c r="C40" s="25" t="s">
        <v>887</v>
      </c>
      <c r="D40" s="50">
        <v>62147.144381999999</v>
      </c>
      <c r="E40" s="50">
        <v>0</v>
      </c>
      <c r="F40" s="50">
        <v>0</v>
      </c>
      <c r="G40" s="50">
        <v>0</v>
      </c>
      <c r="H40" s="50">
        <v>0</v>
      </c>
      <c r="I40" s="50">
        <v>0</v>
      </c>
      <c r="J40" s="50">
        <v>0</v>
      </c>
      <c r="K40" s="1"/>
      <c r="L40" s="6"/>
      <c r="M40" s="1"/>
      <c r="N40" s="1"/>
    </row>
    <row r="41" spans="1:14" x14ac:dyDescent="0.35">
      <c r="A41" s="1"/>
      <c r="B41" s="5"/>
      <c r="C41" s="25" t="s">
        <v>1088</v>
      </c>
      <c r="D41" s="50">
        <v>64401.192793000002</v>
      </c>
      <c r="E41" s="50">
        <v>0</v>
      </c>
      <c r="F41" s="50">
        <v>0</v>
      </c>
      <c r="G41" s="50">
        <v>0</v>
      </c>
      <c r="H41" s="50">
        <v>0</v>
      </c>
      <c r="I41" s="50">
        <v>0</v>
      </c>
      <c r="J41" s="50">
        <v>0</v>
      </c>
      <c r="K41" s="1"/>
      <c r="L41" s="6"/>
      <c r="M41" s="1"/>
      <c r="N41" s="1"/>
    </row>
    <row r="42" spans="1:14" x14ac:dyDescent="0.35">
      <c r="A42" s="1"/>
      <c r="B42" s="5"/>
      <c r="C42" s="25" t="s">
        <v>890</v>
      </c>
      <c r="D42" s="50">
        <v>0</v>
      </c>
      <c r="E42" s="50">
        <v>167400.35103200001</v>
      </c>
      <c r="F42" s="50">
        <v>0</v>
      </c>
      <c r="G42" s="50">
        <v>0</v>
      </c>
      <c r="H42" s="50">
        <v>0</v>
      </c>
      <c r="I42" s="50">
        <v>0</v>
      </c>
      <c r="J42" s="50">
        <v>0</v>
      </c>
      <c r="K42" s="1"/>
      <c r="L42" s="6"/>
      <c r="M42" s="1"/>
      <c r="N42" s="1"/>
    </row>
    <row r="43" spans="1:14" x14ac:dyDescent="0.35">
      <c r="A43" s="1"/>
      <c r="B43" s="5"/>
      <c r="C43" s="25" t="s">
        <v>1153</v>
      </c>
      <c r="D43" s="50">
        <v>0</v>
      </c>
      <c r="E43" s="50">
        <v>133.816712</v>
      </c>
      <c r="F43" s="50">
        <v>0</v>
      </c>
      <c r="G43" s="50">
        <v>0</v>
      </c>
      <c r="H43" s="50">
        <v>0</v>
      </c>
      <c r="I43" s="50">
        <v>0</v>
      </c>
      <c r="J43" s="50">
        <v>0</v>
      </c>
      <c r="K43" s="1"/>
      <c r="L43" s="6"/>
      <c r="M43" s="1"/>
      <c r="N43" s="1"/>
    </row>
    <row r="44" spans="1:14" x14ac:dyDescent="0.35">
      <c r="A44" s="1"/>
      <c r="B44" s="5"/>
      <c r="C44" s="25" t="s">
        <v>333</v>
      </c>
      <c r="D44" s="50">
        <v>4324270.0716329999</v>
      </c>
      <c r="E44" s="50">
        <v>2928800.836468</v>
      </c>
      <c r="F44" s="50">
        <v>0</v>
      </c>
      <c r="G44" s="50">
        <v>0</v>
      </c>
      <c r="H44" s="50">
        <v>0</v>
      </c>
      <c r="I44" s="50">
        <v>0</v>
      </c>
      <c r="J44" s="50">
        <v>0</v>
      </c>
      <c r="K44" s="1"/>
      <c r="L44" s="6"/>
      <c r="M44" s="1"/>
      <c r="N44" s="1"/>
    </row>
    <row r="45" spans="1:14" x14ac:dyDescent="0.35">
      <c r="A45" s="1"/>
      <c r="B45" s="5"/>
      <c r="C45" s="25" t="s">
        <v>337</v>
      </c>
      <c r="D45" s="50">
        <v>863796.063784</v>
      </c>
      <c r="E45" s="50">
        <v>1386145.309202</v>
      </c>
      <c r="F45" s="50">
        <v>1253.8790389999999</v>
      </c>
      <c r="G45" s="50">
        <v>0</v>
      </c>
      <c r="H45" s="50">
        <v>519.32912899999997</v>
      </c>
      <c r="I45" s="50">
        <v>0</v>
      </c>
      <c r="J45" s="50">
        <v>0</v>
      </c>
      <c r="K45" s="1"/>
      <c r="L45" s="6"/>
      <c r="M45" s="1"/>
      <c r="N45" s="1"/>
    </row>
    <row r="46" spans="1:14" x14ac:dyDescent="0.35">
      <c r="A46" s="1"/>
      <c r="B46" s="5"/>
      <c r="C46" s="25" t="s">
        <v>341</v>
      </c>
      <c r="D46" s="50">
        <v>749553.75948600005</v>
      </c>
      <c r="E46" s="50">
        <v>1350833.660617</v>
      </c>
      <c r="F46" s="50">
        <v>458995.647428</v>
      </c>
      <c r="G46" s="50">
        <v>25324.173095999999</v>
      </c>
      <c r="H46" s="50">
        <v>0</v>
      </c>
      <c r="I46" s="50">
        <v>0</v>
      </c>
      <c r="J46" s="50">
        <v>0</v>
      </c>
      <c r="K46" s="1"/>
      <c r="L46" s="6"/>
      <c r="M46" s="1"/>
      <c r="N46" s="1"/>
    </row>
    <row r="47" spans="1:14" x14ac:dyDescent="0.35">
      <c r="A47" s="1"/>
      <c r="B47" s="5"/>
      <c r="C47" s="25" t="s">
        <v>345</v>
      </c>
      <c r="D47" s="50">
        <v>157945.94947799999</v>
      </c>
      <c r="E47" s="50">
        <v>0</v>
      </c>
      <c r="F47" s="50">
        <v>85227.196301000004</v>
      </c>
      <c r="G47" s="50">
        <v>0</v>
      </c>
      <c r="H47" s="50">
        <v>0</v>
      </c>
      <c r="I47" s="50">
        <v>0</v>
      </c>
      <c r="J47" s="50">
        <v>0</v>
      </c>
      <c r="K47" s="1"/>
      <c r="L47" s="6"/>
      <c r="M47" s="1"/>
      <c r="N47" s="1"/>
    </row>
    <row r="48" spans="1:14" x14ac:dyDescent="0.35">
      <c r="A48" s="1"/>
      <c r="B48" s="5"/>
      <c r="C48" s="25" t="s">
        <v>349</v>
      </c>
      <c r="D48" s="50">
        <v>32607.948032</v>
      </c>
      <c r="E48" s="50">
        <v>101181.22117600001</v>
      </c>
      <c r="F48" s="50">
        <v>0</v>
      </c>
      <c r="G48" s="50">
        <v>0</v>
      </c>
      <c r="H48" s="50">
        <v>0</v>
      </c>
      <c r="I48" s="50">
        <v>0</v>
      </c>
      <c r="J48" s="50">
        <v>0</v>
      </c>
      <c r="K48" s="1"/>
      <c r="L48" s="6"/>
      <c r="M48" s="1"/>
      <c r="N48" s="1"/>
    </row>
    <row r="49" spans="1:14" x14ac:dyDescent="0.35">
      <c r="A49" s="1"/>
      <c r="B49" s="5"/>
      <c r="C49" s="25" t="s">
        <v>353</v>
      </c>
      <c r="D49" s="50">
        <v>143194.128066</v>
      </c>
      <c r="E49" s="50">
        <v>21838.949465999998</v>
      </c>
      <c r="F49" s="50">
        <v>0</v>
      </c>
      <c r="G49" s="50">
        <v>0</v>
      </c>
      <c r="H49" s="50">
        <v>0</v>
      </c>
      <c r="I49" s="50">
        <v>0</v>
      </c>
      <c r="J49" s="50">
        <v>0</v>
      </c>
      <c r="K49" s="1"/>
      <c r="L49" s="6"/>
      <c r="M49" s="1"/>
      <c r="N49" s="1"/>
    </row>
    <row r="50" spans="1:14" x14ac:dyDescent="0.35">
      <c r="A50" s="1"/>
      <c r="B50" s="5"/>
      <c r="C50" s="25" t="s">
        <v>357</v>
      </c>
      <c r="D50" s="50">
        <v>0</v>
      </c>
      <c r="E50" s="50">
        <v>375.48579799999999</v>
      </c>
      <c r="F50" s="50">
        <v>0</v>
      </c>
      <c r="G50" s="50">
        <v>0</v>
      </c>
      <c r="H50" s="50">
        <v>1446.1331299999999</v>
      </c>
      <c r="I50" s="50">
        <v>0</v>
      </c>
      <c r="J50" s="50">
        <v>0</v>
      </c>
      <c r="K50" s="1"/>
      <c r="L50" s="6"/>
      <c r="M50" s="1"/>
      <c r="N50" s="1"/>
    </row>
    <row r="51" spans="1:14" x14ac:dyDescent="0.35">
      <c r="A51" s="1"/>
      <c r="B51" s="5"/>
      <c r="C51" s="25" t="s">
        <v>361</v>
      </c>
      <c r="D51" s="50">
        <v>59083.821978</v>
      </c>
      <c r="E51" s="50">
        <v>0</v>
      </c>
      <c r="F51" s="50">
        <v>0</v>
      </c>
      <c r="G51" s="50">
        <v>0</v>
      </c>
      <c r="H51" s="50">
        <v>0</v>
      </c>
      <c r="I51" s="50">
        <v>0</v>
      </c>
      <c r="J51" s="50">
        <v>0</v>
      </c>
      <c r="K51" s="1"/>
      <c r="L51" s="6"/>
      <c r="M51" s="1"/>
      <c r="N51" s="1"/>
    </row>
    <row r="52" spans="1:14" x14ac:dyDescent="0.35">
      <c r="A52" s="1"/>
      <c r="B52" s="5"/>
      <c r="C52" s="25" t="s">
        <v>365</v>
      </c>
      <c r="D52" s="50">
        <v>94284.701774000001</v>
      </c>
      <c r="E52" s="50">
        <v>0</v>
      </c>
      <c r="F52" s="50">
        <v>0</v>
      </c>
      <c r="G52" s="50">
        <v>0</v>
      </c>
      <c r="H52" s="50">
        <v>0</v>
      </c>
      <c r="I52" s="50">
        <v>0</v>
      </c>
      <c r="J52" s="50">
        <v>0</v>
      </c>
      <c r="K52" s="1"/>
      <c r="L52" s="6"/>
      <c r="M52" s="1"/>
      <c r="N52" s="1"/>
    </row>
    <row r="53" spans="1:14" x14ac:dyDescent="0.35">
      <c r="A53" s="1"/>
      <c r="B53" s="5"/>
      <c r="C53" s="25" t="s">
        <v>369</v>
      </c>
      <c r="D53" s="50">
        <v>1028636.419341</v>
      </c>
      <c r="E53" s="50">
        <v>918747.44602200005</v>
      </c>
      <c r="F53" s="50">
        <v>301409.49644399999</v>
      </c>
      <c r="G53" s="50">
        <v>0</v>
      </c>
      <c r="H53" s="50">
        <v>0</v>
      </c>
      <c r="I53" s="50">
        <v>0</v>
      </c>
      <c r="J53" s="50">
        <v>0</v>
      </c>
      <c r="K53" s="1"/>
      <c r="L53" s="6"/>
      <c r="M53" s="1"/>
      <c r="N53" s="1"/>
    </row>
    <row r="54" spans="1:14" x14ac:dyDescent="0.35">
      <c r="A54" s="1"/>
      <c r="B54" s="5"/>
      <c r="C54" s="25" t="s">
        <v>373</v>
      </c>
      <c r="D54" s="50">
        <v>169126.66844400001</v>
      </c>
      <c r="E54" s="50">
        <v>44449.034327000001</v>
      </c>
      <c r="F54" s="50">
        <v>79943.891954000006</v>
      </c>
      <c r="G54" s="50">
        <v>0</v>
      </c>
      <c r="H54" s="50">
        <v>0</v>
      </c>
      <c r="I54" s="50">
        <v>0</v>
      </c>
      <c r="J54" s="50">
        <v>0</v>
      </c>
      <c r="K54" s="1"/>
      <c r="L54" s="6"/>
      <c r="M54" s="1"/>
      <c r="N54" s="1"/>
    </row>
    <row r="55" spans="1:14" x14ac:dyDescent="0.35">
      <c r="A55" s="1"/>
      <c r="B55" s="5"/>
      <c r="C55" s="25" t="s">
        <v>377</v>
      </c>
      <c r="D55" s="50">
        <v>0</v>
      </c>
      <c r="E55" s="50">
        <v>0</v>
      </c>
      <c r="F55" s="50">
        <v>803.43279500000006</v>
      </c>
      <c r="G55" s="50">
        <v>0</v>
      </c>
      <c r="H55" s="50">
        <v>0</v>
      </c>
      <c r="I55" s="50">
        <v>0</v>
      </c>
      <c r="J55" s="50">
        <v>0</v>
      </c>
      <c r="K55" s="1"/>
      <c r="L55" s="6"/>
      <c r="M55" s="1"/>
      <c r="N55" s="1"/>
    </row>
    <row r="56" spans="1:14" x14ac:dyDescent="0.35">
      <c r="A56" s="1"/>
      <c r="B56" s="5"/>
      <c r="C56" s="25" t="s">
        <v>381</v>
      </c>
      <c r="D56" s="50">
        <v>16709.726054999999</v>
      </c>
      <c r="E56" s="50">
        <v>697.86422500000003</v>
      </c>
      <c r="F56" s="50">
        <v>0</v>
      </c>
      <c r="G56" s="50">
        <v>0</v>
      </c>
      <c r="H56" s="50">
        <v>0</v>
      </c>
      <c r="I56" s="50">
        <v>0</v>
      </c>
      <c r="J56" s="50">
        <v>0</v>
      </c>
      <c r="K56" s="1"/>
      <c r="L56" s="6"/>
      <c r="M56" s="1"/>
      <c r="N56" s="1"/>
    </row>
    <row r="57" spans="1:14" x14ac:dyDescent="0.35">
      <c r="A57" s="1"/>
      <c r="B57" s="5"/>
      <c r="C57" s="25" t="s">
        <v>385</v>
      </c>
      <c r="D57" s="50">
        <v>144134.823917</v>
      </c>
      <c r="E57" s="50">
        <v>189511.25668300001</v>
      </c>
      <c r="F57" s="50">
        <v>84603.117398999995</v>
      </c>
      <c r="G57" s="50">
        <v>7463.9413919999997</v>
      </c>
      <c r="H57" s="50">
        <v>0</v>
      </c>
      <c r="I57" s="50">
        <v>0</v>
      </c>
      <c r="J57" s="50">
        <v>0</v>
      </c>
      <c r="K57" s="1"/>
      <c r="L57" s="6"/>
      <c r="M57" s="1"/>
      <c r="N57" s="1"/>
    </row>
    <row r="58" spans="1:14" x14ac:dyDescent="0.35">
      <c r="A58" s="1"/>
      <c r="B58" s="5"/>
      <c r="C58" s="25" t="s">
        <v>389</v>
      </c>
      <c r="D58" s="50">
        <v>36276.637769000001</v>
      </c>
      <c r="E58" s="50">
        <v>132233.915328</v>
      </c>
      <c r="F58" s="50">
        <v>1685.533686</v>
      </c>
      <c r="G58" s="50">
        <v>0</v>
      </c>
      <c r="H58" s="50">
        <v>0</v>
      </c>
      <c r="I58" s="50">
        <v>0</v>
      </c>
      <c r="J58" s="50">
        <v>0</v>
      </c>
      <c r="K58" s="1"/>
      <c r="L58" s="6"/>
      <c r="M58" s="1"/>
      <c r="N58" s="1"/>
    </row>
    <row r="59" spans="1:14" x14ac:dyDescent="0.35">
      <c r="A59" s="1"/>
      <c r="B59" s="5"/>
      <c r="C59" s="25" t="s">
        <v>393</v>
      </c>
      <c r="D59" s="50">
        <v>186757.58769799999</v>
      </c>
      <c r="E59" s="50">
        <v>220545.24324400001</v>
      </c>
      <c r="F59" s="50">
        <v>0</v>
      </c>
      <c r="G59" s="50">
        <v>2420.2574020000002</v>
      </c>
      <c r="H59" s="50">
        <v>0</v>
      </c>
      <c r="I59" s="50">
        <v>0</v>
      </c>
      <c r="J59" s="50">
        <v>105972.95060900001</v>
      </c>
      <c r="K59" s="1"/>
      <c r="L59" s="6"/>
      <c r="M59" s="1"/>
      <c r="N59" s="1"/>
    </row>
    <row r="60" spans="1:14" x14ac:dyDescent="0.35">
      <c r="A60" s="1"/>
      <c r="B60" s="5"/>
      <c r="C60" s="25" t="s">
        <v>1102</v>
      </c>
      <c r="D60" s="50">
        <v>0</v>
      </c>
      <c r="E60" s="50">
        <v>29783.922053999999</v>
      </c>
      <c r="F60" s="50">
        <v>0</v>
      </c>
      <c r="G60" s="50">
        <v>0</v>
      </c>
      <c r="H60" s="50">
        <v>0</v>
      </c>
      <c r="I60" s="50">
        <v>0</v>
      </c>
      <c r="J60" s="50">
        <v>0</v>
      </c>
      <c r="K60" s="1"/>
      <c r="L60" s="6"/>
      <c r="M60" s="1"/>
      <c r="N60" s="1"/>
    </row>
    <row r="61" spans="1:14" x14ac:dyDescent="0.35">
      <c r="A61" s="1"/>
      <c r="B61" s="5"/>
      <c r="C61" s="25" t="s">
        <v>429</v>
      </c>
      <c r="D61" s="50">
        <v>199807.28099900001</v>
      </c>
      <c r="E61" s="50">
        <v>8728.4824129999997</v>
      </c>
      <c r="F61" s="50">
        <v>0</v>
      </c>
      <c r="G61" s="50">
        <v>2209.3076510000001</v>
      </c>
      <c r="H61" s="50">
        <v>0</v>
      </c>
      <c r="I61" s="50">
        <v>0</v>
      </c>
      <c r="J61" s="50">
        <v>0</v>
      </c>
      <c r="K61" s="1"/>
      <c r="L61" s="6"/>
      <c r="M61" s="1"/>
      <c r="N61" s="1"/>
    </row>
    <row r="62" spans="1:14" x14ac:dyDescent="0.35">
      <c r="A62" s="1"/>
      <c r="B62" s="5"/>
      <c r="C62" s="25" t="s">
        <v>433</v>
      </c>
      <c r="D62" s="50">
        <v>15685.439623</v>
      </c>
      <c r="E62" s="50">
        <v>74059.059815999994</v>
      </c>
      <c r="F62" s="50">
        <v>0</v>
      </c>
      <c r="G62" s="50">
        <v>0</v>
      </c>
      <c r="H62" s="50">
        <v>0</v>
      </c>
      <c r="I62" s="50">
        <v>0</v>
      </c>
      <c r="J62" s="50">
        <v>0</v>
      </c>
      <c r="K62" s="1"/>
      <c r="L62" s="6"/>
      <c r="M62" s="1"/>
      <c r="N62" s="1"/>
    </row>
    <row r="63" spans="1:14" x14ac:dyDescent="0.35">
      <c r="A63" s="1"/>
      <c r="B63" s="5"/>
      <c r="C63" s="25" t="s">
        <v>925</v>
      </c>
      <c r="D63" s="50">
        <v>952145.00347500003</v>
      </c>
      <c r="E63" s="50">
        <v>118067.861817</v>
      </c>
      <c r="F63" s="50">
        <v>85482.769874000005</v>
      </c>
      <c r="G63" s="50">
        <v>3513.5457740000002</v>
      </c>
      <c r="H63" s="50">
        <v>0</v>
      </c>
      <c r="I63" s="50">
        <v>0</v>
      </c>
      <c r="J63" s="50">
        <v>0</v>
      </c>
      <c r="K63" s="1"/>
      <c r="L63" s="6"/>
      <c r="M63" s="1"/>
      <c r="N63" s="1"/>
    </row>
    <row r="64" spans="1:14" x14ac:dyDescent="0.35">
      <c r="A64" s="1"/>
      <c r="B64" s="5"/>
      <c r="C64" s="25" t="s">
        <v>437</v>
      </c>
      <c r="D64" s="50">
        <v>0</v>
      </c>
      <c r="E64" s="50">
        <v>30463.999672000002</v>
      </c>
      <c r="F64" s="50">
        <v>22994.348619</v>
      </c>
      <c r="G64" s="50">
        <v>13358.645028000001</v>
      </c>
      <c r="H64" s="50">
        <v>0</v>
      </c>
      <c r="I64" s="50">
        <v>0</v>
      </c>
      <c r="J64" s="50">
        <v>0</v>
      </c>
      <c r="K64" s="1"/>
      <c r="L64" s="6"/>
      <c r="M64" s="1"/>
      <c r="N64" s="1"/>
    </row>
    <row r="65" spans="1:14" x14ac:dyDescent="0.35">
      <c r="A65" s="1"/>
      <c r="B65" s="5"/>
      <c r="C65" s="25" t="s">
        <v>441</v>
      </c>
      <c r="D65" s="50">
        <v>0</v>
      </c>
      <c r="E65" s="50">
        <v>48751.218617999999</v>
      </c>
      <c r="F65" s="50">
        <v>86892.924763000003</v>
      </c>
      <c r="G65" s="50">
        <v>0</v>
      </c>
      <c r="H65" s="50">
        <v>0</v>
      </c>
      <c r="I65" s="50">
        <v>0</v>
      </c>
      <c r="J65" s="50">
        <v>0</v>
      </c>
      <c r="K65" s="1"/>
      <c r="L65" s="6"/>
      <c r="M65" s="1"/>
      <c r="N65" s="1"/>
    </row>
    <row r="66" spans="1:14" x14ac:dyDescent="0.35">
      <c r="A66" s="1"/>
      <c r="B66" s="5"/>
      <c r="C66" s="25" t="s">
        <v>445</v>
      </c>
      <c r="D66" s="50">
        <v>0</v>
      </c>
      <c r="E66" s="50">
        <v>21259.974681</v>
      </c>
      <c r="F66" s="50">
        <v>0</v>
      </c>
      <c r="G66" s="50">
        <v>0</v>
      </c>
      <c r="H66" s="50">
        <v>0</v>
      </c>
      <c r="I66" s="50">
        <v>0</v>
      </c>
      <c r="J66" s="50">
        <v>0</v>
      </c>
      <c r="K66" s="1"/>
      <c r="L66" s="6"/>
      <c r="M66" s="1"/>
      <c r="N66" s="1"/>
    </row>
    <row r="67" spans="1:14" x14ac:dyDescent="0.35">
      <c r="A67" s="1"/>
      <c r="B67" s="5"/>
      <c r="C67" s="25" t="s">
        <v>449</v>
      </c>
      <c r="D67" s="50">
        <v>0</v>
      </c>
      <c r="E67" s="50">
        <v>19962.843291000001</v>
      </c>
      <c r="F67" s="50">
        <v>0</v>
      </c>
      <c r="G67" s="50">
        <v>0</v>
      </c>
      <c r="H67" s="50">
        <v>0</v>
      </c>
      <c r="I67" s="50">
        <v>0</v>
      </c>
      <c r="J67" s="50">
        <v>0</v>
      </c>
      <c r="K67" s="1"/>
      <c r="L67" s="6"/>
      <c r="M67" s="1"/>
      <c r="N67" s="1"/>
    </row>
    <row r="68" spans="1:14" x14ac:dyDescent="0.35">
      <c r="A68" s="1"/>
      <c r="B68" s="5"/>
      <c r="C68" s="25" t="s">
        <v>453</v>
      </c>
      <c r="D68" s="50">
        <v>0</v>
      </c>
      <c r="E68" s="50">
        <v>37910.465072999999</v>
      </c>
      <c r="F68" s="50">
        <v>94260.175776000004</v>
      </c>
      <c r="G68" s="50">
        <v>13462.545910999999</v>
      </c>
      <c r="H68" s="50">
        <v>0</v>
      </c>
      <c r="I68" s="50">
        <v>0</v>
      </c>
      <c r="J68" s="50">
        <v>0</v>
      </c>
      <c r="K68" s="1"/>
      <c r="L68" s="6"/>
      <c r="M68" s="1"/>
      <c r="N68" s="1"/>
    </row>
    <row r="69" spans="1:14" x14ac:dyDescent="0.35">
      <c r="A69" s="1"/>
      <c r="B69" s="5"/>
      <c r="C69" s="25" t="s">
        <v>457</v>
      </c>
      <c r="D69" s="50">
        <v>19253.817740999999</v>
      </c>
      <c r="E69" s="50">
        <v>51670.499688999997</v>
      </c>
      <c r="F69" s="50">
        <v>66255.271743999998</v>
      </c>
      <c r="G69" s="50">
        <v>0</v>
      </c>
      <c r="H69" s="50">
        <v>0</v>
      </c>
      <c r="I69" s="50">
        <v>0</v>
      </c>
      <c r="J69" s="50">
        <v>0</v>
      </c>
      <c r="K69" s="1"/>
      <c r="L69" s="6"/>
      <c r="M69" s="1"/>
      <c r="N69" s="1"/>
    </row>
    <row r="70" spans="1:14" x14ac:dyDescent="0.35">
      <c r="A70" s="1"/>
      <c r="B70" s="5"/>
      <c r="C70" s="25" t="s">
        <v>461</v>
      </c>
      <c r="D70" s="50">
        <v>0</v>
      </c>
      <c r="E70" s="50">
        <v>23630.837566999999</v>
      </c>
      <c r="F70" s="50">
        <v>0</v>
      </c>
      <c r="G70" s="50">
        <v>0</v>
      </c>
      <c r="H70" s="50">
        <v>0</v>
      </c>
      <c r="I70" s="50">
        <v>14090.830163000001</v>
      </c>
      <c r="J70" s="50">
        <v>187027.116484</v>
      </c>
      <c r="K70" s="1"/>
      <c r="L70" s="6"/>
      <c r="M70" s="1"/>
      <c r="N70" s="1"/>
    </row>
    <row r="71" spans="1:14" x14ac:dyDescent="0.35">
      <c r="A71" s="1"/>
      <c r="B71" s="9"/>
      <c r="C71" s="51" t="s">
        <v>609</v>
      </c>
      <c r="D71" s="53">
        <v>9492579.0180370007</v>
      </c>
      <c r="E71" s="53">
        <v>8098449.0822909996</v>
      </c>
      <c r="F71" s="53">
        <v>1370939.960218</v>
      </c>
      <c r="G71" s="53">
        <v>68260.641828000007</v>
      </c>
      <c r="H71" s="53">
        <v>2063.2628650000001</v>
      </c>
      <c r="I71" s="53">
        <v>14090.830163000001</v>
      </c>
      <c r="J71" s="53">
        <v>293000.06709299999</v>
      </c>
      <c r="K71" s="10"/>
      <c r="L71" s="11"/>
      <c r="M71" s="1"/>
      <c r="N71" s="1"/>
    </row>
    <row r="72" spans="1:14" ht="0" hidden="1" customHeight="1" x14ac:dyDescent="0.35"/>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1"/>
  <sheetViews>
    <sheetView showGridLines="0" workbookViewId="0"/>
  </sheetViews>
  <sheetFormatPr baseColWidth="10" defaultRowHeight="14.5" x14ac:dyDescent="0.35"/>
  <cols>
    <col min="1" max="2" width="2.7265625" customWidth="1"/>
    <col min="3" max="3" width="54.81640625" customWidth="1"/>
    <col min="4" max="10" width="20.54296875" customWidth="1"/>
    <col min="11" max="11" width="15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1"/>
      <c r="I3" s="1"/>
      <c r="J3" s="6"/>
      <c r="K3" s="1"/>
      <c r="L3" s="1"/>
    </row>
    <row r="4" spans="1:12" ht="43.25" customHeight="1" x14ac:dyDescent="0.35">
      <c r="A4" s="1"/>
      <c r="B4" s="5"/>
      <c r="C4" s="1"/>
      <c r="D4" s="1"/>
      <c r="E4" s="1"/>
      <c r="F4" s="1"/>
      <c r="G4" s="1"/>
      <c r="H4" s="1"/>
      <c r="I4" s="1"/>
      <c r="J4" s="6"/>
      <c r="K4" s="1"/>
      <c r="L4" s="1"/>
    </row>
    <row r="5" spans="1:12" ht="18" x14ac:dyDescent="0.35">
      <c r="A5" s="1"/>
      <c r="B5" s="5"/>
      <c r="C5" s="18" t="s">
        <v>1154</v>
      </c>
      <c r="D5" s="1"/>
      <c r="E5" s="1"/>
      <c r="F5" s="1"/>
      <c r="G5" s="1"/>
      <c r="H5" s="1"/>
      <c r="I5" s="1"/>
      <c r="J5" s="6"/>
      <c r="K5" s="1"/>
      <c r="L5" s="1"/>
    </row>
    <row r="6" spans="1:12" ht="25.25" customHeight="1" x14ac:dyDescent="0.35">
      <c r="A6" s="1"/>
      <c r="B6" s="5"/>
      <c r="C6" s="1"/>
      <c r="D6" s="1"/>
      <c r="E6" s="1"/>
      <c r="F6" s="1"/>
      <c r="G6" s="1"/>
      <c r="H6" s="1"/>
      <c r="I6" s="1"/>
      <c r="J6" s="6"/>
      <c r="K6" s="1"/>
      <c r="L6" s="1"/>
    </row>
    <row r="7" spans="1:12" ht="42" x14ac:dyDescent="0.35">
      <c r="A7" s="1"/>
      <c r="B7" s="5"/>
      <c r="C7" s="64" t="s">
        <v>5</v>
      </c>
      <c r="D7" s="34" t="s">
        <v>1155</v>
      </c>
      <c r="E7" s="34" t="s">
        <v>1156</v>
      </c>
      <c r="F7" s="34" t="s">
        <v>1157</v>
      </c>
      <c r="G7" s="34" t="s">
        <v>1158</v>
      </c>
      <c r="H7" s="34" t="s">
        <v>1159</v>
      </c>
      <c r="I7" s="34" t="s">
        <v>1160</v>
      </c>
      <c r="J7" s="34" t="s">
        <v>1145</v>
      </c>
      <c r="K7" s="1"/>
      <c r="L7" s="1"/>
    </row>
    <row r="8" spans="1:12" ht="56" x14ac:dyDescent="0.35">
      <c r="A8" s="1"/>
      <c r="B8" s="5"/>
      <c r="C8" s="65" t="s">
        <v>1161</v>
      </c>
      <c r="D8" s="65" t="s">
        <v>1162</v>
      </c>
      <c r="E8" s="65" t="s">
        <v>1163</v>
      </c>
      <c r="F8" s="65" t="s">
        <v>1164</v>
      </c>
      <c r="G8" s="65" t="s">
        <v>1165</v>
      </c>
      <c r="H8" s="65" t="s">
        <v>1166</v>
      </c>
      <c r="I8" s="65" t="s">
        <v>1167</v>
      </c>
      <c r="J8" s="65" t="s">
        <v>1168</v>
      </c>
      <c r="K8" s="1"/>
      <c r="L8" s="1"/>
    </row>
    <row r="9" spans="1:12" x14ac:dyDescent="0.35">
      <c r="A9" s="1"/>
      <c r="B9" s="5"/>
      <c r="C9" s="25" t="s">
        <v>1169</v>
      </c>
      <c r="D9" s="27">
        <v>3175.0056</v>
      </c>
      <c r="E9" s="27">
        <v>0</v>
      </c>
      <c r="F9" s="27">
        <v>3344.8811900000001</v>
      </c>
      <c r="G9" s="27">
        <v>0</v>
      </c>
      <c r="H9" s="27">
        <v>0</v>
      </c>
      <c r="I9" s="27">
        <v>196.392</v>
      </c>
      <c r="J9" s="27">
        <v>0</v>
      </c>
      <c r="K9" s="1"/>
      <c r="L9" s="1"/>
    </row>
    <row r="10" spans="1:12" x14ac:dyDescent="0.35">
      <c r="A10" s="1"/>
      <c r="B10" s="5"/>
      <c r="C10" s="25" t="s">
        <v>1170</v>
      </c>
      <c r="D10" s="27">
        <v>0</v>
      </c>
      <c r="E10" s="27">
        <v>0</v>
      </c>
      <c r="F10" s="27">
        <v>132592.89000000001</v>
      </c>
      <c r="G10" s="27">
        <v>204363.88324</v>
      </c>
      <c r="H10" s="27">
        <v>0</v>
      </c>
      <c r="I10" s="27">
        <v>6021.0235130000001</v>
      </c>
      <c r="J10" s="27">
        <v>1192576.99248</v>
      </c>
      <c r="K10" s="1"/>
      <c r="L10" s="1"/>
    </row>
    <row r="11" spans="1:12" x14ac:dyDescent="0.35">
      <c r="A11" s="1"/>
      <c r="B11" s="5"/>
      <c r="C11" s="25" t="s">
        <v>1171</v>
      </c>
      <c r="D11" s="27">
        <v>0</v>
      </c>
      <c r="E11" s="27">
        <v>0</v>
      </c>
      <c r="F11" s="27">
        <v>49.753999999999998</v>
      </c>
      <c r="G11" s="27">
        <v>0</v>
      </c>
      <c r="H11" s="27">
        <v>0</v>
      </c>
      <c r="I11" s="27">
        <v>0</v>
      </c>
      <c r="J11" s="27">
        <v>0</v>
      </c>
      <c r="K11" s="1"/>
      <c r="L11" s="1"/>
    </row>
    <row r="12" spans="1:12" x14ac:dyDescent="0.35">
      <c r="A12" s="1"/>
      <c r="B12" s="5"/>
      <c r="C12" s="25" t="s">
        <v>1172</v>
      </c>
      <c r="D12" s="27">
        <v>0</v>
      </c>
      <c r="E12" s="27">
        <v>0</v>
      </c>
      <c r="F12" s="27">
        <v>22082.51</v>
      </c>
      <c r="G12" s="27">
        <v>0</v>
      </c>
      <c r="H12" s="27">
        <v>0</v>
      </c>
      <c r="I12" s="27">
        <v>0</v>
      </c>
      <c r="J12" s="27">
        <v>16396.16</v>
      </c>
      <c r="K12" s="1"/>
      <c r="L12" s="1"/>
    </row>
    <row r="13" spans="1:12" x14ac:dyDescent="0.35">
      <c r="A13" s="1"/>
      <c r="B13" s="5"/>
      <c r="C13" s="25" t="s">
        <v>1173</v>
      </c>
      <c r="D13" s="27">
        <v>0</v>
      </c>
      <c r="E13" s="27">
        <v>0</v>
      </c>
      <c r="F13" s="27">
        <v>0</v>
      </c>
      <c r="G13" s="27">
        <v>6300.8668600000001</v>
      </c>
      <c r="H13" s="27">
        <v>0</v>
      </c>
      <c r="I13" s="27">
        <v>0</v>
      </c>
      <c r="J13" s="27">
        <v>75518.81</v>
      </c>
      <c r="K13" s="1"/>
      <c r="L13" s="1"/>
    </row>
    <row r="14" spans="1:12" x14ac:dyDescent="0.35">
      <c r="A14" s="1"/>
      <c r="B14" s="5"/>
      <c r="C14" s="25" t="s">
        <v>1174</v>
      </c>
      <c r="D14" s="27">
        <v>307.61399999999998</v>
      </c>
      <c r="E14" s="27">
        <v>0</v>
      </c>
      <c r="F14" s="27">
        <v>3400.8818799999999</v>
      </c>
      <c r="G14" s="27">
        <v>0</v>
      </c>
      <c r="H14" s="27">
        <v>0</v>
      </c>
      <c r="I14" s="27">
        <v>0</v>
      </c>
      <c r="J14" s="27">
        <v>36291.044063000001</v>
      </c>
      <c r="K14" s="1"/>
      <c r="L14" s="1"/>
    </row>
    <row r="15" spans="1:12" x14ac:dyDescent="0.35">
      <c r="A15" s="1"/>
      <c r="B15" s="5"/>
      <c r="C15" s="25" t="s">
        <v>1175</v>
      </c>
      <c r="D15" s="27">
        <v>0</v>
      </c>
      <c r="E15" s="27">
        <v>0</v>
      </c>
      <c r="F15" s="27">
        <v>9027.2199999999993</v>
      </c>
      <c r="G15" s="27">
        <v>70783.299209999997</v>
      </c>
      <c r="H15" s="27">
        <v>0</v>
      </c>
      <c r="I15" s="27">
        <v>0</v>
      </c>
      <c r="J15" s="27">
        <v>791958.41599999997</v>
      </c>
      <c r="K15" s="1"/>
      <c r="L15" s="1"/>
    </row>
    <row r="16" spans="1:12" x14ac:dyDescent="0.35">
      <c r="A16" s="1"/>
      <c r="B16" s="5"/>
      <c r="C16" s="25" t="s">
        <v>1176</v>
      </c>
      <c r="D16" s="27">
        <v>2678.03</v>
      </c>
      <c r="E16" s="27">
        <v>0</v>
      </c>
      <c r="F16" s="27">
        <v>52882.584999999999</v>
      </c>
      <c r="G16" s="27">
        <v>26121.441694000001</v>
      </c>
      <c r="H16" s="27">
        <v>0</v>
      </c>
      <c r="I16" s="27">
        <v>0</v>
      </c>
      <c r="J16" s="27">
        <v>12033.035</v>
      </c>
      <c r="K16" s="1"/>
      <c r="L16" s="1"/>
    </row>
    <row r="17" spans="1:12" x14ac:dyDescent="0.35">
      <c r="A17" s="1"/>
      <c r="B17" s="5"/>
      <c r="C17" s="25" t="s">
        <v>1177</v>
      </c>
      <c r="D17" s="27">
        <v>0</v>
      </c>
      <c r="E17" s="27">
        <v>0</v>
      </c>
      <c r="F17" s="27">
        <v>1526.79</v>
      </c>
      <c r="G17" s="27">
        <v>0</v>
      </c>
      <c r="H17" s="27">
        <v>0</v>
      </c>
      <c r="I17" s="27">
        <v>0</v>
      </c>
      <c r="J17" s="27">
        <v>0</v>
      </c>
      <c r="K17" s="1"/>
      <c r="L17" s="1"/>
    </row>
    <row r="18" spans="1:12" x14ac:dyDescent="0.35">
      <c r="A18" s="1"/>
      <c r="B18" s="5"/>
      <c r="C18" s="25" t="s">
        <v>1178</v>
      </c>
      <c r="D18" s="27">
        <v>0</v>
      </c>
      <c r="E18" s="27">
        <v>0</v>
      </c>
      <c r="F18" s="27">
        <v>32208.15</v>
      </c>
      <c r="G18" s="27">
        <v>0</v>
      </c>
      <c r="H18" s="27">
        <v>0</v>
      </c>
      <c r="I18" s="27">
        <v>0</v>
      </c>
      <c r="J18" s="27">
        <v>76260.494500000001</v>
      </c>
      <c r="K18" s="1"/>
      <c r="L18" s="1"/>
    </row>
    <row r="19" spans="1:12" x14ac:dyDescent="0.35">
      <c r="A19" s="1"/>
      <c r="B19" s="5"/>
      <c r="C19" s="25" t="s">
        <v>1179</v>
      </c>
      <c r="D19" s="27">
        <v>1990.165</v>
      </c>
      <c r="E19" s="27">
        <v>0</v>
      </c>
      <c r="F19" s="27">
        <v>151125.63</v>
      </c>
      <c r="G19" s="27">
        <v>37482.551209999998</v>
      </c>
      <c r="H19" s="27">
        <v>0</v>
      </c>
      <c r="I19" s="27">
        <v>0</v>
      </c>
      <c r="J19" s="27">
        <v>106531.406</v>
      </c>
      <c r="K19" s="1"/>
      <c r="L19" s="1"/>
    </row>
    <row r="20" spans="1:12" x14ac:dyDescent="0.35">
      <c r="A20" s="1"/>
      <c r="B20" s="5"/>
      <c r="C20" s="25" t="s">
        <v>1180</v>
      </c>
      <c r="D20" s="27">
        <v>253.91249999999999</v>
      </c>
      <c r="E20" s="27">
        <v>0</v>
      </c>
      <c r="F20" s="27">
        <v>20273.636642000001</v>
      </c>
      <c r="G20" s="27">
        <v>0</v>
      </c>
      <c r="H20" s="27">
        <v>0</v>
      </c>
      <c r="I20" s="27">
        <v>0</v>
      </c>
      <c r="J20" s="27">
        <v>1957.7344499999999</v>
      </c>
      <c r="K20" s="1"/>
      <c r="L20" s="1"/>
    </row>
    <row r="21" spans="1:12" x14ac:dyDescent="0.35">
      <c r="A21" s="1"/>
      <c r="B21" s="5"/>
      <c r="C21" s="25" t="s">
        <v>1181</v>
      </c>
      <c r="D21" s="27">
        <v>6786.3</v>
      </c>
      <c r="E21" s="27">
        <v>0</v>
      </c>
      <c r="F21" s="27">
        <v>148144.30864</v>
      </c>
      <c r="G21" s="27">
        <v>12778.053715</v>
      </c>
      <c r="H21" s="27">
        <v>2898.78</v>
      </c>
      <c r="I21" s="27">
        <v>82666.479028999995</v>
      </c>
      <c r="J21" s="27">
        <v>283908.19185</v>
      </c>
      <c r="K21" s="1"/>
      <c r="L21" s="1"/>
    </row>
    <row r="22" spans="1:12" x14ac:dyDescent="0.35">
      <c r="A22" s="1"/>
      <c r="B22" s="5"/>
      <c r="C22" s="25" t="s">
        <v>1182</v>
      </c>
      <c r="D22" s="27">
        <v>2096.5909999999999</v>
      </c>
      <c r="E22" s="27">
        <v>608.61863700000004</v>
      </c>
      <c r="F22" s="27">
        <v>39547.030164000003</v>
      </c>
      <c r="G22" s="27">
        <v>0</v>
      </c>
      <c r="H22" s="27">
        <v>2901.12</v>
      </c>
      <c r="I22" s="27">
        <v>96422.179482000007</v>
      </c>
      <c r="J22" s="27">
        <v>79345.532464999997</v>
      </c>
      <c r="K22" s="1"/>
      <c r="L22" s="1"/>
    </row>
    <row r="23" spans="1:12" x14ac:dyDescent="0.35">
      <c r="A23" s="1"/>
      <c r="B23" s="5"/>
      <c r="C23" s="19" t="s">
        <v>609</v>
      </c>
      <c r="D23" s="66">
        <v>17287.6181</v>
      </c>
      <c r="E23" s="66">
        <v>608.61863700000004</v>
      </c>
      <c r="F23" s="66">
        <v>616206.26751599996</v>
      </c>
      <c r="G23" s="66">
        <v>357830.095929</v>
      </c>
      <c r="H23" s="66">
        <v>5799.9</v>
      </c>
      <c r="I23" s="66">
        <v>185306.074024</v>
      </c>
      <c r="J23" s="66">
        <v>2672777.8168080002</v>
      </c>
      <c r="K23" s="1"/>
      <c r="L23" s="1"/>
    </row>
    <row r="24" spans="1:12" ht="29.25" customHeight="1" x14ac:dyDescent="0.35">
      <c r="A24" s="1"/>
      <c r="B24" s="5"/>
      <c r="C24" s="1"/>
      <c r="D24" s="1"/>
      <c r="E24" s="1"/>
      <c r="F24" s="1"/>
      <c r="G24" s="1"/>
      <c r="H24" s="1"/>
      <c r="I24" s="1"/>
      <c r="J24" s="6"/>
      <c r="K24" s="1"/>
      <c r="L24" s="1"/>
    </row>
    <row r="25" spans="1:12" ht="18" x14ac:dyDescent="0.35">
      <c r="A25" s="1"/>
      <c r="B25" s="5"/>
      <c r="C25" s="18" t="s">
        <v>1183</v>
      </c>
      <c r="D25" s="1"/>
      <c r="E25" s="1"/>
      <c r="F25" s="1"/>
      <c r="G25" s="1"/>
      <c r="H25" s="1"/>
      <c r="I25" s="1"/>
      <c r="J25" s="6"/>
      <c r="K25" s="1"/>
      <c r="L25" s="1"/>
    </row>
    <row r="26" spans="1:12" ht="21.4" customHeight="1" x14ac:dyDescent="0.35">
      <c r="A26" s="1"/>
      <c r="B26" s="5"/>
      <c r="C26" s="1"/>
      <c r="D26" s="1"/>
      <c r="E26" s="1"/>
      <c r="F26" s="1"/>
      <c r="G26" s="1"/>
      <c r="H26" s="1"/>
      <c r="I26" s="1"/>
      <c r="J26" s="6"/>
      <c r="K26" s="1"/>
      <c r="L26" s="1"/>
    </row>
    <row r="27" spans="1:12" ht="42" x14ac:dyDescent="0.35">
      <c r="A27" s="1"/>
      <c r="B27" s="5"/>
      <c r="C27" s="64" t="s">
        <v>5</v>
      </c>
      <c r="D27" s="34" t="s">
        <v>1155</v>
      </c>
      <c r="E27" s="34" t="s">
        <v>1156</v>
      </c>
      <c r="F27" s="34" t="s">
        <v>1157</v>
      </c>
      <c r="G27" s="34" t="s">
        <v>1158</v>
      </c>
      <c r="H27" s="34" t="s">
        <v>1159</v>
      </c>
      <c r="I27" s="34" t="s">
        <v>1160</v>
      </c>
      <c r="J27" s="34" t="s">
        <v>1145</v>
      </c>
      <c r="K27" s="1"/>
      <c r="L27" s="1"/>
    </row>
    <row r="28" spans="1:12" ht="56" x14ac:dyDescent="0.35">
      <c r="A28" s="1"/>
      <c r="B28" s="5"/>
      <c r="C28" s="65" t="s">
        <v>1161</v>
      </c>
      <c r="D28" s="65" t="s">
        <v>1184</v>
      </c>
      <c r="E28" s="65" t="s">
        <v>1163</v>
      </c>
      <c r="F28" s="65" t="s">
        <v>1185</v>
      </c>
      <c r="G28" s="65" t="s">
        <v>1165</v>
      </c>
      <c r="H28" s="65" t="s">
        <v>1166</v>
      </c>
      <c r="I28" s="65" t="s">
        <v>1167</v>
      </c>
      <c r="J28" s="65" t="s">
        <v>1168</v>
      </c>
      <c r="K28" s="1"/>
      <c r="L28" s="1"/>
    </row>
    <row r="29" spans="1:12" x14ac:dyDescent="0.35">
      <c r="A29" s="1"/>
      <c r="B29" s="5"/>
      <c r="C29" s="25" t="s">
        <v>1169</v>
      </c>
      <c r="D29" s="27">
        <v>0</v>
      </c>
      <c r="E29" s="27">
        <v>0</v>
      </c>
      <c r="F29" s="27">
        <v>0</v>
      </c>
      <c r="G29" s="27">
        <v>0</v>
      </c>
      <c r="H29" s="27">
        <v>0</v>
      </c>
      <c r="I29" s="27">
        <v>3625.368696</v>
      </c>
      <c r="J29" s="27">
        <v>0</v>
      </c>
      <c r="K29" s="1"/>
      <c r="L29" s="1"/>
    </row>
    <row r="30" spans="1:12" x14ac:dyDescent="0.35">
      <c r="A30" s="1"/>
      <c r="B30" s="5"/>
      <c r="C30" s="25" t="s">
        <v>1170</v>
      </c>
      <c r="D30" s="27">
        <v>1107.76</v>
      </c>
      <c r="E30" s="27">
        <v>0</v>
      </c>
      <c r="F30" s="27">
        <v>23150.83</v>
      </c>
      <c r="G30" s="27">
        <v>87476.222628000003</v>
      </c>
      <c r="H30" s="27">
        <v>0</v>
      </c>
      <c r="I30" s="27">
        <v>33622.825026999999</v>
      </c>
      <c r="J30" s="27">
        <v>1674163.4724349999</v>
      </c>
      <c r="K30" s="1"/>
      <c r="L30" s="1"/>
    </row>
    <row r="31" spans="1:12" x14ac:dyDescent="0.35">
      <c r="A31" s="1"/>
      <c r="B31" s="5"/>
      <c r="C31" s="25" t="s">
        <v>1172</v>
      </c>
      <c r="D31" s="27">
        <v>0</v>
      </c>
      <c r="E31" s="27">
        <v>0</v>
      </c>
      <c r="F31" s="27">
        <v>41985.26</v>
      </c>
      <c r="G31" s="27">
        <v>32483.047861999999</v>
      </c>
      <c r="H31" s="27">
        <v>0</v>
      </c>
      <c r="I31" s="27">
        <v>0</v>
      </c>
      <c r="J31" s="27">
        <v>0</v>
      </c>
      <c r="K31" s="1"/>
      <c r="L31" s="1"/>
    </row>
    <row r="32" spans="1:12" x14ac:dyDescent="0.35">
      <c r="A32" s="1"/>
      <c r="B32" s="5"/>
      <c r="C32" s="25" t="s">
        <v>1173</v>
      </c>
      <c r="D32" s="27">
        <v>0</v>
      </c>
      <c r="E32" s="27">
        <v>0</v>
      </c>
      <c r="F32" s="27">
        <v>0</v>
      </c>
      <c r="G32" s="27">
        <v>4164.503103</v>
      </c>
      <c r="H32" s="27">
        <v>0</v>
      </c>
      <c r="I32" s="27">
        <v>0</v>
      </c>
      <c r="J32" s="27">
        <v>136944.74349299999</v>
      </c>
      <c r="K32" s="1"/>
      <c r="L32" s="1"/>
    </row>
    <row r="33" spans="1:12" x14ac:dyDescent="0.35">
      <c r="A33" s="1"/>
      <c r="B33" s="5"/>
      <c r="C33" s="25" t="s">
        <v>1174</v>
      </c>
      <c r="D33" s="27">
        <v>0</v>
      </c>
      <c r="E33" s="27">
        <v>0</v>
      </c>
      <c r="F33" s="27">
        <v>6178.17</v>
      </c>
      <c r="G33" s="27">
        <v>4122.4948000000004</v>
      </c>
      <c r="H33" s="27">
        <v>0</v>
      </c>
      <c r="I33" s="27">
        <v>3500</v>
      </c>
      <c r="J33" s="27">
        <v>2637.76</v>
      </c>
      <c r="K33" s="1"/>
      <c r="L33" s="1"/>
    </row>
    <row r="34" spans="1:12" x14ac:dyDescent="0.35">
      <c r="A34" s="1"/>
      <c r="B34" s="5"/>
      <c r="C34" s="25" t="s">
        <v>1175</v>
      </c>
      <c r="D34" s="27">
        <v>3622.76</v>
      </c>
      <c r="E34" s="27">
        <v>0</v>
      </c>
      <c r="F34" s="27">
        <v>11247.85</v>
      </c>
      <c r="G34" s="27">
        <v>6742.0754280000001</v>
      </c>
      <c r="H34" s="27">
        <v>2898.78</v>
      </c>
      <c r="I34" s="27">
        <v>0</v>
      </c>
      <c r="J34" s="27">
        <v>350941.74670000002</v>
      </c>
      <c r="K34" s="1"/>
      <c r="L34" s="1"/>
    </row>
    <row r="35" spans="1:12" x14ac:dyDescent="0.35">
      <c r="A35" s="1"/>
      <c r="B35" s="5"/>
      <c r="C35" s="25" t="s">
        <v>1176</v>
      </c>
      <c r="D35" s="27">
        <v>472.05500000000001</v>
      </c>
      <c r="E35" s="27">
        <v>0</v>
      </c>
      <c r="F35" s="27">
        <v>39501.17</v>
      </c>
      <c r="G35" s="27">
        <v>34928.715533000002</v>
      </c>
      <c r="H35" s="27">
        <v>0</v>
      </c>
      <c r="I35" s="27">
        <v>0</v>
      </c>
      <c r="J35" s="27">
        <v>39193.823129999997</v>
      </c>
      <c r="K35" s="1"/>
      <c r="L35" s="1"/>
    </row>
    <row r="36" spans="1:12" x14ac:dyDescent="0.35">
      <c r="A36" s="1"/>
      <c r="B36" s="5"/>
      <c r="C36" s="25" t="s">
        <v>1178</v>
      </c>
      <c r="D36" s="27">
        <v>0</v>
      </c>
      <c r="E36" s="27">
        <v>0</v>
      </c>
      <c r="F36" s="27">
        <v>4545.3</v>
      </c>
      <c r="G36" s="27">
        <v>0</v>
      </c>
      <c r="H36" s="27">
        <v>0</v>
      </c>
      <c r="I36" s="27">
        <v>0</v>
      </c>
      <c r="J36" s="27">
        <v>53086.851499999997</v>
      </c>
      <c r="K36" s="1"/>
      <c r="L36" s="1"/>
    </row>
    <row r="37" spans="1:12" x14ac:dyDescent="0.35">
      <c r="A37" s="1"/>
      <c r="B37" s="5"/>
      <c r="C37" s="25" t="s">
        <v>1179</v>
      </c>
      <c r="D37" s="27">
        <v>5230.7856000000002</v>
      </c>
      <c r="E37" s="27">
        <v>0</v>
      </c>
      <c r="F37" s="27">
        <v>233903.01</v>
      </c>
      <c r="G37" s="27">
        <v>78047.106960999998</v>
      </c>
      <c r="H37" s="27">
        <v>0</v>
      </c>
      <c r="I37" s="27">
        <v>0</v>
      </c>
      <c r="J37" s="27">
        <v>100682.2135</v>
      </c>
      <c r="K37" s="1"/>
      <c r="L37" s="1"/>
    </row>
    <row r="38" spans="1:12" x14ac:dyDescent="0.35">
      <c r="A38" s="1"/>
      <c r="B38" s="5"/>
      <c r="C38" s="25" t="s">
        <v>1180</v>
      </c>
      <c r="D38" s="27">
        <v>989.48500000000001</v>
      </c>
      <c r="E38" s="27">
        <v>0</v>
      </c>
      <c r="F38" s="27">
        <v>1774.6975580000001</v>
      </c>
      <c r="G38" s="27">
        <v>0</v>
      </c>
      <c r="H38" s="27">
        <v>0</v>
      </c>
      <c r="I38" s="27">
        <v>168.91423599999999</v>
      </c>
      <c r="J38" s="27">
        <v>574.06700000000001</v>
      </c>
      <c r="K38" s="1"/>
      <c r="L38" s="1"/>
    </row>
    <row r="39" spans="1:12" x14ac:dyDescent="0.35">
      <c r="A39" s="1"/>
      <c r="B39" s="5"/>
      <c r="C39" s="25" t="s">
        <v>1181</v>
      </c>
      <c r="D39" s="27">
        <v>4392.8774999999996</v>
      </c>
      <c r="E39" s="27">
        <v>608.61863700000004</v>
      </c>
      <c r="F39" s="27">
        <v>244391.764318</v>
      </c>
      <c r="G39" s="27">
        <v>102113.672739</v>
      </c>
      <c r="H39" s="27">
        <v>2901.12</v>
      </c>
      <c r="I39" s="27">
        <v>94203.346766000002</v>
      </c>
      <c r="J39" s="27">
        <v>297520.43955000001</v>
      </c>
      <c r="K39" s="1"/>
      <c r="L39" s="1"/>
    </row>
    <row r="40" spans="1:12" x14ac:dyDescent="0.35">
      <c r="A40" s="1"/>
      <c r="B40" s="5"/>
      <c r="C40" s="25" t="s">
        <v>1182</v>
      </c>
      <c r="D40" s="27">
        <v>1471.895</v>
      </c>
      <c r="E40" s="27">
        <v>0</v>
      </c>
      <c r="F40" s="27">
        <v>9528.2156400000003</v>
      </c>
      <c r="G40" s="27">
        <v>7752.256875</v>
      </c>
      <c r="H40" s="27">
        <v>0</v>
      </c>
      <c r="I40" s="27">
        <v>50185.619298999998</v>
      </c>
      <c r="J40" s="27">
        <v>17032.699499999999</v>
      </c>
      <c r="K40" s="1"/>
      <c r="L40" s="1"/>
    </row>
    <row r="41" spans="1:12" x14ac:dyDescent="0.35">
      <c r="A41" s="1"/>
      <c r="B41" s="9"/>
      <c r="C41" s="19" t="s">
        <v>609</v>
      </c>
      <c r="D41" s="66">
        <v>17287.6181</v>
      </c>
      <c r="E41" s="66">
        <v>608.61863700000004</v>
      </c>
      <c r="F41" s="66">
        <v>616206.26751599996</v>
      </c>
      <c r="G41" s="66">
        <v>357830.095929</v>
      </c>
      <c r="H41" s="66">
        <v>5799.9</v>
      </c>
      <c r="I41" s="66">
        <v>185306.074024</v>
      </c>
      <c r="J41" s="66">
        <v>2672777.8168080002</v>
      </c>
      <c r="K41" s="1"/>
      <c r="L41"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1186</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1187</v>
      </c>
      <c r="F7" s="23" t="s">
        <v>1144</v>
      </c>
      <c r="G7" s="23" t="s">
        <v>1188</v>
      </c>
      <c r="H7" s="23" t="s">
        <v>1189</v>
      </c>
      <c r="I7" s="23" t="s">
        <v>1190</v>
      </c>
      <c r="J7" s="23" t="s">
        <v>1191</v>
      </c>
      <c r="K7" s="23" t="s">
        <v>1192</v>
      </c>
      <c r="L7" s="6"/>
      <c r="M7" s="1"/>
      <c r="N7" s="1"/>
    </row>
    <row r="8" spans="1:14" x14ac:dyDescent="0.35">
      <c r="A8" s="1"/>
      <c r="B8" s="5"/>
      <c r="C8" s="25" t="s">
        <v>1193</v>
      </c>
      <c r="D8" s="50">
        <v>576.63</v>
      </c>
      <c r="E8" s="50">
        <v>30</v>
      </c>
      <c r="F8" s="50">
        <v>2</v>
      </c>
      <c r="G8" s="37">
        <v>19227</v>
      </c>
      <c r="H8" s="36">
        <v>8.9965986394557898E-2</v>
      </c>
      <c r="I8" s="37">
        <v>19209</v>
      </c>
      <c r="J8" s="37">
        <v>19227</v>
      </c>
      <c r="K8" s="25">
        <f>VLOOKUP(C8,[1]Table1!$A$1:$J$14,9,0)</f>
        <v>0</v>
      </c>
      <c r="L8" s="6"/>
      <c r="M8" s="1"/>
      <c r="N8" s="1"/>
    </row>
    <row r="9" spans="1:14" x14ac:dyDescent="0.35">
      <c r="A9" s="1"/>
      <c r="B9" s="5"/>
      <c r="C9" s="25" t="s">
        <v>1194</v>
      </c>
      <c r="D9" s="50">
        <v>380.63499999999999</v>
      </c>
      <c r="E9" s="50">
        <v>5</v>
      </c>
      <c r="F9" s="50">
        <v>1</v>
      </c>
      <c r="G9" s="37">
        <v>76127</v>
      </c>
      <c r="H9" s="36">
        <v>-3.1537032796478702E-2</v>
      </c>
      <c r="I9" s="37">
        <v>76127</v>
      </c>
      <c r="J9" s="37">
        <v>76127</v>
      </c>
      <c r="K9" s="25">
        <f>VLOOKUP(C9,[1]Table1!$A$1:$J$14,9,0)</f>
        <v>100</v>
      </c>
      <c r="L9" s="6"/>
      <c r="M9" s="1"/>
      <c r="N9" s="1"/>
    </row>
    <row r="10" spans="1:14" x14ac:dyDescent="0.35">
      <c r="A10" s="1"/>
      <c r="B10" s="5"/>
      <c r="C10" s="25" t="s">
        <v>1195</v>
      </c>
      <c r="D10" s="50">
        <v>1098.076</v>
      </c>
      <c r="E10" s="50">
        <v>73</v>
      </c>
      <c r="F10" s="50">
        <v>4</v>
      </c>
      <c r="G10" s="37">
        <v>15175</v>
      </c>
      <c r="H10" s="36">
        <v>1.8866657714516E-2</v>
      </c>
      <c r="I10" s="37">
        <v>14995</v>
      </c>
      <c r="J10" s="37">
        <v>15175</v>
      </c>
      <c r="K10" s="25">
        <f>VLOOKUP(C10,[1]Table1!$A$1:$J$14,9,0)</f>
        <v>449</v>
      </c>
      <c r="L10" s="6"/>
      <c r="M10" s="1"/>
      <c r="N10" s="1"/>
    </row>
    <row r="11" spans="1:14" x14ac:dyDescent="0.35">
      <c r="A11" s="1"/>
      <c r="B11" s="5"/>
      <c r="C11" s="25" t="s">
        <v>1196</v>
      </c>
      <c r="D11" s="50">
        <v>400994.8</v>
      </c>
      <c r="E11" s="50">
        <v>1760</v>
      </c>
      <c r="F11" s="50">
        <v>4</v>
      </c>
      <c r="G11" s="37">
        <v>91.182000000000002</v>
      </c>
      <c r="H11" s="36">
        <v>1.03196908484104E-3</v>
      </c>
      <c r="I11" s="37">
        <v>91.052000000000007</v>
      </c>
      <c r="J11" s="37">
        <v>91.182000000000002</v>
      </c>
      <c r="K11" s="25">
        <f>VLOOKUP(C11,[1]Table1!$A$1:$J$14,9,0)</f>
        <v>3816</v>
      </c>
      <c r="L11" s="6"/>
      <c r="M11" s="1"/>
      <c r="N11" s="1"/>
    </row>
    <row r="12" spans="1:14" x14ac:dyDescent="0.35">
      <c r="A12" s="1"/>
      <c r="B12" s="5"/>
      <c r="C12" s="25" t="s">
        <v>1197</v>
      </c>
      <c r="D12" s="50">
        <v>142244.9</v>
      </c>
      <c r="E12" s="50">
        <v>584</v>
      </c>
      <c r="F12" s="50">
        <v>3</v>
      </c>
      <c r="G12" s="37">
        <v>97.46</v>
      </c>
      <c r="H12" s="36">
        <v>1.5311732486562599E-3</v>
      </c>
      <c r="I12" s="37">
        <v>97.388999999999996</v>
      </c>
      <c r="J12" s="37">
        <v>97.46</v>
      </c>
      <c r="K12" s="25">
        <f>VLOOKUP(C12,[1]Table1!$A$1:$J$14,9,0)</f>
        <v>2628</v>
      </c>
      <c r="L12" s="6"/>
      <c r="M12" s="1"/>
      <c r="N12" s="1"/>
    </row>
    <row r="13" spans="1:14" x14ac:dyDescent="0.35">
      <c r="A13" s="1"/>
      <c r="B13" s="5"/>
      <c r="C13" s="25" t="s">
        <v>1198</v>
      </c>
      <c r="D13" s="50">
        <v>141067.6</v>
      </c>
      <c r="E13" s="50">
        <v>580</v>
      </c>
      <c r="F13" s="50">
        <v>1</v>
      </c>
      <c r="G13" s="37">
        <v>97.287999999999997</v>
      </c>
      <c r="H13" s="36">
        <v>1.2336033554016801E-4</v>
      </c>
      <c r="I13" s="37">
        <v>97.287999999999997</v>
      </c>
      <c r="J13" s="37">
        <v>97.287999999999997</v>
      </c>
      <c r="K13" s="25">
        <f>VLOOKUP(C13,[1]Table1!$A$1:$J$14,9,0)</f>
        <v>2624</v>
      </c>
      <c r="L13" s="6"/>
      <c r="M13" s="1"/>
      <c r="N13" s="1"/>
    </row>
    <row r="14" spans="1:14" x14ac:dyDescent="0.35">
      <c r="A14" s="1"/>
      <c r="B14" s="5"/>
      <c r="C14" s="25" t="s">
        <v>1199</v>
      </c>
      <c r="D14" s="50">
        <v>136820.6</v>
      </c>
      <c r="E14" s="50">
        <v>560</v>
      </c>
      <c r="F14" s="50">
        <v>1</v>
      </c>
      <c r="G14" s="37">
        <v>97.728999999999999</v>
      </c>
      <c r="H14" s="25"/>
      <c r="I14" s="37">
        <v>97.728999999999999</v>
      </c>
      <c r="J14" s="37">
        <v>97.728999999999999</v>
      </c>
      <c r="K14" s="25">
        <f>VLOOKUP(C14,[1]Table1!$A$1:$J$14,9,0)</f>
        <v>560</v>
      </c>
      <c r="L14" s="6"/>
      <c r="M14" s="1"/>
      <c r="N14" s="1"/>
    </row>
    <row r="15" spans="1:14" x14ac:dyDescent="0.35">
      <c r="A15" s="1"/>
      <c r="B15" s="5"/>
      <c r="C15" s="25" t="s">
        <v>1200</v>
      </c>
      <c r="D15" s="50">
        <v>130363.5</v>
      </c>
      <c r="E15" s="50">
        <v>600</v>
      </c>
      <c r="F15" s="50">
        <v>1</v>
      </c>
      <c r="G15" s="37">
        <v>86.909000000000006</v>
      </c>
      <c r="H15" s="36">
        <v>2.9543120261272802E-3</v>
      </c>
      <c r="I15" s="37">
        <v>86.909000000000006</v>
      </c>
      <c r="J15" s="37">
        <v>86.909000000000006</v>
      </c>
      <c r="K15" s="25">
        <f>VLOOKUP(C15,[1]Table1!$A$1:$J$14,9,0)</f>
        <v>3360</v>
      </c>
      <c r="L15" s="6"/>
      <c r="M15" s="1"/>
      <c r="N15" s="1"/>
    </row>
    <row r="16" spans="1:14" x14ac:dyDescent="0.35">
      <c r="A16" s="1"/>
      <c r="B16" s="5"/>
      <c r="C16" s="25" t="s">
        <v>1201</v>
      </c>
      <c r="D16" s="50">
        <v>528.95000000000005</v>
      </c>
      <c r="E16" s="50">
        <v>2</v>
      </c>
      <c r="F16" s="50">
        <v>1</v>
      </c>
      <c r="G16" s="37">
        <v>105.79</v>
      </c>
      <c r="H16" s="36">
        <v>1.1299327011318401E-2</v>
      </c>
      <c r="I16" s="37">
        <v>105.79</v>
      </c>
      <c r="J16" s="37">
        <v>105.79</v>
      </c>
      <c r="K16" s="25">
        <f>VLOOKUP(C16,[1]Table1!$A$1:$J$14,9,0)</f>
        <v>1084</v>
      </c>
      <c r="L16" s="6"/>
      <c r="M16" s="1"/>
      <c r="N16" s="1"/>
    </row>
    <row r="17" spans="1:14" x14ac:dyDescent="0.35">
      <c r="A17" s="1"/>
      <c r="B17" s="5"/>
      <c r="C17" s="25" t="s">
        <v>1202</v>
      </c>
      <c r="D17" s="50">
        <v>45792.665500000003</v>
      </c>
      <c r="E17" s="50">
        <v>293</v>
      </c>
      <c r="F17" s="50">
        <v>14</v>
      </c>
      <c r="G17" s="37">
        <v>3125.43</v>
      </c>
      <c r="H17" s="36">
        <v>-4.5732779849438898E-4</v>
      </c>
      <c r="I17" s="37">
        <v>3106.12</v>
      </c>
      <c r="J17" s="37">
        <v>3131.28</v>
      </c>
      <c r="K17" s="25">
        <f>VLOOKUP(C17,[1]Table1!$A$1:$J$14,9,0)</f>
        <v>0</v>
      </c>
      <c r="L17" s="6"/>
      <c r="M17" s="1"/>
      <c r="N17" s="1"/>
    </row>
    <row r="18" spans="1:14" x14ac:dyDescent="0.35">
      <c r="A18" s="1"/>
      <c r="B18" s="5"/>
      <c r="C18" s="25" t="s">
        <v>1203</v>
      </c>
      <c r="D18" s="50">
        <v>74500.121499999994</v>
      </c>
      <c r="E18" s="50">
        <v>473</v>
      </c>
      <c r="F18" s="50">
        <v>63</v>
      </c>
      <c r="G18" s="37">
        <v>3162.84</v>
      </c>
      <c r="H18" s="36">
        <v>5.4327266947469298E-3</v>
      </c>
      <c r="I18" s="37">
        <v>3125.15</v>
      </c>
      <c r="J18" s="37">
        <v>3162.84</v>
      </c>
      <c r="K18" s="25">
        <f>VLOOKUP(C18,[1]Table1!$A$1:$J$14,9,0)</f>
        <v>5883</v>
      </c>
      <c r="L18" s="6"/>
      <c r="M18" s="1"/>
      <c r="N18" s="1"/>
    </row>
    <row r="19" spans="1:14" x14ac:dyDescent="0.35">
      <c r="A19" s="1"/>
      <c r="B19" s="5"/>
      <c r="C19" s="25" t="s">
        <v>1204</v>
      </c>
      <c r="D19" s="50">
        <v>954.29700000000003</v>
      </c>
      <c r="E19" s="50">
        <v>6</v>
      </c>
      <c r="F19" s="50">
        <v>1</v>
      </c>
      <c r="G19" s="37">
        <v>3180.99</v>
      </c>
      <c r="H19" s="36">
        <v>-1.9109085526802801E-2</v>
      </c>
      <c r="I19" s="37">
        <v>3180.99</v>
      </c>
      <c r="J19" s="37">
        <v>3180.99</v>
      </c>
      <c r="K19" s="25">
        <f>VLOOKUP(C19,[1]Table1!$A$1:$J$14,9,0)</f>
        <v>14947</v>
      </c>
      <c r="L19" s="6"/>
      <c r="M19" s="1"/>
      <c r="N19" s="1"/>
    </row>
    <row r="20" spans="1:14" x14ac:dyDescent="0.35">
      <c r="A20" s="1"/>
      <c r="B20" s="5"/>
      <c r="C20" s="25" t="s">
        <v>1205</v>
      </c>
      <c r="D20" s="50">
        <v>320.65199999999999</v>
      </c>
      <c r="E20" s="50">
        <v>2</v>
      </c>
      <c r="F20" s="50">
        <v>1</v>
      </c>
      <c r="G20" s="37">
        <v>3206.52</v>
      </c>
      <c r="H20" s="36">
        <v>-3.7081081081081102E-2</v>
      </c>
      <c r="I20" s="37">
        <v>3206.52</v>
      </c>
      <c r="J20" s="37">
        <v>3206.52</v>
      </c>
      <c r="K20" s="25">
        <f>VLOOKUP(C20,[1]Table1!$A$1:$J$14,9,0)</f>
        <v>3610</v>
      </c>
      <c r="L20" s="6"/>
      <c r="M20" s="1"/>
      <c r="N20" s="1"/>
    </row>
    <row r="21" spans="1:14" ht="0" hidden="1" customHeight="1" x14ac:dyDescent="0.35">
      <c r="A21" s="1"/>
      <c r="B21" s="5"/>
      <c r="C21" s="1"/>
      <c r="D21" s="1"/>
      <c r="E21" s="1"/>
      <c r="F21" s="1"/>
      <c r="G21" s="1"/>
      <c r="H21" s="1"/>
      <c r="I21" s="1"/>
      <c r="J21" s="1"/>
      <c r="K21" s="1"/>
      <c r="L21" s="6"/>
      <c r="M21" s="1"/>
      <c r="N21" s="1"/>
    </row>
    <row r="22" spans="1:14" ht="27.25" customHeight="1" x14ac:dyDescent="0.35">
      <c r="A22" s="1"/>
      <c r="B22" s="5"/>
      <c r="C22" s="1"/>
      <c r="D22" s="1"/>
      <c r="E22" s="1"/>
      <c r="F22" s="1"/>
      <c r="G22" s="1"/>
      <c r="H22" s="1"/>
      <c r="I22" s="1"/>
      <c r="J22" s="1"/>
      <c r="K22" s="1"/>
      <c r="L22" s="6"/>
      <c r="M22" s="1"/>
      <c r="N22" s="1"/>
    </row>
    <row r="23" spans="1:14" ht="18" customHeight="1" x14ac:dyDescent="0.35">
      <c r="A23" s="1"/>
      <c r="B23" s="5"/>
      <c r="C23" s="91" t="s">
        <v>1206</v>
      </c>
      <c r="D23" s="67"/>
      <c r="E23" s="67"/>
      <c r="F23" s="1"/>
      <c r="G23" s="1"/>
      <c r="H23" s="1"/>
      <c r="I23" s="1"/>
      <c r="J23" s="1"/>
      <c r="K23" s="1"/>
      <c r="L23" s="6"/>
      <c r="M23" s="1"/>
      <c r="N23" s="1"/>
    </row>
    <row r="24" spans="1:14" ht="18" customHeight="1" x14ac:dyDescent="0.35">
      <c r="A24" s="1"/>
      <c r="B24" s="5"/>
      <c r="C24" s="1"/>
      <c r="D24" s="1"/>
      <c r="E24" s="1"/>
      <c r="F24" s="1"/>
      <c r="G24" s="1"/>
      <c r="H24" s="1"/>
      <c r="I24" s="1"/>
      <c r="J24" s="1"/>
      <c r="K24" s="1"/>
      <c r="L24" s="6"/>
      <c r="M24" s="1"/>
      <c r="N24" s="1"/>
    </row>
    <row r="25" spans="1:14" ht="26" x14ac:dyDescent="0.35">
      <c r="A25" s="1"/>
      <c r="B25" s="9"/>
      <c r="C25" s="23" t="s">
        <v>328</v>
      </c>
      <c r="D25" s="23" t="s">
        <v>650</v>
      </c>
      <c r="E25" s="23" t="s">
        <v>1187</v>
      </c>
      <c r="F25" s="23" t="s">
        <v>1144</v>
      </c>
      <c r="G25" s="23" t="s">
        <v>1188</v>
      </c>
      <c r="H25" s="23" t="s">
        <v>1189</v>
      </c>
      <c r="I25" s="23" t="s">
        <v>1190</v>
      </c>
      <c r="J25" s="23" t="s">
        <v>1191</v>
      </c>
      <c r="K25" s="23" t="s">
        <v>1192</v>
      </c>
      <c r="L25" s="11"/>
      <c r="M25" s="1"/>
      <c r="N25" s="1"/>
    </row>
    <row r="26" spans="1:14" ht="0" hidden="1" customHeight="1" x14ac:dyDescent="0.3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2026-08-13T12:57:32Z</dcterms:created>
  <dcterms:modified xsi:type="dcterms:W3CDTF">2026-08-13T12:57:32Z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